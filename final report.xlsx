
<file path=[Content_Types].xml><?xml version="1.0" encoding="utf-8"?>
<Types xmlns="http://schemas.openxmlformats.org/package/2006/content-types">
  <Default Extension="emf" ContentType="image/x-emf"/>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slicerCaches/slicerCache6.xml" ContentType="application/vnd.ms-excel.slicerCache+xml"/>
  <Override PartName="/xl/slicerCaches/slicerCache7.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queryTables/queryTable1.xml" ContentType="application/vnd.openxmlformats-officedocument.spreadsheetml.queryTable+xml"/>
  <Override PartName="/xl/pivotTables/pivotTable1.xml" ContentType="application/vnd.openxmlformats-officedocument.spreadsheetml.pivot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Ex1.xml" ContentType="application/vnd.ms-office.chartex+xml"/>
  <Override PartName="/xl/charts/style7.xml" ContentType="application/vnd.ms-office.chartstyle+xml"/>
  <Override PartName="/xl/charts/colors7.xml" ContentType="application/vnd.ms-office.chartcolorstyle+xml"/>
  <Override PartName="/xl/charts/chart7.xml" ContentType="application/vnd.openxmlformats-officedocument.drawingml.chart+xml"/>
  <Override PartName="/xl/charts/style8.xml" ContentType="application/vnd.ms-office.chartstyle+xml"/>
  <Override PartName="/xl/charts/colors8.xml" ContentType="application/vnd.ms-office.chartcolorstyle+xml"/>
  <Override PartName="/xl/charts/chart8.xml" ContentType="application/vnd.openxmlformats-officedocument.drawingml.chart+xml"/>
  <Override PartName="/xl/charts/style9.xml" ContentType="application/vnd.ms-office.chartstyle+xml"/>
  <Override PartName="/xl/charts/colors9.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charts/chart9.xml" ContentType="application/vnd.openxmlformats-officedocument.drawingml.chart+xml"/>
  <Override PartName="/xl/charts/style10.xml" ContentType="application/vnd.ms-office.chartstyle+xml"/>
  <Override PartName="/xl/charts/colors10.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charts/chart10.xml" ContentType="application/vnd.openxmlformats-officedocument.drawingml.chart+xml"/>
  <Override PartName="/xl/charts/style11.xml" ContentType="application/vnd.ms-office.chartstyle+xml"/>
  <Override PartName="/xl/charts/colors11.xml" ContentType="application/vnd.ms-office.chartcolorstyle+xml"/>
  <Override PartName="/xl/pivotTables/pivotTable4.xml" ContentType="application/vnd.openxmlformats-officedocument.spreadsheetml.pivotTable+xml"/>
  <Override PartName="/xl/drawings/drawing4.xml" ContentType="application/vnd.openxmlformats-officedocument.drawing+xml"/>
  <Override PartName="/xl/charts/chart11.xml" ContentType="application/vnd.openxmlformats-officedocument.drawingml.chart+xml"/>
  <Override PartName="/xl/charts/style12.xml" ContentType="application/vnd.ms-office.chartstyle+xml"/>
  <Override PartName="/xl/charts/colors12.xml" ContentType="application/vnd.ms-office.chartcolorstyle+xml"/>
  <Override PartName="/xl/pivotTables/pivotTable5.xml" ContentType="application/vnd.openxmlformats-officedocument.spreadsheetml.pivotTable+xml"/>
  <Override PartName="/xl/drawings/drawing5.xml" ContentType="application/vnd.openxmlformats-officedocument.drawing+xml"/>
  <Override PartName="/xl/charts/chart12.xml" ContentType="application/vnd.openxmlformats-officedocument.drawingml.chart+xml"/>
  <Override PartName="/xl/charts/style13.xml" ContentType="application/vnd.ms-office.chartstyle+xml"/>
  <Override PartName="/xl/charts/colors13.xml" ContentType="application/vnd.ms-office.chartcolorstyle+xml"/>
  <Override PartName="/xl/pivotTables/pivotTable6.xml" ContentType="application/vnd.openxmlformats-officedocument.spreadsheetml.pivotTable+xml"/>
  <Override PartName="/xl/drawings/drawing6.xml" ContentType="application/vnd.openxmlformats-officedocument.drawing+xml"/>
  <Override PartName="/xl/charts/chart13.xml" ContentType="application/vnd.openxmlformats-officedocument.drawingml.chart+xml"/>
  <Override PartName="/xl/charts/style14.xml" ContentType="application/vnd.ms-office.chartstyle+xml"/>
  <Override PartName="/xl/charts/colors14.xml" ContentType="application/vnd.ms-office.chartcolorstyle+xml"/>
  <Override PartName="/xl/pivotTables/pivotTable7.xml" ContentType="application/vnd.openxmlformats-officedocument.spreadsheetml.pivotTable+xml"/>
  <Override PartName="/xl/drawings/drawing7.xml" ContentType="application/vnd.openxmlformats-officedocument.drawing+xml"/>
  <Override PartName="/xl/charts/chart14.xml" ContentType="application/vnd.openxmlformats-officedocument.drawingml.chart+xml"/>
  <Override PartName="/xl/charts/style15.xml" ContentType="application/vnd.ms-office.chartstyle+xml"/>
  <Override PartName="/xl/charts/colors15.xml" ContentType="application/vnd.ms-office.chartcolorstyle+xml"/>
  <Override PartName="/xl/drawings/drawing8.xml" ContentType="application/vnd.openxmlformats-officedocument.drawing+xml"/>
  <Override PartName="/xl/tables/table8.xml" ContentType="application/vnd.openxmlformats-officedocument.spreadsheetml.table+xml"/>
  <Override PartName="/xl/charts/chartEx2.xml" ContentType="application/vnd.ms-office.chartex+xml"/>
  <Override PartName="/xl/charts/style16.xml" ContentType="application/vnd.ms-office.chartstyle+xml"/>
  <Override PartName="/xl/charts/colors16.xml" ContentType="application/vnd.ms-office.chartcolorstyle+xml"/>
  <Override PartName="/xl/pivotTables/pivotTable8.xml" ContentType="application/vnd.openxmlformats-officedocument.spreadsheetml.pivotTable+xml"/>
  <Override PartName="/xl/drawings/drawing9.xml" ContentType="application/vnd.openxmlformats-officedocument.drawing+xml"/>
  <Override PartName="/xl/charts/chart15.xml" ContentType="application/vnd.openxmlformats-officedocument.drawingml.chart+xml"/>
  <Override PartName="/xl/charts/style17.xml" ContentType="application/vnd.ms-office.chartstyle+xml"/>
  <Override PartName="/xl/charts/colors17.xml" ContentType="application/vnd.ms-office.chartcolorstyle+xml"/>
  <Override PartName="/xl/pivotTables/pivotTable9.xml" ContentType="application/vnd.openxmlformats-officedocument.spreadsheetml.pivotTable+xml"/>
  <Override PartName="/xl/drawings/drawing10.xml" ContentType="application/vnd.openxmlformats-officedocument.drawing+xml"/>
  <Override PartName="/xl/charts/chart16.xml" ContentType="application/vnd.openxmlformats-officedocument.drawingml.chart+xml"/>
  <Override PartName="/xl/charts/style18.xml" ContentType="application/vnd.ms-office.chartstyle+xml"/>
  <Override PartName="/xl/charts/colors18.xml" ContentType="application/vnd.ms-office.chartcolorstyle+xml"/>
  <Override PartName="/xl/pivotTables/pivotTable10.xml" ContentType="application/vnd.openxmlformats-officedocument.spreadsheetml.pivotTab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hidePivotFieldList="1"/>
  <mc:AlternateContent xmlns:mc="http://schemas.openxmlformats.org/markup-compatibility/2006">
    <mc:Choice Requires="x15">
      <x15ac:absPath xmlns:x15ac="http://schemas.microsoft.com/office/spreadsheetml/2010/11/ac" url="C:\Users\mohit\Desktop\project\New folder\"/>
    </mc:Choice>
  </mc:AlternateContent>
  <xr:revisionPtr revIDLastSave="0" documentId="13_ncr:1_{87C9D42F-7129-4C67-8294-B611C37BE693}" xr6:coauthVersionLast="47" xr6:coauthVersionMax="47" xr10:uidLastSave="{00000000-0000-0000-0000-000000000000}"/>
  <bookViews>
    <workbookView xWindow="-120" yWindow="-120" windowWidth="20730" windowHeight="11040" activeTab="1" xr2:uid="{00000000-000D-0000-FFFF-FFFF00000000}"/>
  </bookViews>
  <sheets>
    <sheet name="dataset_1" sheetId="1" r:id="rId1"/>
    <sheet name="dataset_2" sheetId="24" r:id="rId2"/>
    <sheet name="dataset_3" sheetId="3" r:id="rId3"/>
    <sheet name="clean data" sheetId="6" r:id="rId4"/>
    <sheet name="calculate_field" sheetId="7" r:id="rId5"/>
    <sheet name="deshboard" sheetId="22" r:id="rId6"/>
    <sheet name="weektype" sheetId="23" r:id="rId7"/>
    <sheet name="Hrs wise count" sheetId="13" r:id="rId8"/>
    <sheet name="weth_cat wise users" sheetId="14" r:id="rId9"/>
    <sheet name="monwise count" sheetId="21" r:id="rId10"/>
    <sheet name="weth_cat Avg" sheetId="20" r:id="rId11"/>
    <sheet name="Temp_catg" sheetId="15" r:id="rId12"/>
    <sheet name="funnel of users" sheetId="18" r:id="rId13"/>
    <sheet name="Temp_cat sum of casu &amp; reg" sheetId="16" r:id="rId14"/>
    <sheet name="time_prd combo" sheetId="19" r:id="rId15"/>
    <sheet name="Heatmap" sheetId="17" r:id="rId16"/>
  </sheets>
  <definedNames>
    <definedName name="_xlchart.v2.0" hidden="1">'funnel of users'!$C$15:$C$17</definedName>
    <definedName name="_xlchart.v2.1" hidden="1">'funnel of users'!$D$14</definedName>
    <definedName name="_xlchart.v2.2" hidden="1">'funnel of users'!$D$15:$D$17</definedName>
    <definedName name="_xlchart.v2.3" hidden="1">'funnel of users'!$C$15:$C$17</definedName>
    <definedName name="_xlchart.v2.4" hidden="1">'funnel of users'!$D$14</definedName>
    <definedName name="_xlchart.v2.5" hidden="1">'funnel of users'!$D$15:$D$17</definedName>
    <definedName name="ExternalData_2" localSheetId="3" hidden="1">'clean data'!$A$1:$N$1001</definedName>
    <definedName name="Slicer_hr">#N/A</definedName>
    <definedName name="Slicer_mnth">#N/A</definedName>
    <definedName name="Slicer_temp_cat">#N/A</definedName>
    <definedName name="Slicer_Time_period">#N/A</definedName>
    <definedName name="Slicer_weather_category">#N/A</definedName>
    <definedName name="Slicer_Week_days">#N/A</definedName>
    <definedName name="Slicer_week_type">#N/A</definedName>
  </definedNames>
  <calcPr calcId="191029"/>
  <pivotCaches>
    <pivotCache cacheId="0" r:id="rId17"/>
  </pivotCaches>
  <extLst>
    <ext xmlns:x14="http://schemas.microsoft.com/office/spreadsheetml/2009/9/main" uri="{BBE1A952-AA13-448e-AADC-164F8A28A991}">
      <x14:slicerCaches>
        <x14:slicerCache r:id="rId18"/>
        <x14:slicerCache r:id="rId19"/>
        <x14:slicerCache r:id="rId20"/>
        <x14:slicerCache r:id="rId21"/>
        <x14:slicerCache r:id="rId22"/>
        <x14:slicerCache r:id="rId23"/>
        <x14:slicerCache r:id="rId24"/>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I453" i="24" l="1"/>
  <c r="I331" i="24"/>
  <c r="I377" i="24"/>
  <c r="I469" i="24"/>
  <c r="I580" i="24"/>
  <c r="I581" i="24"/>
  <c r="I560" i="24"/>
  <c r="I540" i="24"/>
  <c r="I493" i="24"/>
  <c r="I467" i="24"/>
  <c r="I349" i="24"/>
  <c r="I263" i="24"/>
  <c r="I132" i="24"/>
  <c r="I107" i="24"/>
  <c r="I78" i="24"/>
  <c r="I73" i="24"/>
  <c r="I110" i="24"/>
  <c r="I205" i="24"/>
  <c r="I358" i="24"/>
  <c r="I346" i="24"/>
  <c r="I350" i="24"/>
  <c r="I366" i="24"/>
  <c r="I396" i="24"/>
  <c r="I336" i="24"/>
  <c r="I447" i="24"/>
  <c r="I448" i="24"/>
  <c r="I487" i="24"/>
  <c r="I509" i="24"/>
  <c r="I541" i="24"/>
  <c r="I561" i="24"/>
  <c r="I582" i="24"/>
  <c r="I494" i="24"/>
  <c r="I431" i="24"/>
  <c r="I275" i="24"/>
  <c r="I190" i="24"/>
  <c r="I111" i="24"/>
  <c r="I171" i="24"/>
  <c r="I241" i="24"/>
  <c r="I175" i="24"/>
  <c r="I166" i="24"/>
  <c r="I210" i="24"/>
  <c r="I276" i="24"/>
  <c r="I386" i="24"/>
  <c r="I424" i="24"/>
  <c r="I381" i="24"/>
  <c r="I488" i="24"/>
  <c r="I495" i="24"/>
  <c r="I518" i="24"/>
  <c r="I562" i="24"/>
  <c r="I583" i="24"/>
  <c r="I542" i="24"/>
  <c r="I387" i="24"/>
  <c r="I214" i="24"/>
  <c r="I38" i="24"/>
  <c r="I126" i="24"/>
  <c r="I316" i="24"/>
  <c r="I289" i="24"/>
  <c r="I230" i="24"/>
  <c r="I231" i="24"/>
  <c r="I162" i="24"/>
  <c r="I182" i="24"/>
  <c r="I167" i="24"/>
  <c r="I34" i="24"/>
  <c r="I35" i="24"/>
  <c r="I74" i="24"/>
  <c r="I281" i="24"/>
  <c r="I282" i="24"/>
  <c r="I432" i="24"/>
  <c r="I475" i="24"/>
  <c r="I519" i="24"/>
  <c r="I563" i="24"/>
  <c r="I584" i="24"/>
  <c r="I564" i="24"/>
  <c r="I533" i="24"/>
  <c r="I351" i="24"/>
  <c r="I108" i="24"/>
  <c r="I22" i="24"/>
  <c r="I91" i="24"/>
  <c r="I322" i="24"/>
  <c r="I253" i="24"/>
  <c r="I158" i="24"/>
  <c r="I99" i="24"/>
  <c r="I218" i="24"/>
  <c r="I211" i="24"/>
  <c r="I141" i="24"/>
  <c r="I10" i="24"/>
  <c r="I21" i="24"/>
  <c r="I70" i="24"/>
  <c r="I270" i="24"/>
  <c r="I300" i="24"/>
  <c r="I359" i="24"/>
  <c r="I480" i="24"/>
  <c r="I510" i="24"/>
  <c r="I511" i="24"/>
  <c r="I565" i="24"/>
  <c r="I566" i="24"/>
  <c r="I543" i="24"/>
  <c r="I370" i="24"/>
  <c r="I127" i="24"/>
  <c r="I15" i="24"/>
  <c r="I68" i="24"/>
  <c r="I254" i="24"/>
  <c r="I309" i="24"/>
  <c r="I155" i="24"/>
  <c r="I188" i="24"/>
  <c r="I224" i="24"/>
  <c r="I225" i="24"/>
  <c r="I123" i="24"/>
  <c r="I16" i="24"/>
  <c r="I26" i="24"/>
  <c r="I52" i="24"/>
  <c r="I124" i="24"/>
  <c r="I320" i="24"/>
  <c r="I323" i="24"/>
  <c r="I439" i="24"/>
  <c r="I481" i="24"/>
  <c r="I534" i="24"/>
  <c r="I567" i="24"/>
  <c r="I585" i="24"/>
  <c r="I535" i="24"/>
  <c r="I352" i="24"/>
  <c r="I102" i="24"/>
  <c r="I6" i="24"/>
  <c r="I60" i="24"/>
  <c r="I311" i="24"/>
  <c r="I242" i="24"/>
  <c r="I133" i="24"/>
  <c r="I206" i="24"/>
  <c r="I191" i="24"/>
  <c r="I226" i="24"/>
  <c r="I130" i="24"/>
  <c r="I25" i="24"/>
  <c r="I28" i="24"/>
  <c r="I71" i="24"/>
  <c r="I197" i="24"/>
  <c r="I301" i="24"/>
  <c r="I283" i="24"/>
  <c r="I421" i="24"/>
  <c r="I449" i="24"/>
  <c r="I501" i="24"/>
  <c r="I586" i="24"/>
  <c r="I587" i="24"/>
  <c r="I520" i="24"/>
  <c r="I367" i="24"/>
  <c r="I134" i="24"/>
  <c r="I11" i="24"/>
  <c r="I50" i="24"/>
  <c r="I219" i="24"/>
  <c r="I207" i="24"/>
  <c r="I243" i="24"/>
  <c r="I180" i="24"/>
  <c r="I292" i="24"/>
  <c r="I183" i="24"/>
  <c r="I128" i="24"/>
  <c r="I18" i="24"/>
  <c r="I59" i="24"/>
  <c r="I103" i="24"/>
  <c r="I290" i="24"/>
  <c r="I337" i="24"/>
  <c r="I353" i="24"/>
  <c r="I461" i="24"/>
  <c r="I415" i="24"/>
  <c r="I454" i="24"/>
  <c r="I455" i="24"/>
  <c r="I502" i="24"/>
  <c r="I588" i="24"/>
  <c r="I521" i="24"/>
  <c r="I568" i="24"/>
  <c r="I489" i="24"/>
  <c r="I462" i="24"/>
  <c r="I433" i="24"/>
  <c r="I232" i="24"/>
  <c r="I227" i="24"/>
  <c r="I97" i="24"/>
  <c r="I86" i="24"/>
  <c r="I104" i="24"/>
  <c r="I176" i="24"/>
  <c r="I168" i="24"/>
  <c r="I198" i="24"/>
  <c r="I266" i="24"/>
  <c r="I388" i="24"/>
  <c r="I397" i="24"/>
  <c r="I347" i="24"/>
  <c r="I368" i="24"/>
  <c r="I425" i="24"/>
  <c r="I416" i="24"/>
  <c r="I476" i="24"/>
  <c r="I482" i="24"/>
  <c r="I536" i="24"/>
  <c r="I589" i="24"/>
  <c r="I590" i="24"/>
  <c r="I591" i="24"/>
  <c r="I512" i="24"/>
  <c r="I484" i="24"/>
  <c r="I440" i="24"/>
  <c r="I294" i="24"/>
  <c r="I295" i="24"/>
  <c r="I142" i="24"/>
  <c r="I172" i="24"/>
  <c r="I184" i="24"/>
  <c r="I148" i="24"/>
  <c r="I116" i="24"/>
  <c r="I228" i="24"/>
  <c r="I302" i="24"/>
  <c r="I325" i="24"/>
  <c r="I341" i="24"/>
  <c r="I434" i="24"/>
  <c r="I463" i="24"/>
  <c r="I513" i="24"/>
  <c r="I522" i="24"/>
  <c r="I592" i="24"/>
  <c r="I544" i="24"/>
  <c r="I593" i="24"/>
  <c r="I545" i="24"/>
  <c r="I546" i="24"/>
  <c r="I382" i="24"/>
  <c r="I163" i="24"/>
  <c r="I17" i="24"/>
  <c r="I109" i="24"/>
  <c r="I383" i="24"/>
  <c r="I389" i="24"/>
  <c r="I284" i="24"/>
  <c r="I271" i="24"/>
  <c r="I304" i="24"/>
  <c r="I312" i="24"/>
  <c r="I177" i="24"/>
  <c r="I23" i="24"/>
  <c r="I37" i="24"/>
  <c r="I105" i="24"/>
  <c r="I178" i="24"/>
  <c r="I342" i="24"/>
  <c r="I418" i="24"/>
  <c r="I443" i="24"/>
  <c r="I477" i="24"/>
  <c r="I547" i="24"/>
  <c r="I548" i="24"/>
  <c r="I514" i="24"/>
  <c r="I406" i="24"/>
  <c r="I92" i="24"/>
  <c r="I7" i="24"/>
  <c r="I53" i="24"/>
  <c r="I272" i="24"/>
  <c r="I360" i="24"/>
  <c r="I255" i="24"/>
  <c r="I285" i="24"/>
  <c r="I220" i="24"/>
  <c r="I305" i="24"/>
  <c r="I169" i="24"/>
  <c r="I49" i="24"/>
  <c r="I106" i="24"/>
  <c r="I291" i="24"/>
  <c r="I378" i="24"/>
  <c r="I435" i="24"/>
  <c r="I394" i="24"/>
  <c r="I441" i="24"/>
  <c r="I503" i="24"/>
  <c r="I515" i="24"/>
  <c r="I594" i="24"/>
  <c r="I523" i="24"/>
  <c r="I456" i="24"/>
  <c r="I273" i="24"/>
  <c r="I55" i="24"/>
  <c r="I151" i="24"/>
  <c r="I338" i="24"/>
  <c r="I361" i="24"/>
  <c r="I267" i="24"/>
  <c r="I296" i="24"/>
  <c r="I317" i="24"/>
  <c r="I297" i="24"/>
  <c r="I199" i="24"/>
  <c r="I45" i="24"/>
  <c r="I48" i="24"/>
  <c r="I143" i="24"/>
  <c r="I264" i="24"/>
  <c r="I256" i="24"/>
  <c r="I371" i="24"/>
  <c r="I436" i="24"/>
  <c r="I504" i="24"/>
  <c r="I569" i="24"/>
  <c r="I570" i="24"/>
  <c r="I549" i="24"/>
  <c r="I537" i="24"/>
  <c r="I550" i="24"/>
  <c r="I398" i="24"/>
  <c r="I185" i="24"/>
  <c r="I12" i="24"/>
  <c r="I46" i="24"/>
  <c r="I343" i="24"/>
  <c r="I348" i="24"/>
  <c r="I286" i="24"/>
  <c r="I144" i="24"/>
  <c r="I324" i="24"/>
  <c r="I237" i="24"/>
  <c r="I159" i="24"/>
  <c r="I29" i="24"/>
  <c r="I42" i="24"/>
  <c r="I93" i="24"/>
  <c r="I215" i="24"/>
  <c r="I332" i="24"/>
  <c r="I390" i="24"/>
  <c r="I464" i="24"/>
  <c r="I468" i="24"/>
  <c r="I524" i="24"/>
  <c r="I595" i="24"/>
  <c r="I596" i="24"/>
  <c r="I496" i="24"/>
  <c r="I450" i="24"/>
  <c r="I192" i="24"/>
  <c r="I33" i="24"/>
  <c r="I65" i="24"/>
  <c r="I318" i="24"/>
  <c r="I277" i="24"/>
  <c r="I233" i="24"/>
  <c r="I164" i="24"/>
  <c r="I216" i="24"/>
  <c r="I200" i="24"/>
  <c r="I121" i="24"/>
  <c r="I32" i="24"/>
  <c r="I47" i="24"/>
  <c r="I117" i="24"/>
  <c r="I201" i="24"/>
  <c r="I287" i="24"/>
  <c r="I354" i="24"/>
  <c r="I407" i="24"/>
  <c r="I399" i="24"/>
  <c r="I437" i="24"/>
  <c r="I478" i="24"/>
  <c r="I497" i="24"/>
  <c r="I525" i="24"/>
  <c r="I597" i="24"/>
  <c r="I551" i="24"/>
  <c r="I485" i="24"/>
  <c r="I422" i="24"/>
  <c r="I372" i="24"/>
  <c r="I244" i="24"/>
  <c r="I186" i="24"/>
  <c r="I125" i="24"/>
  <c r="I88" i="24"/>
  <c r="I63" i="24"/>
  <c r="I54" i="24"/>
  <c r="I56" i="24"/>
  <c r="I145" i="24"/>
  <c r="I135" i="24"/>
  <c r="I179" i="24"/>
  <c r="I326" i="24"/>
  <c r="I257" i="24"/>
  <c r="I413" i="24"/>
  <c r="I319" i="24"/>
  <c r="I339" i="24"/>
  <c r="I423" i="24"/>
  <c r="I457" i="24"/>
  <c r="I465" i="24"/>
  <c r="I598" i="24"/>
  <c r="I571" i="24"/>
  <c r="I599" i="24"/>
  <c r="I552" i="24"/>
  <c r="I444" i="24"/>
  <c r="I379" i="24"/>
  <c r="I156" i="24"/>
  <c r="I112" i="24"/>
  <c r="I82" i="24"/>
  <c r="I64" i="24"/>
  <c r="I119" i="24"/>
  <c r="I69" i="24"/>
  <c r="I94" i="24"/>
  <c r="I81" i="24"/>
  <c r="I208" i="24"/>
  <c r="I234" i="24"/>
  <c r="I258" i="24"/>
  <c r="I400" i="24"/>
  <c r="I428" i="24"/>
  <c r="I445" i="24"/>
  <c r="I451" i="24"/>
  <c r="I458" i="24"/>
  <c r="I498" i="24"/>
  <c r="I572" i="24"/>
  <c r="I553" i="24"/>
  <c r="I600" i="24"/>
  <c r="I526" i="24"/>
  <c r="I470" i="24"/>
  <c r="I373" i="24"/>
  <c r="I306" i="24"/>
  <c r="I259" i="24"/>
  <c r="I217" i="24"/>
  <c r="I154" i="24"/>
  <c r="I113" i="24"/>
  <c r="I131" i="24"/>
  <c r="I114" i="24"/>
  <c r="I149" i="24"/>
  <c r="I189" i="24"/>
  <c r="I118" i="24"/>
  <c r="I238" i="24"/>
  <c r="I374" i="24"/>
  <c r="I408" i="24"/>
  <c r="I471" i="24"/>
  <c r="I538" i="24"/>
  <c r="I554" i="24"/>
  <c r="I426" i="24"/>
  <c r="I401" i="24"/>
  <c r="I362" i="24"/>
  <c r="I235" i="24"/>
  <c r="I58" i="24"/>
  <c r="I51" i="24"/>
  <c r="I95" i="24"/>
  <c r="I146" i="24"/>
  <c r="I327" i="24"/>
  <c r="I375" i="24"/>
  <c r="I438" i="24"/>
  <c r="I555" i="24"/>
  <c r="I505" i="24"/>
  <c r="I556" i="24"/>
  <c r="I573" i="24"/>
  <c r="I506" i="24"/>
  <c r="I380" i="24"/>
  <c r="I122" i="24"/>
  <c r="I13" i="24"/>
  <c r="I76" i="24"/>
  <c r="I307" i="24"/>
  <c r="I288" i="24"/>
  <c r="I193" i="24"/>
  <c r="I160" i="24"/>
  <c r="I173" i="24"/>
  <c r="I150" i="24"/>
  <c r="I83" i="24"/>
  <c r="I14" i="24"/>
  <c r="I30" i="24"/>
  <c r="I72" i="24"/>
  <c r="I170" i="24"/>
  <c r="I245" i="24"/>
  <c r="I246" i="24"/>
  <c r="I402" i="24"/>
  <c r="I472" i="24"/>
  <c r="I527" i="24"/>
  <c r="I574" i="24"/>
  <c r="I601" i="24"/>
  <c r="I602" i="24"/>
  <c r="I516" i="24"/>
  <c r="I363" i="24"/>
  <c r="I89" i="24"/>
  <c r="I2" i="24"/>
  <c r="I44" i="24"/>
  <c r="I260" i="24"/>
  <c r="I202" i="24"/>
  <c r="I136" i="24"/>
  <c r="I98" i="24"/>
  <c r="I152" i="24"/>
  <c r="I194" i="24"/>
  <c r="I120" i="24"/>
  <c r="I9" i="24"/>
  <c r="I19" i="24"/>
  <c r="I40" i="24"/>
  <c r="I57" i="24"/>
  <c r="I261" i="24"/>
  <c r="I265" i="24"/>
  <c r="I384" i="24"/>
  <c r="I429" i="24"/>
  <c r="I517" i="24"/>
  <c r="I575" i="24"/>
  <c r="I603" i="24"/>
  <c r="I604" i="24"/>
  <c r="I528" i="24"/>
  <c r="I409" i="24"/>
  <c r="I203" i="24"/>
  <c r="I8" i="24"/>
  <c r="I27" i="24"/>
  <c r="I221" i="24"/>
  <c r="I247" i="24"/>
  <c r="I161" i="24"/>
  <c r="I181" i="24"/>
  <c r="I229" i="24"/>
  <c r="I212" i="24"/>
  <c r="I100" i="24"/>
  <c r="I31" i="24"/>
  <c r="I61" i="24"/>
  <c r="I101" i="24"/>
  <c r="I278" i="24"/>
  <c r="I328" i="24"/>
  <c r="I369" i="24"/>
  <c r="I410" i="24"/>
  <c r="I473" i="24"/>
  <c r="I479" i="24"/>
  <c r="I483" i="24"/>
  <c r="I507" i="24"/>
  <c r="I557" i="24"/>
  <c r="I576" i="24"/>
  <c r="I499" i="24"/>
  <c r="I411" i="24"/>
  <c r="I333" i="24"/>
  <c r="I279" i="24"/>
  <c r="I222" i="24"/>
  <c r="I195" i="24"/>
  <c r="I137" i="24"/>
  <c r="I174" i="24"/>
  <c r="I85" i="24"/>
  <c r="I147" i="24"/>
  <c r="I209" i="24"/>
  <c r="I274" i="24"/>
  <c r="I248" i="24"/>
  <c r="I313" i="24"/>
  <c r="I340" i="24"/>
  <c r="I391" i="24"/>
  <c r="I376" i="24"/>
  <c r="I427" i="24"/>
  <c r="I474" i="24"/>
  <c r="I446" i="24"/>
  <c r="I529" i="24"/>
  <c r="I558" i="24"/>
  <c r="I605" i="24"/>
  <c r="I577" i="24"/>
  <c r="I442" i="24"/>
  <c r="I403" i="24"/>
  <c r="I251" i="24"/>
  <c r="I96" i="24"/>
  <c r="I66" i="24"/>
  <c r="I129" i="24"/>
  <c r="I75" i="24"/>
  <c r="I165" i="24"/>
  <c r="I213" i="24"/>
  <c r="I268" i="24"/>
  <c r="I298" i="24"/>
  <c r="I293" i="24"/>
  <c r="I364" i="24"/>
  <c r="I417" i="24"/>
  <c r="I404" i="24"/>
  <c r="I430" i="24"/>
  <c r="I508" i="24"/>
  <c r="I606" i="24"/>
  <c r="I607" i="24"/>
  <c r="I608" i="24"/>
  <c r="I530" i="24"/>
  <c r="I466" i="24"/>
  <c r="I138" i="24"/>
  <c r="I24" i="24"/>
  <c r="I87" i="24"/>
  <c r="I334" i="24"/>
  <c r="I310" i="24"/>
  <c r="I223" i="24"/>
  <c r="I239" i="24"/>
  <c r="I314" i="24"/>
  <c r="I262" i="24"/>
  <c r="I196" i="24"/>
  <c r="I20" i="24"/>
  <c r="I39" i="24"/>
  <c r="I79" i="24"/>
  <c r="I153" i="24"/>
  <c r="I249" i="24"/>
  <c r="I365" i="24"/>
  <c r="I419" i="24"/>
  <c r="I490" i="24"/>
  <c r="I531" i="24"/>
  <c r="I578" i="24"/>
  <c r="I609" i="24"/>
  <c r="I491" i="24"/>
  <c r="I355" i="24"/>
  <c r="I77" i="24"/>
  <c r="I3" i="24"/>
  <c r="I43" i="24"/>
  <c r="I269" i="24"/>
  <c r="I236" i="24"/>
  <c r="I80" i="24"/>
  <c r="I115" i="24"/>
  <c r="I204" i="24"/>
  <c r="I139" i="24"/>
  <c r="I67" i="24"/>
  <c r="I5" i="24"/>
  <c r="I4" i="24"/>
  <c r="I41" i="24"/>
  <c r="I62" i="24"/>
  <c r="I315" i="24"/>
  <c r="I280" i="24"/>
  <c r="I335" i="24"/>
  <c r="I452" i="24"/>
  <c r="I532" i="24"/>
  <c r="I486" i="24"/>
  <c r="I610" i="24"/>
  <c r="I500" i="24"/>
  <c r="I392" i="24"/>
  <c r="I187" i="24"/>
  <c r="I252" i="24"/>
  <c r="I405" i="24"/>
  <c r="I329" i="24"/>
  <c r="I303" i="24"/>
  <c r="I308" i="24"/>
  <c r="I356" i="24"/>
  <c r="I321" i="24"/>
  <c r="I357" i="24"/>
  <c r="I414" i="24"/>
  <c r="I420" i="24"/>
  <c r="I140" i="24"/>
  <c r="I84" i="24"/>
  <c r="I157" i="24"/>
  <c r="I250" i="24"/>
  <c r="I344" i="24"/>
  <c r="I412" i="24"/>
  <c r="I459" i="24"/>
  <c r="I492" i="24"/>
  <c r="I559" i="24"/>
  <c r="I579" i="24"/>
  <c r="I611" i="24"/>
  <c r="I539" i="24"/>
  <c r="I460" i="24"/>
  <c r="I240" i="24"/>
  <c r="I36" i="24"/>
  <c r="I90" i="24"/>
  <c r="I299" i="24"/>
  <c r="I393" i="24"/>
  <c r="I395" i="24"/>
  <c r="I385" i="24"/>
  <c r="I345" i="24"/>
  <c r="I330" i="24"/>
  <c r="O15" i="24"/>
  <c r="O14" i="24"/>
  <c r="O13" i="24"/>
  <c r="U18" i="3"/>
  <c r="U17" i="3"/>
  <c r="U16" i="3"/>
  <c r="U15" i="3"/>
  <c r="T9" i="3"/>
  <c r="T7" i="3"/>
  <c r="T6" i="3"/>
  <c r="T5" i="3"/>
  <c r="T4" i="3"/>
  <c r="O22" i="1"/>
  <c r="O21" i="1"/>
  <c r="O20" i="1"/>
  <c r="O19" i="1"/>
  <c r="O14" i="1"/>
  <c r="O13" i="1"/>
  <c r="O12" i="1"/>
  <c r="I10" i="6"/>
  <c r="D23" i="7"/>
  <c r="D22" i="7"/>
  <c r="D13" i="7"/>
  <c r="D12" i="7"/>
  <c r="P2" i="6"/>
  <c r="P3" i="6"/>
  <c r="P4" i="6"/>
  <c r="P5" i="6"/>
  <c r="P6" i="6"/>
  <c r="P7" i="6"/>
  <c r="P8" i="6"/>
  <c r="P9" i="6"/>
  <c r="P10" i="6"/>
  <c r="P11" i="6"/>
  <c r="P12" i="6"/>
  <c r="P13" i="6"/>
  <c r="P14" i="6"/>
  <c r="P15" i="6"/>
  <c r="P16" i="6"/>
  <c r="P17" i="6"/>
  <c r="P18" i="6"/>
  <c r="P19" i="6"/>
  <c r="P20" i="6"/>
  <c r="P21" i="6"/>
  <c r="P22" i="6"/>
  <c r="P23" i="6"/>
  <c r="P24" i="6"/>
  <c r="P25" i="6"/>
  <c r="P26" i="6"/>
  <c r="P27" i="6"/>
  <c r="P28" i="6"/>
  <c r="P29" i="6"/>
  <c r="P30" i="6"/>
  <c r="P31" i="6"/>
  <c r="P32" i="6"/>
  <c r="P33" i="6"/>
  <c r="P34" i="6"/>
  <c r="P35" i="6"/>
  <c r="P36" i="6"/>
  <c r="P37" i="6"/>
  <c r="P38" i="6"/>
  <c r="P39" i="6"/>
  <c r="P40" i="6"/>
  <c r="P41" i="6"/>
  <c r="P42" i="6"/>
  <c r="P43" i="6"/>
  <c r="P44" i="6"/>
  <c r="P45" i="6"/>
  <c r="P46" i="6"/>
  <c r="P47" i="6"/>
  <c r="P48" i="6"/>
  <c r="P49" i="6"/>
  <c r="P50" i="6"/>
  <c r="P51" i="6"/>
  <c r="P52" i="6"/>
  <c r="P53" i="6"/>
  <c r="P54" i="6"/>
  <c r="P55" i="6"/>
  <c r="P56" i="6"/>
  <c r="P57" i="6"/>
  <c r="P58" i="6"/>
  <c r="P59" i="6"/>
  <c r="P60" i="6"/>
  <c r="P61" i="6"/>
  <c r="P62" i="6"/>
  <c r="P63" i="6"/>
  <c r="P64" i="6"/>
  <c r="P65" i="6"/>
  <c r="P66" i="6"/>
  <c r="P67" i="6"/>
  <c r="P68" i="6"/>
  <c r="P69" i="6"/>
  <c r="P70" i="6"/>
  <c r="P71" i="6"/>
  <c r="P72" i="6"/>
  <c r="P73" i="6"/>
  <c r="P74" i="6"/>
  <c r="P75" i="6"/>
  <c r="P76" i="6"/>
  <c r="P77" i="6"/>
  <c r="P78" i="6"/>
  <c r="P79" i="6"/>
  <c r="P80" i="6"/>
  <c r="P81" i="6"/>
  <c r="P82" i="6"/>
  <c r="P83" i="6"/>
  <c r="P84" i="6"/>
  <c r="P85" i="6"/>
  <c r="P86" i="6"/>
  <c r="P87" i="6"/>
  <c r="P88" i="6"/>
  <c r="P89" i="6"/>
  <c r="P90" i="6"/>
  <c r="P91" i="6"/>
  <c r="P92" i="6"/>
  <c r="P93" i="6"/>
  <c r="P94" i="6"/>
  <c r="P95" i="6"/>
  <c r="P96" i="6"/>
  <c r="P97" i="6"/>
  <c r="P98" i="6"/>
  <c r="P99" i="6"/>
  <c r="P100" i="6"/>
  <c r="P101" i="6"/>
  <c r="P102" i="6"/>
  <c r="P103" i="6"/>
  <c r="P104" i="6"/>
  <c r="P105" i="6"/>
  <c r="P106" i="6"/>
  <c r="P107" i="6"/>
  <c r="P108" i="6"/>
  <c r="P109" i="6"/>
  <c r="P110" i="6"/>
  <c r="P111" i="6"/>
  <c r="P112" i="6"/>
  <c r="P113" i="6"/>
  <c r="P114" i="6"/>
  <c r="P115" i="6"/>
  <c r="P116" i="6"/>
  <c r="P117" i="6"/>
  <c r="P118" i="6"/>
  <c r="P119" i="6"/>
  <c r="P120" i="6"/>
  <c r="P121" i="6"/>
  <c r="P122" i="6"/>
  <c r="P123" i="6"/>
  <c r="P124" i="6"/>
  <c r="P125" i="6"/>
  <c r="P126" i="6"/>
  <c r="P127" i="6"/>
  <c r="P128" i="6"/>
  <c r="P129" i="6"/>
  <c r="P130" i="6"/>
  <c r="P131" i="6"/>
  <c r="P132" i="6"/>
  <c r="P133" i="6"/>
  <c r="P134" i="6"/>
  <c r="P135" i="6"/>
  <c r="P136" i="6"/>
  <c r="P137" i="6"/>
  <c r="P138" i="6"/>
  <c r="P139" i="6"/>
  <c r="P140" i="6"/>
  <c r="P141" i="6"/>
  <c r="P142" i="6"/>
  <c r="P143" i="6"/>
  <c r="P144" i="6"/>
  <c r="P145" i="6"/>
  <c r="P146" i="6"/>
  <c r="P147" i="6"/>
  <c r="P148" i="6"/>
  <c r="P149" i="6"/>
  <c r="P150" i="6"/>
  <c r="P151" i="6"/>
  <c r="P152" i="6"/>
  <c r="P153" i="6"/>
  <c r="P154" i="6"/>
  <c r="P155" i="6"/>
  <c r="P156" i="6"/>
  <c r="P157" i="6"/>
  <c r="P158" i="6"/>
  <c r="P159" i="6"/>
  <c r="P160" i="6"/>
  <c r="P161" i="6"/>
  <c r="P162" i="6"/>
  <c r="P163" i="6"/>
  <c r="P164" i="6"/>
  <c r="P165" i="6"/>
  <c r="P166" i="6"/>
  <c r="P167" i="6"/>
  <c r="P168" i="6"/>
  <c r="P169" i="6"/>
  <c r="P170" i="6"/>
  <c r="P171" i="6"/>
  <c r="P172" i="6"/>
  <c r="P173" i="6"/>
  <c r="P174" i="6"/>
  <c r="P175" i="6"/>
  <c r="P176" i="6"/>
  <c r="P177" i="6"/>
  <c r="P178" i="6"/>
  <c r="P179" i="6"/>
  <c r="P180" i="6"/>
  <c r="P181" i="6"/>
  <c r="P182" i="6"/>
  <c r="P183" i="6"/>
  <c r="P184" i="6"/>
  <c r="P185" i="6"/>
  <c r="P186" i="6"/>
  <c r="P187" i="6"/>
  <c r="P188" i="6"/>
  <c r="P189" i="6"/>
  <c r="P190" i="6"/>
  <c r="P191" i="6"/>
  <c r="P192" i="6"/>
  <c r="P193" i="6"/>
  <c r="P194" i="6"/>
  <c r="P195" i="6"/>
  <c r="P196" i="6"/>
  <c r="P197" i="6"/>
  <c r="P198" i="6"/>
  <c r="P199" i="6"/>
  <c r="P200" i="6"/>
  <c r="P201" i="6"/>
  <c r="P202" i="6"/>
  <c r="P203" i="6"/>
  <c r="P204" i="6"/>
  <c r="P205" i="6"/>
  <c r="P206" i="6"/>
  <c r="P207" i="6"/>
  <c r="P208" i="6"/>
  <c r="P209" i="6"/>
  <c r="P210" i="6"/>
  <c r="P211" i="6"/>
  <c r="P212" i="6"/>
  <c r="P213" i="6"/>
  <c r="P214" i="6"/>
  <c r="P215" i="6"/>
  <c r="P216" i="6"/>
  <c r="P217" i="6"/>
  <c r="P218" i="6"/>
  <c r="P219" i="6"/>
  <c r="P220" i="6"/>
  <c r="P221" i="6"/>
  <c r="P222" i="6"/>
  <c r="P223" i="6"/>
  <c r="P224" i="6"/>
  <c r="P225" i="6"/>
  <c r="P226" i="6"/>
  <c r="P227" i="6"/>
  <c r="P228" i="6"/>
  <c r="P229" i="6"/>
  <c r="P230" i="6"/>
  <c r="P231" i="6"/>
  <c r="P232" i="6"/>
  <c r="P233" i="6"/>
  <c r="P234" i="6"/>
  <c r="P235" i="6"/>
  <c r="P236" i="6"/>
  <c r="P237" i="6"/>
  <c r="P238" i="6"/>
  <c r="P239" i="6"/>
  <c r="P240" i="6"/>
  <c r="P241" i="6"/>
  <c r="P242" i="6"/>
  <c r="P243" i="6"/>
  <c r="P244" i="6"/>
  <c r="P245" i="6"/>
  <c r="P246" i="6"/>
  <c r="P247" i="6"/>
  <c r="P248" i="6"/>
  <c r="P249" i="6"/>
  <c r="P250" i="6"/>
  <c r="P251" i="6"/>
  <c r="P252" i="6"/>
  <c r="P253" i="6"/>
  <c r="P254" i="6"/>
  <c r="P255" i="6"/>
  <c r="P256" i="6"/>
  <c r="P257" i="6"/>
  <c r="P258" i="6"/>
  <c r="P259" i="6"/>
  <c r="P260" i="6"/>
  <c r="P261" i="6"/>
  <c r="P262" i="6"/>
  <c r="P263" i="6"/>
  <c r="P264" i="6"/>
  <c r="P265" i="6"/>
  <c r="P266" i="6"/>
  <c r="P267" i="6"/>
  <c r="P268" i="6"/>
  <c r="P269" i="6"/>
  <c r="P270" i="6"/>
  <c r="P271" i="6"/>
  <c r="P272" i="6"/>
  <c r="P273" i="6"/>
  <c r="P274" i="6"/>
  <c r="P275" i="6"/>
  <c r="P276" i="6"/>
  <c r="P277" i="6"/>
  <c r="P278" i="6"/>
  <c r="P279" i="6"/>
  <c r="P280" i="6"/>
  <c r="P281" i="6"/>
  <c r="P282" i="6"/>
  <c r="P283" i="6"/>
  <c r="P284" i="6"/>
  <c r="P285" i="6"/>
  <c r="P286" i="6"/>
  <c r="P287" i="6"/>
  <c r="P288" i="6"/>
  <c r="P289" i="6"/>
  <c r="P290" i="6"/>
  <c r="P291" i="6"/>
  <c r="P292" i="6"/>
  <c r="P293" i="6"/>
  <c r="P294" i="6"/>
  <c r="P295" i="6"/>
  <c r="P296" i="6"/>
  <c r="P297" i="6"/>
  <c r="P298" i="6"/>
  <c r="P299" i="6"/>
  <c r="P300" i="6"/>
  <c r="P301" i="6"/>
  <c r="P302" i="6"/>
  <c r="P303" i="6"/>
  <c r="P304" i="6"/>
  <c r="P305" i="6"/>
  <c r="P306" i="6"/>
  <c r="P307" i="6"/>
  <c r="P308" i="6"/>
  <c r="P309" i="6"/>
  <c r="P310" i="6"/>
  <c r="P311" i="6"/>
  <c r="P312" i="6"/>
  <c r="P313" i="6"/>
  <c r="P314" i="6"/>
  <c r="P315" i="6"/>
  <c r="P316" i="6"/>
  <c r="P317" i="6"/>
  <c r="P318" i="6"/>
  <c r="P319" i="6"/>
  <c r="P320" i="6"/>
  <c r="P321" i="6"/>
  <c r="P322" i="6"/>
  <c r="P323" i="6"/>
  <c r="P324" i="6"/>
  <c r="P325" i="6"/>
  <c r="P326" i="6"/>
  <c r="P327" i="6"/>
  <c r="P328" i="6"/>
  <c r="P329" i="6"/>
  <c r="P330" i="6"/>
  <c r="P331" i="6"/>
  <c r="P332" i="6"/>
  <c r="P333" i="6"/>
  <c r="P334" i="6"/>
  <c r="P335" i="6"/>
  <c r="P336" i="6"/>
  <c r="P337" i="6"/>
  <c r="P338" i="6"/>
  <c r="P339" i="6"/>
  <c r="P340" i="6"/>
  <c r="P341" i="6"/>
  <c r="P342" i="6"/>
  <c r="P343" i="6"/>
  <c r="P344" i="6"/>
  <c r="P345" i="6"/>
  <c r="P346" i="6"/>
  <c r="P347" i="6"/>
  <c r="P348" i="6"/>
  <c r="P349" i="6"/>
  <c r="P350" i="6"/>
  <c r="P351" i="6"/>
  <c r="P352" i="6"/>
  <c r="P353" i="6"/>
  <c r="P354" i="6"/>
  <c r="P355" i="6"/>
  <c r="P356" i="6"/>
  <c r="P357" i="6"/>
  <c r="P358" i="6"/>
  <c r="P359" i="6"/>
  <c r="P360" i="6"/>
  <c r="P361" i="6"/>
  <c r="P362" i="6"/>
  <c r="P363" i="6"/>
  <c r="P364" i="6"/>
  <c r="P365" i="6"/>
  <c r="P366" i="6"/>
  <c r="P367" i="6"/>
  <c r="P368" i="6"/>
  <c r="P369" i="6"/>
  <c r="P370" i="6"/>
  <c r="P371" i="6"/>
  <c r="P372" i="6"/>
  <c r="P373" i="6"/>
  <c r="P374" i="6"/>
  <c r="P375" i="6"/>
  <c r="P376" i="6"/>
  <c r="P377" i="6"/>
  <c r="P378" i="6"/>
  <c r="P379" i="6"/>
  <c r="P380" i="6"/>
  <c r="P381" i="6"/>
  <c r="P382" i="6"/>
  <c r="P383" i="6"/>
  <c r="P384" i="6"/>
  <c r="P385" i="6"/>
  <c r="P386" i="6"/>
  <c r="P387" i="6"/>
  <c r="P388" i="6"/>
  <c r="P389" i="6"/>
  <c r="P390" i="6"/>
  <c r="P391" i="6"/>
  <c r="P392" i="6"/>
  <c r="P393" i="6"/>
  <c r="P394" i="6"/>
  <c r="P395" i="6"/>
  <c r="P396" i="6"/>
  <c r="P397" i="6"/>
  <c r="P398" i="6"/>
  <c r="P399" i="6"/>
  <c r="P400" i="6"/>
  <c r="P401" i="6"/>
  <c r="P402" i="6"/>
  <c r="P403" i="6"/>
  <c r="P404" i="6"/>
  <c r="P405" i="6"/>
  <c r="P406" i="6"/>
  <c r="P407" i="6"/>
  <c r="P408" i="6"/>
  <c r="P409" i="6"/>
  <c r="P410" i="6"/>
  <c r="P411" i="6"/>
  <c r="P412" i="6"/>
  <c r="P413" i="6"/>
  <c r="P414" i="6"/>
  <c r="P415" i="6"/>
  <c r="P416" i="6"/>
  <c r="P417" i="6"/>
  <c r="P418" i="6"/>
  <c r="P419" i="6"/>
  <c r="P420" i="6"/>
  <c r="P421" i="6"/>
  <c r="P422" i="6"/>
  <c r="P423" i="6"/>
  <c r="P424" i="6"/>
  <c r="P425" i="6"/>
  <c r="P426" i="6"/>
  <c r="P427" i="6"/>
  <c r="P428" i="6"/>
  <c r="P429" i="6"/>
  <c r="P430" i="6"/>
  <c r="P431" i="6"/>
  <c r="P432" i="6"/>
  <c r="P433" i="6"/>
  <c r="P434" i="6"/>
  <c r="P435" i="6"/>
  <c r="P436" i="6"/>
  <c r="P437" i="6"/>
  <c r="P438" i="6"/>
  <c r="P439" i="6"/>
  <c r="P440" i="6"/>
  <c r="P441" i="6"/>
  <c r="P442" i="6"/>
  <c r="P443" i="6"/>
  <c r="P444" i="6"/>
  <c r="P445" i="6"/>
  <c r="P446" i="6"/>
  <c r="P447" i="6"/>
  <c r="P448" i="6"/>
  <c r="P449" i="6"/>
  <c r="P450" i="6"/>
  <c r="P451" i="6"/>
  <c r="P452" i="6"/>
  <c r="P453" i="6"/>
  <c r="P454" i="6"/>
  <c r="P455" i="6"/>
  <c r="P456" i="6"/>
  <c r="P457" i="6"/>
  <c r="P458" i="6"/>
  <c r="P459" i="6"/>
  <c r="P460" i="6"/>
  <c r="P461" i="6"/>
  <c r="P462" i="6"/>
  <c r="P463" i="6"/>
  <c r="P464" i="6"/>
  <c r="P465" i="6"/>
  <c r="P466" i="6"/>
  <c r="P467" i="6"/>
  <c r="P468" i="6"/>
  <c r="P469" i="6"/>
  <c r="P470" i="6"/>
  <c r="P471" i="6"/>
  <c r="P472" i="6"/>
  <c r="P473" i="6"/>
  <c r="P474" i="6"/>
  <c r="P475" i="6"/>
  <c r="P476" i="6"/>
  <c r="P477" i="6"/>
  <c r="P478" i="6"/>
  <c r="P479" i="6"/>
  <c r="P480" i="6"/>
  <c r="P481" i="6"/>
  <c r="P482" i="6"/>
  <c r="P483" i="6"/>
  <c r="P484" i="6"/>
  <c r="P485" i="6"/>
  <c r="P486" i="6"/>
  <c r="P487" i="6"/>
  <c r="P488" i="6"/>
  <c r="P489" i="6"/>
  <c r="P490" i="6"/>
  <c r="P491" i="6"/>
  <c r="P492" i="6"/>
  <c r="P493" i="6"/>
  <c r="P494" i="6"/>
  <c r="P495" i="6"/>
  <c r="P496" i="6"/>
  <c r="P497" i="6"/>
  <c r="P498" i="6"/>
  <c r="P499" i="6"/>
  <c r="P500" i="6"/>
  <c r="P501" i="6"/>
  <c r="P502" i="6"/>
  <c r="P503" i="6"/>
  <c r="P504" i="6"/>
  <c r="P505" i="6"/>
  <c r="P506" i="6"/>
  <c r="P507" i="6"/>
  <c r="P508" i="6"/>
  <c r="P509" i="6"/>
  <c r="P510" i="6"/>
  <c r="P511" i="6"/>
  <c r="P512" i="6"/>
  <c r="P513" i="6"/>
  <c r="P514" i="6"/>
  <c r="P515" i="6"/>
  <c r="P516" i="6"/>
  <c r="P517" i="6"/>
  <c r="P518" i="6"/>
  <c r="P519" i="6"/>
  <c r="P520" i="6"/>
  <c r="P521" i="6"/>
  <c r="P522" i="6"/>
  <c r="P523" i="6"/>
  <c r="P524" i="6"/>
  <c r="P525" i="6"/>
  <c r="P526" i="6"/>
  <c r="P527" i="6"/>
  <c r="P528" i="6"/>
  <c r="P529" i="6"/>
  <c r="P530" i="6"/>
  <c r="P531" i="6"/>
  <c r="P532" i="6"/>
  <c r="P533" i="6"/>
  <c r="P534" i="6"/>
  <c r="P535" i="6"/>
  <c r="P536" i="6"/>
  <c r="P537" i="6"/>
  <c r="P538" i="6"/>
  <c r="P539" i="6"/>
  <c r="P540" i="6"/>
  <c r="P541" i="6"/>
  <c r="P542" i="6"/>
  <c r="P543" i="6"/>
  <c r="P544" i="6"/>
  <c r="P545" i="6"/>
  <c r="P546" i="6"/>
  <c r="P547" i="6"/>
  <c r="P548" i="6"/>
  <c r="P549" i="6"/>
  <c r="P550" i="6"/>
  <c r="P551" i="6"/>
  <c r="P552" i="6"/>
  <c r="P553" i="6"/>
  <c r="P554" i="6"/>
  <c r="P555" i="6"/>
  <c r="P556" i="6"/>
  <c r="P557" i="6"/>
  <c r="P558" i="6"/>
  <c r="P559" i="6"/>
  <c r="P560" i="6"/>
  <c r="P561" i="6"/>
  <c r="P562" i="6"/>
  <c r="P563" i="6"/>
  <c r="P564" i="6"/>
  <c r="P565" i="6"/>
  <c r="P566" i="6"/>
  <c r="P567" i="6"/>
  <c r="P568" i="6"/>
  <c r="P569" i="6"/>
  <c r="P570" i="6"/>
  <c r="P571" i="6"/>
  <c r="P572" i="6"/>
  <c r="P573" i="6"/>
  <c r="P574" i="6"/>
  <c r="P575" i="6"/>
  <c r="P576" i="6"/>
  <c r="P577" i="6"/>
  <c r="P578" i="6"/>
  <c r="P579" i="6"/>
  <c r="P580" i="6"/>
  <c r="P581" i="6"/>
  <c r="P582" i="6"/>
  <c r="P583" i="6"/>
  <c r="P584" i="6"/>
  <c r="P585" i="6"/>
  <c r="P586" i="6"/>
  <c r="P587" i="6"/>
  <c r="P588" i="6"/>
  <c r="P589" i="6"/>
  <c r="P590" i="6"/>
  <c r="P591" i="6"/>
  <c r="P592" i="6"/>
  <c r="P593" i="6"/>
  <c r="P594" i="6"/>
  <c r="P595" i="6"/>
  <c r="P596" i="6"/>
  <c r="P597" i="6"/>
  <c r="P598" i="6"/>
  <c r="P599" i="6"/>
  <c r="P600" i="6"/>
  <c r="P601" i="6"/>
  <c r="P602" i="6"/>
  <c r="P603" i="6"/>
  <c r="P604" i="6"/>
  <c r="P605" i="6"/>
  <c r="P606" i="6"/>
  <c r="P607" i="6"/>
  <c r="P608" i="6"/>
  <c r="P609" i="6"/>
  <c r="P610" i="6"/>
  <c r="P611" i="6"/>
  <c r="P612" i="6"/>
  <c r="P613" i="6"/>
  <c r="P614" i="6"/>
  <c r="P615" i="6"/>
  <c r="P616" i="6"/>
  <c r="P617" i="6"/>
  <c r="P618" i="6"/>
  <c r="P619" i="6"/>
  <c r="P620" i="6"/>
  <c r="P621" i="6"/>
  <c r="P622" i="6"/>
  <c r="P623" i="6"/>
  <c r="P624" i="6"/>
  <c r="P625" i="6"/>
  <c r="P626" i="6"/>
  <c r="P627" i="6"/>
  <c r="P628" i="6"/>
  <c r="P629" i="6"/>
  <c r="P630" i="6"/>
  <c r="P631" i="6"/>
  <c r="P632" i="6"/>
  <c r="P633" i="6"/>
  <c r="P634" i="6"/>
  <c r="P635" i="6"/>
  <c r="P636" i="6"/>
  <c r="P637" i="6"/>
  <c r="P638" i="6"/>
  <c r="P639" i="6"/>
  <c r="P640" i="6"/>
  <c r="P641" i="6"/>
  <c r="P642" i="6"/>
  <c r="P643" i="6"/>
  <c r="P644" i="6"/>
  <c r="P645" i="6"/>
  <c r="P646" i="6"/>
  <c r="P647" i="6"/>
  <c r="P648" i="6"/>
  <c r="P649" i="6"/>
  <c r="P650" i="6"/>
  <c r="P651" i="6"/>
  <c r="P652" i="6"/>
  <c r="P653" i="6"/>
  <c r="P654" i="6"/>
  <c r="P655" i="6"/>
  <c r="P656" i="6"/>
  <c r="P657" i="6"/>
  <c r="P658" i="6"/>
  <c r="P659" i="6"/>
  <c r="P660" i="6"/>
  <c r="P661" i="6"/>
  <c r="P662" i="6"/>
  <c r="P663" i="6"/>
  <c r="P664" i="6"/>
  <c r="P665" i="6"/>
  <c r="P666" i="6"/>
  <c r="P667" i="6"/>
  <c r="P668" i="6"/>
  <c r="P669" i="6"/>
  <c r="P670" i="6"/>
  <c r="P671" i="6"/>
  <c r="P672" i="6"/>
  <c r="P673" i="6"/>
  <c r="P674" i="6"/>
  <c r="P675" i="6"/>
  <c r="P676" i="6"/>
  <c r="P677" i="6"/>
  <c r="P678" i="6"/>
  <c r="P679" i="6"/>
  <c r="P680" i="6"/>
  <c r="P681" i="6"/>
  <c r="P682" i="6"/>
  <c r="P683" i="6"/>
  <c r="P684" i="6"/>
  <c r="P685" i="6"/>
  <c r="P686" i="6"/>
  <c r="P687" i="6"/>
  <c r="P688" i="6"/>
  <c r="P689" i="6"/>
  <c r="P690" i="6"/>
  <c r="P691" i="6"/>
  <c r="P692" i="6"/>
  <c r="P693" i="6"/>
  <c r="P694" i="6"/>
  <c r="P695" i="6"/>
  <c r="P696" i="6"/>
  <c r="P697" i="6"/>
  <c r="P698" i="6"/>
  <c r="P699" i="6"/>
  <c r="P700" i="6"/>
  <c r="P701" i="6"/>
  <c r="P702" i="6"/>
  <c r="P703" i="6"/>
  <c r="P704" i="6"/>
  <c r="P705" i="6"/>
  <c r="P706" i="6"/>
  <c r="P707" i="6"/>
  <c r="P708" i="6"/>
  <c r="P709" i="6"/>
  <c r="P710" i="6"/>
  <c r="P711" i="6"/>
  <c r="P712" i="6"/>
  <c r="P713" i="6"/>
  <c r="P714" i="6"/>
  <c r="P715" i="6"/>
  <c r="P716" i="6"/>
  <c r="P717" i="6"/>
  <c r="P718" i="6"/>
  <c r="P719" i="6"/>
  <c r="P720" i="6"/>
  <c r="P721" i="6"/>
  <c r="P722" i="6"/>
  <c r="P723" i="6"/>
  <c r="P724" i="6"/>
  <c r="P725" i="6"/>
  <c r="P726" i="6"/>
  <c r="P727" i="6"/>
  <c r="P728" i="6"/>
  <c r="P729" i="6"/>
  <c r="P730" i="6"/>
  <c r="P731" i="6"/>
  <c r="P732" i="6"/>
  <c r="P733" i="6"/>
  <c r="P734" i="6"/>
  <c r="P735" i="6"/>
  <c r="P736" i="6"/>
  <c r="P737" i="6"/>
  <c r="P738" i="6"/>
  <c r="P739" i="6"/>
  <c r="P740" i="6"/>
  <c r="P741" i="6"/>
  <c r="P742" i="6"/>
  <c r="P743" i="6"/>
  <c r="P744" i="6"/>
  <c r="P745" i="6"/>
  <c r="P746" i="6"/>
  <c r="P747" i="6"/>
  <c r="P748" i="6"/>
  <c r="P749" i="6"/>
  <c r="P750" i="6"/>
  <c r="P751" i="6"/>
  <c r="P752" i="6"/>
  <c r="P753" i="6"/>
  <c r="P754" i="6"/>
  <c r="P755" i="6"/>
  <c r="P756" i="6"/>
  <c r="P757" i="6"/>
  <c r="P758" i="6"/>
  <c r="P759" i="6"/>
  <c r="P760" i="6"/>
  <c r="P761" i="6"/>
  <c r="P762" i="6"/>
  <c r="P763" i="6"/>
  <c r="P764" i="6"/>
  <c r="P765" i="6"/>
  <c r="P766" i="6"/>
  <c r="P767" i="6"/>
  <c r="P768" i="6"/>
  <c r="P769" i="6"/>
  <c r="P770" i="6"/>
  <c r="P771" i="6"/>
  <c r="P772" i="6"/>
  <c r="P773" i="6"/>
  <c r="P774" i="6"/>
  <c r="P775" i="6"/>
  <c r="P776" i="6"/>
  <c r="P777" i="6"/>
  <c r="P778" i="6"/>
  <c r="P779" i="6"/>
  <c r="P780" i="6"/>
  <c r="P781" i="6"/>
  <c r="P782" i="6"/>
  <c r="P783" i="6"/>
  <c r="P784" i="6"/>
  <c r="P785" i="6"/>
  <c r="P786" i="6"/>
  <c r="P787" i="6"/>
  <c r="P788" i="6"/>
  <c r="P789" i="6"/>
  <c r="P790" i="6"/>
  <c r="P791" i="6"/>
  <c r="P792" i="6"/>
  <c r="P793" i="6"/>
  <c r="P794" i="6"/>
  <c r="P795" i="6"/>
  <c r="P796" i="6"/>
  <c r="P797" i="6"/>
  <c r="P798" i="6"/>
  <c r="P799" i="6"/>
  <c r="P800" i="6"/>
  <c r="P801" i="6"/>
  <c r="P802" i="6"/>
  <c r="P803" i="6"/>
  <c r="P804" i="6"/>
  <c r="P805" i="6"/>
  <c r="P806" i="6"/>
  <c r="P807" i="6"/>
  <c r="P808" i="6"/>
  <c r="P809" i="6"/>
  <c r="P810" i="6"/>
  <c r="P811" i="6"/>
  <c r="P812" i="6"/>
  <c r="P813" i="6"/>
  <c r="P814" i="6"/>
  <c r="P815" i="6"/>
  <c r="P816" i="6"/>
  <c r="P817" i="6"/>
  <c r="P818" i="6"/>
  <c r="P819" i="6"/>
  <c r="P820" i="6"/>
  <c r="P821" i="6"/>
  <c r="P822" i="6"/>
  <c r="P823" i="6"/>
  <c r="P824" i="6"/>
  <c r="P825" i="6"/>
  <c r="P826" i="6"/>
  <c r="P827" i="6"/>
  <c r="P828" i="6"/>
  <c r="P829" i="6"/>
  <c r="P830" i="6"/>
  <c r="P831" i="6"/>
  <c r="P832" i="6"/>
  <c r="P833" i="6"/>
  <c r="P834" i="6"/>
  <c r="P835" i="6"/>
  <c r="P836" i="6"/>
  <c r="P837" i="6"/>
  <c r="P838" i="6"/>
  <c r="P839" i="6"/>
  <c r="P840" i="6"/>
  <c r="P841" i="6"/>
  <c r="P842" i="6"/>
  <c r="P843" i="6"/>
  <c r="P844" i="6"/>
  <c r="P845" i="6"/>
  <c r="P846" i="6"/>
  <c r="P847" i="6"/>
  <c r="P848" i="6"/>
  <c r="P849" i="6"/>
  <c r="P850" i="6"/>
  <c r="P851" i="6"/>
  <c r="P852" i="6"/>
  <c r="P853" i="6"/>
  <c r="P854" i="6"/>
  <c r="P855" i="6"/>
  <c r="P856" i="6"/>
  <c r="P857" i="6"/>
  <c r="P858" i="6"/>
  <c r="P859" i="6"/>
  <c r="P860" i="6"/>
  <c r="P861" i="6"/>
  <c r="P862" i="6"/>
  <c r="P863" i="6"/>
  <c r="P864" i="6"/>
  <c r="P865" i="6"/>
  <c r="P866" i="6"/>
  <c r="P867" i="6"/>
  <c r="P868" i="6"/>
  <c r="P869" i="6"/>
  <c r="P870" i="6"/>
  <c r="P871" i="6"/>
  <c r="P872" i="6"/>
  <c r="P873" i="6"/>
  <c r="P874" i="6"/>
  <c r="P875" i="6"/>
  <c r="P876" i="6"/>
  <c r="P877" i="6"/>
  <c r="P878" i="6"/>
  <c r="P879" i="6"/>
  <c r="P880" i="6"/>
  <c r="P881" i="6"/>
  <c r="P882" i="6"/>
  <c r="P883" i="6"/>
  <c r="P884" i="6"/>
  <c r="P885" i="6"/>
  <c r="P886" i="6"/>
  <c r="P887" i="6"/>
  <c r="P888" i="6"/>
  <c r="P889" i="6"/>
  <c r="P890" i="6"/>
  <c r="P891" i="6"/>
  <c r="P892" i="6"/>
  <c r="P893" i="6"/>
  <c r="P894" i="6"/>
  <c r="P895" i="6"/>
  <c r="P896" i="6"/>
  <c r="P897" i="6"/>
  <c r="P898" i="6"/>
  <c r="P899" i="6"/>
  <c r="P900" i="6"/>
  <c r="P901" i="6"/>
  <c r="P902" i="6"/>
  <c r="P903" i="6"/>
  <c r="P904" i="6"/>
  <c r="P905" i="6"/>
  <c r="P906" i="6"/>
  <c r="P907" i="6"/>
  <c r="P908" i="6"/>
  <c r="P909" i="6"/>
  <c r="P910" i="6"/>
  <c r="P911" i="6"/>
  <c r="P912" i="6"/>
  <c r="P913" i="6"/>
  <c r="P914" i="6"/>
  <c r="P915" i="6"/>
  <c r="P916" i="6"/>
  <c r="P917" i="6"/>
  <c r="P918" i="6"/>
  <c r="P919" i="6"/>
  <c r="P920" i="6"/>
  <c r="P921" i="6"/>
  <c r="P922" i="6"/>
  <c r="P923" i="6"/>
  <c r="P924" i="6"/>
  <c r="P925" i="6"/>
  <c r="P926" i="6"/>
  <c r="P927" i="6"/>
  <c r="P928" i="6"/>
  <c r="P929" i="6"/>
  <c r="P930" i="6"/>
  <c r="P931" i="6"/>
  <c r="P932" i="6"/>
  <c r="P933" i="6"/>
  <c r="P934" i="6"/>
  <c r="P935" i="6"/>
  <c r="P936" i="6"/>
  <c r="P937" i="6"/>
  <c r="P938" i="6"/>
  <c r="P939" i="6"/>
  <c r="P940" i="6"/>
  <c r="P941" i="6"/>
  <c r="P942" i="6"/>
  <c r="P943" i="6"/>
  <c r="P944" i="6"/>
  <c r="P945" i="6"/>
  <c r="P946" i="6"/>
  <c r="P947" i="6"/>
  <c r="P948" i="6"/>
  <c r="P949" i="6"/>
  <c r="P950" i="6"/>
  <c r="P951" i="6"/>
  <c r="P952" i="6"/>
  <c r="P953" i="6"/>
  <c r="P954" i="6"/>
  <c r="P955" i="6"/>
  <c r="P956" i="6"/>
  <c r="P957" i="6"/>
  <c r="P958" i="6"/>
  <c r="P959" i="6"/>
  <c r="P960" i="6"/>
  <c r="P961" i="6"/>
  <c r="P962" i="6"/>
  <c r="P963" i="6"/>
  <c r="P964" i="6"/>
  <c r="P965" i="6"/>
  <c r="P966" i="6"/>
  <c r="P967" i="6"/>
  <c r="P968" i="6"/>
  <c r="P969" i="6"/>
  <c r="P970" i="6"/>
  <c r="P971" i="6"/>
  <c r="P972" i="6"/>
  <c r="P973" i="6"/>
  <c r="P974" i="6"/>
  <c r="P975" i="6"/>
  <c r="P976" i="6"/>
  <c r="P977" i="6"/>
  <c r="P978" i="6"/>
  <c r="P979" i="6"/>
  <c r="P980" i="6"/>
  <c r="P981" i="6"/>
  <c r="P982" i="6"/>
  <c r="P983" i="6"/>
  <c r="P984" i="6"/>
  <c r="P985" i="6"/>
  <c r="P986" i="6"/>
  <c r="P987" i="6"/>
  <c r="P988" i="6"/>
  <c r="P989" i="6"/>
  <c r="P990" i="6"/>
  <c r="P991" i="6"/>
  <c r="P992" i="6"/>
  <c r="P993" i="6"/>
  <c r="P994" i="6"/>
  <c r="P995" i="6"/>
  <c r="P996" i="6"/>
  <c r="P997" i="6"/>
  <c r="P998" i="6"/>
  <c r="P999" i="6"/>
  <c r="P1000" i="6"/>
  <c r="P1001" i="6"/>
  <c r="Q2" i="6"/>
  <c r="T2" i="6"/>
  <c r="W974" i="6"/>
  <c r="W986" i="6"/>
  <c r="W987" i="6"/>
  <c r="W988" i="6"/>
  <c r="W989" i="6"/>
  <c r="W990" i="6"/>
  <c r="W991" i="6"/>
  <c r="W992" i="6"/>
  <c r="W993" i="6"/>
  <c r="W994" i="6"/>
  <c r="W995" i="6"/>
  <c r="W996" i="6"/>
  <c r="W997" i="6"/>
  <c r="W998" i="6"/>
  <c r="W999" i="6"/>
  <c r="W1000" i="6"/>
  <c r="W1001" i="6"/>
  <c r="V979" i="6"/>
  <c r="W963" i="6" s="1"/>
  <c r="V980" i="6"/>
  <c r="W964" i="6" s="1"/>
  <c r="V981" i="6"/>
  <c r="W965" i="6" s="1"/>
  <c r="V982" i="6"/>
  <c r="W966" i="6" s="1"/>
  <c r="V983" i="6"/>
  <c r="W967" i="6" s="1"/>
  <c r="V984" i="6"/>
  <c r="W968" i="6" s="1"/>
  <c r="V985" i="6"/>
  <c r="W969" i="6" s="1"/>
  <c r="V986" i="6"/>
  <c r="W970" i="6" s="1"/>
  <c r="V987" i="6"/>
  <c r="W971" i="6" s="1"/>
  <c r="V988" i="6"/>
  <c r="W972" i="6" s="1"/>
  <c r="V989" i="6"/>
  <c r="W973" i="6" s="1"/>
  <c r="V990" i="6"/>
  <c r="V991" i="6"/>
  <c r="W975" i="6" s="1"/>
  <c r="V992" i="6"/>
  <c r="W976" i="6" s="1"/>
  <c r="V993" i="6"/>
  <c r="W977" i="6" s="1"/>
  <c r="V994" i="6"/>
  <c r="W978" i="6" s="1"/>
  <c r="V995" i="6"/>
  <c r="W979" i="6" s="1"/>
  <c r="V996" i="6"/>
  <c r="W980" i="6" s="1"/>
  <c r="V997" i="6"/>
  <c r="W981" i="6" s="1"/>
  <c r="V998" i="6"/>
  <c r="W982" i="6" s="1"/>
  <c r="V999" i="6"/>
  <c r="W983" i="6" s="1"/>
  <c r="V1000" i="6"/>
  <c r="W984" i="6" s="1"/>
  <c r="V1001" i="6"/>
  <c r="W985" i="6" s="1"/>
  <c r="U2" i="6"/>
  <c r="U3" i="6"/>
  <c r="U4" i="6"/>
  <c r="U5" i="6"/>
  <c r="U6" i="6"/>
  <c r="U7" i="6"/>
  <c r="U8" i="6"/>
  <c r="U9" i="6"/>
  <c r="U10" i="6"/>
  <c r="U11" i="6"/>
  <c r="U12" i="6"/>
  <c r="U13" i="6"/>
  <c r="U14" i="6"/>
  <c r="U15" i="6"/>
  <c r="U16" i="6"/>
  <c r="U17" i="6"/>
  <c r="U18" i="6"/>
  <c r="U19" i="6"/>
  <c r="U20" i="6"/>
  <c r="U21" i="6"/>
  <c r="U22" i="6"/>
  <c r="U23" i="6"/>
  <c r="U24" i="6"/>
  <c r="U25" i="6"/>
  <c r="U26" i="6"/>
  <c r="U27" i="6"/>
  <c r="U28" i="6"/>
  <c r="U29" i="6"/>
  <c r="U30" i="6"/>
  <c r="U31" i="6"/>
  <c r="U32" i="6"/>
  <c r="U33" i="6"/>
  <c r="U34" i="6"/>
  <c r="U35" i="6"/>
  <c r="U36" i="6"/>
  <c r="U37" i="6"/>
  <c r="U38" i="6"/>
  <c r="U39" i="6"/>
  <c r="U40" i="6"/>
  <c r="U41" i="6"/>
  <c r="U42" i="6"/>
  <c r="U43" i="6"/>
  <c r="U44" i="6"/>
  <c r="U45" i="6"/>
  <c r="U46" i="6"/>
  <c r="U47" i="6"/>
  <c r="U48" i="6"/>
  <c r="U49" i="6"/>
  <c r="U50" i="6"/>
  <c r="U51" i="6"/>
  <c r="U52" i="6"/>
  <c r="U53" i="6"/>
  <c r="U54" i="6"/>
  <c r="U55" i="6"/>
  <c r="U56" i="6"/>
  <c r="U57" i="6"/>
  <c r="U58" i="6"/>
  <c r="U59" i="6"/>
  <c r="U60" i="6"/>
  <c r="U61" i="6"/>
  <c r="U62" i="6"/>
  <c r="U63" i="6"/>
  <c r="U64" i="6"/>
  <c r="U65" i="6"/>
  <c r="U66" i="6"/>
  <c r="U67" i="6"/>
  <c r="U68" i="6"/>
  <c r="U69" i="6"/>
  <c r="U70" i="6"/>
  <c r="U71" i="6"/>
  <c r="U72" i="6"/>
  <c r="U73" i="6"/>
  <c r="U74" i="6"/>
  <c r="U75" i="6"/>
  <c r="U76" i="6"/>
  <c r="U77" i="6"/>
  <c r="U78" i="6"/>
  <c r="U79" i="6"/>
  <c r="U80" i="6"/>
  <c r="U81" i="6"/>
  <c r="U82" i="6"/>
  <c r="U83" i="6"/>
  <c r="U84" i="6"/>
  <c r="U85" i="6"/>
  <c r="U86" i="6"/>
  <c r="U87" i="6"/>
  <c r="U88" i="6"/>
  <c r="U89" i="6"/>
  <c r="U90" i="6"/>
  <c r="U91" i="6"/>
  <c r="U92" i="6"/>
  <c r="U93" i="6"/>
  <c r="U94" i="6"/>
  <c r="U95" i="6"/>
  <c r="U96" i="6"/>
  <c r="U97" i="6"/>
  <c r="U98" i="6"/>
  <c r="U99" i="6"/>
  <c r="U100" i="6"/>
  <c r="U101" i="6"/>
  <c r="U102" i="6"/>
  <c r="U103" i="6"/>
  <c r="U104" i="6"/>
  <c r="U105" i="6"/>
  <c r="U106" i="6"/>
  <c r="U107" i="6"/>
  <c r="U108" i="6"/>
  <c r="U109" i="6"/>
  <c r="U110" i="6"/>
  <c r="U111" i="6"/>
  <c r="U112" i="6"/>
  <c r="U113" i="6"/>
  <c r="U114" i="6"/>
  <c r="U115" i="6"/>
  <c r="U116" i="6"/>
  <c r="U117" i="6"/>
  <c r="U118" i="6"/>
  <c r="U119" i="6"/>
  <c r="U120" i="6"/>
  <c r="U121" i="6"/>
  <c r="U122" i="6"/>
  <c r="U123" i="6"/>
  <c r="U124" i="6"/>
  <c r="U125" i="6"/>
  <c r="U126" i="6"/>
  <c r="U127" i="6"/>
  <c r="U128" i="6"/>
  <c r="U129" i="6"/>
  <c r="U130" i="6"/>
  <c r="U131" i="6"/>
  <c r="U132" i="6"/>
  <c r="U133" i="6"/>
  <c r="U134" i="6"/>
  <c r="U135" i="6"/>
  <c r="U136" i="6"/>
  <c r="U137" i="6"/>
  <c r="U138" i="6"/>
  <c r="U139" i="6"/>
  <c r="U140" i="6"/>
  <c r="U141" i="6"/>
  <c r="U142" i="6"/>
  <c r="U143" i="6"/>
  <c r="U144" i="6"/>
  <c r="U145" i="6"/>
  <c r="U146" i="6"/>
  <c r="U147" i="6"/>
  <c r="U148" i="6"/>
  <c r="U149" i="6"/>
  <c r="U150" i="6"/>
  <c r="U151" i="6"/>
  <c r="U152" i="6"/>
  <c r="U153" i="6"/>
  <c r="U154" i="6"/>
  <c r="U155" i="6"/>
  <c r="U156" i="6"/>
  <c r="U157" i="6"/>
  <c r="U158" i="6"/>
  <c r="U159" i="6"/>
  <c r="U160" i="6"/>
  <c r="U161" i="6"/>
  <c r="U162" i="6"/>
  <c r="U163" i="6"/>
  <c r="U164" i="6"/>
  <c r="U165" i="6"/>
  <c r="U166" i="6"/>
  <c r="U167" i="6"/>
  <c r="U168" i="6"/>
  <c r="U169" i="6"/>
  <c r="U170" i="6"/>
  <c r="U171" i="6"/>
  <c r="U172" i="6"/>
  <c r="U173" i="6"/>
  <c r="U174" i="6"/>
  <c r="U175" i="6"/>
  <c r="U176" i="6"/>
  <c r="U177" i="6"/>
  <c r="U178" i="6"/>
  <c r="U179" i="6"/>
  <c r="U180" i="6"/>
  <c r="U181" i="6"/>
  <c r="U182" i="6"/>
  <c r="U183" i="6"/>
  <c r="U184" i="6"/>
  <c r="U185" i="6"/>
  <c r="U186" i="6"/>
  <c r="U187" i="6"/>
  <c r="U188" i="6"/>
  <c r="U189" i="6"/>
  <c r="U190" i="6"/>
  <c r="U191" i="6"/>
  <c r="U192" i="6"/>
  <c r="U193" i="6"/>
  <c r="U194" i="6"/>
  <c r="U195" i="6"/>
  <c r="U196" i="6"/>
  <c r="U197" i="6"/>
  <c r="U198" i="6"/>
  <c r="U199" i="6"/>
  <c r="U200" i="6"/>
  <c r="U201" i="6"/>
  <c r="U202" i="6"/>
  <c r="U203" i="6"/>
  <c r="U204" i="6"/>
  <c r="U205" i="6"/>
  <c r="U206" i="6"/>
  <c r="U207" i="6"/>
  <c r="U208" i="6"/>
  <c r="U209" i="6"/>
  <c r="U210" i="6"/>
  <c r="U211" i="6"/>
  <c r="U212" i="6"/>
  <c r="U213" i="6"/>
  <c r="U214" i="6"/>
  <c r="U215" i="6"/>
  <c r="U216" i="6"/>
  <c r="U217" i="6"/>
  <c r="U218" i="6"/>
  <c r="U219" i="6"/>
  <c r="U220" i="6"/>
  <c r="U221" i="6"/>
  <c r="U222" i="6"/>
  <c r="U223" i="6"/>
  <c r="U224" i="6"/>
  <c r="U225" i="6"/>
  <c r="U226" i="6"/>
  <c r="U227" i="6"/>
  <c r="U228" i="6"/>
  <c r="U229" i="6"/>
  <c r="U230" i="6"/>
  <c r="U231" i="6"/>
  <c r="U232" i="6"/>
  <c r="U233" i="6"/>
  <c r="U234" i="6"/>
  <c r="U235" i="6"/>
  <c r="U236" i="6"/>
  <c r="U237" i="6"/>
  <c r="U238" i="6"/>
  <c r="U239" i="6"/>
  <c r="U240" i="6"/>
  <c r="U241" i="6"/>
  <c r="U242" i="6"/>
  <c r="U243" i="6"/>
  <c r="U244" i="6"/>
  <c r="U245" i="6"/>
  <c r="U246" i="6"/>
  <c r="U247" i="6"/>
  <c r="U248" i="6"/>
  <c r="U249" i="6"/>
  <c r="U250" i="6"/>
  <c r="U251" i="6"/>
  <c r="U252" i="6"/>
  <c r="U253" i="6"/>
  <c r="U254" i="6"/>
  <c r="U255" i="6"/>
  <c r="U256" i="6"/>
  <c r="U257" i="6"/>
  <c r="U258" i="6"/>
  <c r="U259" i="6"/>
  <c r="U260" i="6"/>
  <c r="U261" i="6"/>
  <c r="U262" i="6"/>
  <c r="U263" i="6"/>
  <c r="U264" i="6"/>
  <c r="U265" i="6"/>
  <c r="U266" i="6"/>
  <c r="U267" i="6"/>
  <c r="U268" i="6"/>
  <c r="U269" i="6"/>
  <c r="U270" i="6"/>
  <c r="U271" i="6"/>
  <c r="U272" i="6"/>
  <c r="U273" i="6"/>
  <c r="U274" i="6"/>
  <c r="U275" i="6"/>
  <c r="U276" i="6"/>
  <c r="U277" i="6"/>
  <c r="U278" i="6"/>
  <c r="U279" i="6"/>
  <c r="U280" i="6"/>
  <c r="U281" i="6"/>
  <c r="U282" i="6"/>
  <c r="U283" i="6"/>
  <c r="U284" i="6"/>
  <c r="U285" i="6"/>
  <c r="U286" i="6"/>
  <c r="U287" i="6"/>
  <c r="U288" i="6"/>
  <c r="U289" i="6"/>
  <c r="U290" i="6"/>
  <c r="U291" i="6"/>
  <c r="U292" i="6"/>
  <c r="U293" i="6"/>
  <c r="U294" i="6"/>
  <c r="U295" i="6"/>
  <c r="U296" i="6"/>
  <c r="U297" i="6"/>
  <c r="U298" i="6"/>
  <c r="U299" i="6"/>
  <c r="U300" i="6"/>
  <c r="U301" i="6"/>
  <c r="U302" i="6"/>
  <c r="U303" i="6"/>
  <c r="U304" i="6"/>
  <c r="U305" i="6"/>
  <c r="U306" i="6"/>
  <c r="U307" i="6"/>
  <c r="U308" i="6"/>
  <c r="U309" i="6"/>
  <c r="U310" i="6"/>
  <c r="U311" i="6"/>
  <c r="U312" i="6"/>
  <c r="U313" i="6"/>
  <c r="U314" i="6"/>
  <c r="U315" i="6"/>
  <c r="U316" i="6"/>
  <c r="U317" i="6"/>
  <c r="U318" i="6"/>
  <c r="U319" i="6"/>
  <c r="U320" i="6"/>
  <c r="U321" i="6"/>
  <c r="U322" i="6"/>
  <c r="U323" i="6"/>
  <c r="U324" i="6"/>
  <c r="U325" i="6"/>
  <c r="U326" i="6"/>
  <c r="U327" i="6"/>
  <c r="U328" i="6"/>
  <c r="U329" i="6"/>
  <c r="U330" i="6"/>
  <c r="U331" i="6"/>
  <c r="U332" i="6"/>
  <c r="U333" i="6"/>
  <c r="U334" i="6"/>
  <c r="U335" i="6"/>
  <c r="U336" i="6"/>
  <c r="U337" i="6"/>
  <c r="U338" i="6"/>
  <c r="U339" i="6"/>
  <c r="U340" i="6"/>
  <c r="U341" i="6"/>
  <c r="U342" i="6"/>
  <c r="U343" i="6"/>
  <c r="U344" i="6"/>
  <c r="U345" i="6"/>
  <c r="U346" i="6"/>
  <c r="U347" i="6"/>
  <c r="U348" i="6"/>
  <c r="U349" i="6"/>
  <c r="U350" i="6"/>
  <c r="U351" i="6"/>
  <c r="U352" i="6"/>
  <c r="U353" i="6"/>
  <c r="U354" i="6"/>
  <c r="U355" i="6"/>
  <c r="U356" i="6"/>
  <c r="U357" i="6"/>
  <c r="U358" i="6"/>
  <c r="U359" i="6"/>
  <c r="U360" i="6"/>
  <c r="U361" i="6"/>
  <c r="U362" i="6"/>
  <c r="U363" i="6"/>
  <c r="U364" i="6"/>
  <c r="U365" i="6"/>
  <c r="U366" i="6"/>
  <c r="U367" i="6"/>
  <c r="U368" i="6"/>
  <c r="U369" i="6"/>
  <c r="U370" i="6"/>
  <c r="U371" i="6"/>
  <c r="U372" i="6"/>
  <c r="U373" i="6"/>
  <c r="U374" i="6"/>
  <c r="U375" i="6"/>
  <c r="U376" i="6"/>
  <c r="U377" i="6"/>
  <c r="U378" i="6"/>
  <c r="U379" i="6"/>
  <c r="U380" i="6"/>
  <c r="U381" i="6"/>
  <c r="U382" i="6"/>
  <c r="U383" i="6"/>
  <c r="U384" i="6"/>
  <c r="U385" i="6"/>
  <c r="U386" i="6"/>
  <c r="U387" i="6"/>
  <c r="U388" i="6"/>
  <c r="U389" i="6"/>
  <c r="U390" i="6"/>
  <c r="U391" i="6"/>
  <c r="U392" i="6"/>
  <c r="U393" i="6"/>
  <c r="U394" i="6"/>
  <c r="U395" i="6"/>
  <c r="U396" i="6"/>
  <c r="U397" i="6"/>
  <c r="U398" i="6"/>
  <c r="U399" i="6"/>
  <c r="U400" i="6"/>
  <c r="U401" i="6"/>
  <c r="U402" i="6"/>
  <c r="U403" i="6"/>
  <c r="U404" i="6"/>
  <c r="U405" i="6"/>
  <c r="U406" i="6"/>
  <c r="U407" i="6"/>
  <c r="U408" i="6"/>
  <c r="U409" i="6"/>
  <c r="U410" i="6"/>
  <c r="U411" i="6"/>
  <c r="U412" i="6"/>
  <c r="U413" i="6"/>
  <c r="U414" i="6"/>
  <c r="U415" i="6"/>
  <c r="U416" i="6"/>
  <c r="U417" i="6"/>
  <c r="U418" i="6"/>
  <c r="U419" i="6"/>
  <c r="U420" i="6"/>
  <c r="U421" i="6"/>
  <c r="U422" i="6"/>
  <c r="U423" i="6"/>
  <c r="U424" i="6"/>
  <c r="U425" i="6"/>
  <c r="U426" i="6"/>
  <c r="U427" i="6"/>
  <c r="U428" i="6"/>
  <c r="U429" i="6"/>
  <c r="U430" i="6"/>
  <c r="U431" i="6"/>
  <c r="U432" i="6"/>
  <c r="U433" i="6"/>
  <c r="U434" i="6"/>
  <c r="U435" i="6"/>
  <c r="U436" i="6"/>
  <c r="U437" i="6"/>
  <c r="U438" i="6"/>
  <c r="U439" i="6"/>
  <c r="U440" i="6"/>
  <c r="U441" i="6"/>
  <c r="U442" i="6"/>
  <c r="U443" i="6"/>
  <c r="U444" i="6"/>
  <c r="U445" i="6"/>
  <c r="U446" i="6"/>
  <c r="U447" i="6"/>
  <c r="U448" i="6"/>
  <c r="U449" i="6"/>
  <c r="U450" i="6"/>
  <c r="U451" i="6"/>
  <c r="U452" i="6"/>
  <c r="U453" i="6"/>
  <c r="U454" i="6"/>
  <c r="U455" i="6"/>
  <c r="U456" i="6"/>
  <c r="U457" i="6"/>
  <c r="U458" i="6"/>
  <c r="U459" i="6"/>
  <c r="U460" i="6"/>
  <c r="U461" i="6"/>
  <c r="U462" i="6"/>
  <c r="U463" i="6"/>
  <c r="U464" i="6"/>
  <c r="U465" i="6"/>
  <c r="U466" i="6"/>
  <c r="U467" i="6"/>
  <c r="U468" i="6"/>
  <c r="U469" i="6"/>
  <c r="U470" i="6"/>
  <c r="U471" i="6"/>
  <c r="U472" i="6"/>
  <c r="U473" i="6"/>
  <c r="U474" i="6"/>
  <c r="U475" i="6"/>
  <c r="U476" i="6"/>
  <c r="U477" i="6"/>
  <c r="U478" i="6"/>
  <c r="U479" i="6"/>
  <c r="U480" i="6"/>
  <c r="U481" i="6"/>
  <c r="U482" i="6"/>
  <c r="U483" i="6"/>
  <c r="U484" i="6"/>
  <c r="U485" i="6"/>
  <c r="U486" i="6"/>
  <c r="U487" i="6"/>
  <c r="U488" i="6"/>
  <c r="U489" i="6"/>
  <c r="U490" i="6"/>
  <c r="U491" i="6"/>
  <c r="U492" i="6"/>
  <c r="U493" i="6"/>
  <c r="U494" i="6"/>
  <c r="U495" i="6"/>
  <c r="U496" i="6"/>
  <c r="U497" i="6"/>
  <c r="U498" i="6"/>
  <c r="U499" i="6"/>
  <c r="U500" i="6"/>
  <c r="U501" i="6"/>
  <c r="U502" i="6"/>
  <c r="U503" i="6"/>
  <c r="U504" i="6"/>
  <c r="U505" i="6"/>
  <c r="U506" i="6"/>
  <c r="U507" i="6"/>
  <c r="U508" i="6"/>
  <c r="U509" i="6"/>
  <c r="U510" i="6"/>
  <c r="U511" i="6"/>
  <c r="U512" i="6"/>
  <c r="U513" i="6"/>
  <c r="U514" i="6"/>
  <c r="U515" i="6"/>
  <c r="U516" i="6"/>
  <c r="U517" i="6"/>
  <c r="U518" i="6"/>
  <c r="U519" i="6"/>
  <c r="U520" i="6"/>
  <c r="U521" i="6"/>
  <c r="U522" i="6"/>
  <c r="U523" i="6"/>
  <c r="U524" i="6"/>
  <c r="U525" i="6"/>
  <c r="U526" i="6"/>
  <c r="U527" i="6"/>
  <c r="U528" i="6"/>
  <c r="U529" i="6"/>
  <c r="U530" i="6"/>
  <c r="U531" i="6"/>
  <c r="U532" i="6"/>
  <c r="U533" i="6"/>
  <c r="U534" i="6"/>
  <c r="U535" i="6"/>
  <c r="U536" i="6"/>
  <c r="U537" i="6"/>
  <c r="U538" i="6"/>
  <c r="U539" i="6"/>
  <c r="U540" i="6"/>
  <c r="U541" i="6"/>
  <c r="U542" i="6"/>
  <c r="U543" i="6"/>
  <c r="U544" i="6"/>
  <c r="U545" i="6"/>
  <c r="U546" i="6"/>
  <c r="U547" i="6"/>
  <c r="U548" i="6"/>
  <c r="U549" i="6"/>
  <c r="U550" i="6"/>
  <c r="U551" i="6"/>
  <c r="U552" i="6"/>
  <c r="U553" i="6"/>
  <c r="U554" i="6"/>
  <c r="U555" i="6"/>
  <c r="U556" i="6"/>
  <c r="U557" i="6"/>
  <c r="U558" i="6"/>
  <c r="U559" i="6"/>
  <c r="U560" i="6"/>
  <c r="U561" i="6"/>
  <c r="U562" i="6"/>
  <c r="U563" i="6"/>
  <c r="U564" i="6"/>
  <c r="U565" i="6"/>
  <c r="U566" i="6"/>
  <c r="U567" i="6"/>
  <c r="U568" i="6"/>
  <c r="U569" i="6"/>
  <c r="U570" i="6"/>
  <c r="U571" i="6"/>
  <c r="U572" i="6"/>
  <c r="U573" i="6"/>
  <c r="U574" i="6"/>
  <c r="U575" i="6"/>
  <c r="U576" i="6"/>
  <c r="U577" i="6"/>
  <c r="U578" i="6"/>
  <c r="U579" i="6"/>
  <c r="U580" i="6"/>
  <c r="U581" i="6"/>
  <c r="U582" i="6"/>
  <c r="U583" i="6"/>
  <c r="U584" i="6"/>
  <c r="U585" i="6"/>
  <c r="U586" i="6"/>
  <c r="U587" i="6"/>
  <c r="U588" i="6"/>
  <c r="U589" i="6"/>
  <c r="U590" i="6"/>
  <c r="U591" i="6"/>
  <c r="U592" i="6"/>
  <c r="U593" i="6"/>
  <c r="U594" i="6"/>
  <c r="U595" i="6"/>
  <c r="U596" i="6"/>
  <c r="U597" i="6"/>
  <c r="U598" i="6"/>
  <c r="U599" i="6"/>
  <c r="U600" i="6"/>
  <c r="U601" i="6"/>
  <c r="U602" i="6"/>
  <c r="U603" i="6"/>
  <c r="U604" i="6"/>
  <c r="U605" i="6"/>
  <c r="U606" i="6"/>
  <c r="U607" i="6"/>
  <c r="U608" i="6"/>
  <c r="U609" i="6"/>
  <c r="U610" i="6"/>
  <c r="U611" i="6"/>
  <c r="U612" i="6"/>
  <c r="U613" i="6"/>
  <c r="U614" i="6"/>
  <c r="U615" i="6"/>
  <c r="U616" i="6"/>
  <c r="U617" i="6"/>
  <c r="U618" i="6"/>
  <c r="U619" i="6"/>
  <c r="U620" i="6"/>
  <c r="U621" i="6"/>
  <c r="U622" i="6"/>
  <c r="U623" i="6"/>
  <c r="U624" i="6"/>
  <c r="U625" i="6"/>
  <c r="U626" i="6"/>
  <c r="U627" i="6"/>
  <c r="U628" i="6"/>
  <c r="U629" i="6"/>
  <c r="U630" i="6"/>
  <c r="U631" i="6"/>
  <c r="U632" i="6"/>
  <c r="U633" i="6"/>
  <c r="U634" i="6"/>
  <c r="U635" i="6"/>
  <c r="U636" i="6"/>
  <c r="U637" i="6"/>
  <c r="U638" i="6"/>
  <c r="U639" i="6"/>
  <c r="U640" i="6"/>
  <c r="U641" i="6"/>
  <c r="U642" i="6"/>
  <c r="U643" i="6"/>
  <c r="U644" i="6"/>
  <c r="U645" i="6"/>
  <c r="U646" i="6"/>
  <c r="U647" i="6"/>
  <c r="U648" i="6"/>
  <c r="U649" i="6"/>
  <c r="U650" i="6"/>
  <c r="U651" i="6"/>
  <c r="U652" i="6"/>
  <c r="U653" i="6"/>
  <c r="U654" i="6"/>
  <c r="U655" i="6"/>
  <c r="U656" i="6"/>
  <c r="U657" i="6"/>
  <c r="U658" i="6"/>
  <c r="U659" i="6"/>
  <c r="U660" i="6"/>
  <c r="U661" i="6"/>
  <c r="U662" i="6"/>
  <c r="U663" i="6"/>
  <c r="U664" i="6"/>
  <c r="U665" i="6"/>
  <c r="U666" i="6"/>
  <c r="U667" i="6"/>
  <c r="U668" i="6"/>
  <c r="U669" i="6"/>
  <c r="U670" i="6"/>
  <c r="U671" i="6"/>
  <c r="U672" i="6"/>
  <c r="U673" i="6"/>
  <c r="U674" i="6"/>
  <c r="U675" i="6"/>
  <c r="U676" i="6"/>
  <c r="U677" i="6"/>
  <c r="U678" i="6"/>
  <c r="U679" i="6"/>
  <c r="U680" i="6"/>
  <c r="U681" i="6"/>
  <c r="U682" i="6"/>
  <c r="U683" i="6"/>
  <c r="U684" i="6"/>
  <c r="U685" i="6"/>
  <c r="U686" i="6"/>
  <c r="U687" i="6"/>
  <c r="U688" i="6"/>
  <c r="U689" i="6"/>
  <c r="U690" i="6"/>
  <c r="U691" i="6"/>
  <c r="U692" i="6"/>
  <c r="U693" i="6"/>
  <c r="U694" i="6"/>
  <c r="U695" i="6"/>
  <c r="U696" i="6"/>
  <c r="U697" i="6"/>
  <c r="U698" i="6"/>
  <c r="U699" i="6"/>
  <c r="U700" i="6"/>
  <c r="U701" i="6"/>
  <c r="U702" i="6"/>
  <c r="U703" i="6"/>
  <c r="U704" i="6"/>
  <c r="U705" i="6"/>
  <c r="U706" i="6"/>
  <c r="U707" i="6"/>
  <c r="U708" i="6"/>
  <c r="U709" i="6"/>
  <c r="U710" i="6"/>
  <c r="U711" i="6"/>
  <c r="U712" i="6"/>
  <c r="U713" i="6"/>
  <c r="U714" i="6"/>
  <c r="U715" i="6"/>
  <c r="U716" i="6"/>
  <c r="U717" i="6"/>
  <c r="U718" i="6"/>
  <c r="U719" i="6"/>
  <c r="U720" i="6"/>
  <c r="U721" i="6"/>
  <c r="U722" i="6"/>
  <c r="U723" i="6"/>
  <c r="U724" i="6"/>
  <c r="U725" i="6"/>
  <c r="U726" i="6"/>
  <c r="U727" i="6"/>
  <c r="U728" i="6"/>
  <c r="U729" i="6"/>
  <c r="U730" i="6"/>
  <c r="U731" i="6"/>
  <c r="U732" i="6"/>
  <c r="U733" i="6"/>
  <c r="U734" i="6"/>
  <c r="U735" i="6"/>
  <c r="U736" i="6"/>
  <c r="U737" i="6"/>
  <c r="U738" i="6"/>
  <c r="U739" i="6"/>
  <c r="U740" i="6"/>
  <c r="U741" i="6"/>
  <c r="U742" i="6"/>
  <c r="U743" i="6"/>
  <c r="U744" i="6"/>
  <c r="U745" i="6"/>
  <c r="U746" i="6"/>
  <c r="U747" i="6"/>
  <c r="U748" i="6"/>
  <c r="U749" i="6"/>
  <c r="U750" i="6"/>
  <c r="U751" i="6"/>
  <c r="U752" i="6"/>
  <c r="U753" i="6"/>
  <c r="U754" i="6"/>
  <c r="U755" i="6"/>
  <c r="U756" i="6"/>
  <c r="U757" i="6"/>
  <c r="U758" i="6"/>
  <c r="U759" i="6"/>
  <c r="U760" i="6"/>
  <c r="U761" i="6"/>
  <c r="U762" i="6"/>
  <c r="U763" i="6"/>
  <c r="U764" i="6"/>
  <c r="U765" i="6"/>
  <c r="U766" i="6"/>
  <c r="U767" i="6"/>
  <c r="U768" i="6"/>
  <c r="U769" i="6"/>
  <c r="U770" i="6"/>
  <c r="U771" i="6"/>
  <c r="U772" i="6"/>
  <c r="U773" i="6"/>
  <c r="U774" i="6"/>
  <c r="U775" i="6"/>
  <c r="U776" i="6"/>
  <c r="U777" i="6"/>
  <c r="U778" i="6"/>
  <c r="U779" i="6"/>
  <c r="U780" i="6"/>
  <c r="U781" i="6"/>
  <c r="U782" i="6"/>
  <c r="U783" i="6"/>
  <c r="U784" i="6"/>
  <c r="U785" i="6"/>
  <c r="U786" i="6"/>
  <c r="U787" i="6"/>
  <c r="U788" i="6"/>
  <c r="U789" i="6"/>
  <c r="U790" i="6"/>
  <c r="U791" i="6"/>
  <c r="U792" i="6"/>
  <c r="U793" i="6"/>
  <c r="U794" i="6"/>
  <c r="U795" i="6"/>
  <c r="U796" i="6"/>
  <c r="U797" i="6"/>
  <c r="U798" i="6"/>
  <c r="U799" i="6"/>
  <c r="U800" i="6"/>
  <c r="U801" i="6"/>
  <c r="U802" i="6"/>
  <c r="U803" i="6"/>
  <c r="U804" i="6"/>
  <c r="U805" i="6"/>
  <c r="U806" i="6"/>
  <c r="U807" i="6"/>
  <c r="U808" i="6"/>
  <c r="U809" i="6"/>
  <c r="U810" i="6"/>
  <c r="U811" i="6"/>
  <c r="U812" i="6"/>
  <c r="U813" i="6"/>
  <c r="U814" i="6"/>
  <c r="U815" i="6"/>
  <c r="U816" i="6"/>
  <c r="U817" i="6"/>
  <c r="U818" i="6"/>
  <c r="U819" i="6"/>
  <c r="U820" i="6"/>
  <c r="U821" i="6"/>
  <c r="U822" i="6"/>
  <c r="U823" i="6"/>
  <c r="U824" i="6"/>
  <c r="U825" i="6"/>
  <c r="U826" i="6"/>
  <c r="U827" i="6"/>
  <c r="U828" i="6"/>
  <c r="U829" i="6"/>
  <c r="U830" i="6"/>
  <c r="U831" i="6"/>
  <c r="U832" i="6"/>
  <c r="U833" i="6"/>
  <c r="U834" i="6"/>
  <c r="U835" i="6"/>
  <c r="U836" i="6"/>
  <c r="U837" i="6"/>
  <c r="U838" i="6"/>
  <c r="U839" i="6"/>
  <c r="U840" i="6"/>
  <c r="U841" i="6"/>
  <c r="U842" i="6"/>
  <c r="U843" i="6"/>
  <c r="U844" i="6"/>
  <c r="U845" i="6"/>
  <c r="U846" i="6"/>
  <c r="U847" i="6"/>
  <c r="U848" i="6"/>
  <c r="U849" i="6"/>
  <c r="U850" i="6"/>
  <c r="U851" i="6"/>
  <c r="U852" i="6"/>
  <c r="U853" i="6"/>
  <c r="U854" i="6"/>
  <c r="U855" i="6"/>
  <c r="U856" i="6"/>
  <c r="U857" i="6"/>
  <c r="U858" i="6"/>
  <c r="U859" i="6"/>
  <c r="U860" i="6"/>
  <c r="U861" i="6"/>
  <c r="U862" i="6"/>
  <c r="U863" i="6"/>
  <c r="U864" i="6"/>
  <c r="U865" i="6"/>
  <c r="U866" i="6"/>
  <c r="U867" i="6"/>
  <c r="U868" i="6"/>
  <c r="U869" i="6"/>
  <c r="U870" i="6"/>
  <c r="U871" i="6"/>
  <c r="U872" i="6"/>
  <c r="U873" i="6"/>
  <c r="U874" i="6"/>
  <c r="U875" i="6"/>
  <c r="U876" i="6"/>
  <c r="U877" i="6"/>
  <c r="U878" i="6"/>
  <c r="U879" i="6"/>
  <c r="U880" i="6"/>
  <c r="U881" i="6"/>
  <c r="U882" i="6"/>
  <c r="U883" i="6"/>
  <c r="U884" i="6"/>
  <c r="U885" i="6"/>
  <c r="U886" i="6"/>
  <c r="U887" i="6"/>
  <c r="U888" i="6"/>
  <c r="U889" i="6"/>
  <c r="U890" i="6"/>
  <c r="U891" i="6"/>
  <c r="U892" i="6"/>
  <c r="U893" i="6"/>
  <c r="U894" i="6"/>
  <c r="U895" i="6"/>
  <c r="U896" i="6"/>
  <c r="U897" i="6"/>
  <c r="U898" i="6"/>
  <c r="U899" i="6"/>
  <c r="U900" i="6"/>
  <c r="U901" i="6"/>
  <c r="U902" i="6"/>
  <c r="U903" i="6"/>
  <c r="U904" i="6"/>
  <c r="U905" i="6"/>
  <c r="U906" i="6"/>
  <c r="U907" i="6"/>
  <c r="U908" i="6"/>
  <c r="U909" i="6"/>
  <c r="U910" i="6"/>
  <c r="U911" i="6"/>
  <c r="U912" i="6"/>
  <c r="U913" i="6"/>
  <c r="U914" i="6"/>
  <c r="U915" i="6"/>
  <c r="U916" i="6"/>
  <c r="U917" i="6"/>
  <c r="U918" i="6"/>
  <c r="U919" i="6"/>
  <c r="U920" i="6"/>
  <c r="U921" i="6"/>
  <c r="U922" i="6"/>
  <c r="U923" i="6"/>
  <c r="U924" i="6"/>
  <c r="U925" i="6"/>
  <c r="U926" i="6"/>
  <c r="U927" i="6"/>
  <c r="U928" i="6"/>
  <c r="U929" i="6"/>
  <c r="U930" i="6"/>
  <c r="U931" i="6"/>
  <c r="U932" i="6"/>
  <c r="U933" i="6"/>
  <c r="U934" i="6"/>
  <c r="U935" i="6"/>
  <c r="U936" i="6"/>
  <c r="U937" i="6"/>
  <c r="U938" i="6"/>
  <c r="U939" i="6"/>
  <c r="U940" i="6"/>
  <c r="U941" i="6"/>
  <c r="U942" i="6"/>
  <c r="U943" i="6"/>
  <c r="U944" i="6"/>
  <c r="U945" i="6"/>
  <c r="U946" i="6"/>
  <c r="U947" i="6"/>
  <c r="U948" i="6"/>
  <c r="U949" i="6"/>
  <c r="U950" i="6"/>
  <c r="U951" i="6"/>
  <c r="U952" i="6"/>
  <c r="U953" i="6"/>
  <c r="U954" i="6"/>
  <c r="U955" i="6"/>
  <c r="U956" i="6"/>
  <c r="U957" i="6"/>
  <c r="U958" i="6"/>
  <c r="U959" i="6"/>
  <c r="U960" i="6"/>
  <c r="U961" i="6"/>
  <c r="U962" i="6"/>
  <c r="U963" i="6"/>
  <c r="U964" i="6"/>
  <c r="U965" i="6"/>
  <c r="U966" i="6"/>
  <c r="U967" i="6"/>
  <c r="U968" i="6"/>
  <c r="U969" i="6"/>
  <c r="U970" i="6"/>
  <c r="U971" i="6"/>
  <c r="U972" i="6"/>
  <c r="U973" i="6"/>
  <c r="U974" i="6"/>
  <c r="U975" i="6"/>
  <c r="U976" i="6"/>
  <c r="U977" i="6"/>
  <c r="U978" i="6"/>
  <c r="U979" i="6"/>
  <c r="U980" i="6"/>
  <c r="U981" i="6"/>
  <c r="U982" i="6"/>
  <c r="U983" i="6"/>
  <c r="U984" i="6"/>
  <c r="U985" i="6"/>
  <c r="U986" i="6"/>
  <c r="U987" i="6"/>
  <c r="U988" i="6"/>
  <c r="U989" i="6"/>
  <c r="U990" i="6"/>
  <c r="U991" i="6"/>
  <c r="U992" i="6"/>
  <c r="U993" i="6"/>
  <c r="U994" i="6"/>
  <c r="U995" i="6"/>
  <c r="U996" i="6"/>
  <c r="U997" i="6"/>
  <c r="U998" i="6"/>
  <c r="U999" i="6"/>
  <c r="U1000" i="6"/>
  <c r="U1001" i="6"/>
  <c r="T3" i="6"/>
  <c r="T4" i="6"/>
  <c r="T5" i="6"/>
  <c r="T6" i="6"/>
  <c r="T7" i="6"/>
  <c r="T8" i="6"/>
  <c r="T9" i="6"/>
  <c r="T10" i="6"/>
  <c r="T11" i="6"/>
  <c r="T12" i="6"/>
  <c r="T13" i="6"/>
  <c r="T14" i="6"/>
  <c r="T15" i="6"/>
  <c r="T16" i="6"/>
  <c r="T17" i="6"/>
  <c r="T18" i="6"/>
  <c r="T19" i="6"/>
  <c r="T20" i="6"/>
  <c r="T21" i="6"/>
  <c r="T22" i="6"/>
  <c r="T23" i="6"/>
  <c r="T24" i="6"/>
  <c r="T25" i="6"/>
  <c r="T26" i="6"/>
  <c r="T27" i="6"/>
  <c r="T28" i="6"/>
  <c r="V5" i="6" s="1"/>
  <c r="T29" i="6"/>
  <c r="T30" i="6"/>
  <c r="T31" i="6"/>
  <c r="T32" i="6"/>
  <c r="V9" i="6" s="1"/>
  <c r="T33" i="6"/>
  <c r="T34" i="6"/>
  <c r="T35" i="6"/>
  <c r="T36" i="6"/>
  <c r="V13" i="6" s="1"/>
  <c r="T37" i="6"/>
  <c r="T38" i="6"/>
  <c r="T39" i="6"/>
  <c r="T40" i="6"/>
  <c r="V17" i="6" s="1"/>
  <c r="T41" i="6"/>
  <c r="T42" i="6"/>
  <c r="T43" i="6"/>
  <c r="T44" i="6"/>
  <c r="V21" i="6" s="1"/>
  <c r="W5" i="6" s="1"/>
  <c r="T45" i="6"/>
  <c r="T46" i="6"/>
  <c r="T47" i="6"/>
  <c r="T48" i="6"/>
  <c r="V25" i="6" s="1"/>
  <c r="W9" i="6" s="1"/>
  <c r="T49" i="6"/>
  <c r="T50" i="6"/>
  <c r="T51" i="6"/>
  <c r="T52" i="6"/>
  <c r="V29" i="6" s="1"/>
  <c r="W13" i="6" s="1"/>
  <c r="T53" i="6"/>
  <c r="T54" i="6"/>
  <c r="T55" i="6"/>
  <c r="T56" i="6"/>
  <c r="V33" i="6" s="1"/>
  <c r="W17" i="6" s="1"/>
  <c r="T57" i="6"/>
  <c r="T58" i="6"/>
  <c r="T59" i="6"/>
  <c r="T60" i="6"/>
  <c r="V37" i="6" s="1"/>
  <c r="W21" i="6" s="1"/>
  <c r="T61" i="6"/>
  <c r="T62" i="6"/>
  <c r="T63" i="6"/>
  <c r="T64" i="6"/>
  <c r="V41" i="6" s="1"/>
  <c r="W25" i="6" s="1"/>
  <c r="T65" i="6"/>
  <c r="T66" i="6"/>
  <c r="T67" i="6"/>
  <c r="T68" i="6"/>
  <c r="V45" i="6" s="1"/>
  <c r="W29" i="6" s="1"/>
  <c r="T69" i="6"/>
  <c r="T70" i="6"/>
  <c r="T71" i="6"/>
  <c r="T72" i="6"/>
  <c r="V49" i="6" s="1"/>
  <c r="W33" i="6" s="1"/>
  <c r="T73" i="6"/>
  <c r="T74" i="6"/>
  <c r="T75" i="6"/>
  <c r="T76" i="6"/>
  <c r="V53" i="6" s="1"/>
  <c r="W37" i="6" s="1"/>
  <c r="T77" i="6"/>
  <c r="T78" i="6"/>
  <c r="T79" i="6"/>
  <c r="T80" i="6"/>
  <c r="V57" i="6" s="1"/>
  <c r="W41" i="6" s="1"/>
  <c r="T81" i="6"/>
  <c r="T82" i="6"/>
  <c r="T83" i="6"/>
  <c r="T84" i="6"/>
  <c r="V61" i="6" s="1"/>
  <c r="W45" i="6" s="1"/>
  <c r="T85" i="6"/>
  <c r="T86" i="6"/>
  <c r="T87" i="6"/>
  <c r="T88" i="6"/>
  <c r="V65" i="6" s="1"/>
  <c r="W49" i="6" s="1"/>
  <c r="T89" i="6"/>
  <c r="T90" i="6"/>
  <c r="T91" i="6"/>
  <c r="T92" i="6"/>
  <c r="V69" i="6" s="1"/>
  <c r="W53" i="6" s="1"/>
  <c r="T93" i="6"/>
  <c r="T94" i="6"/>
  <c r="T95" i="6"/>
  <c r="T96" i="6"/>
  <c r="V73" i="6" s="1"/>
  <c r="W57" i="6" s="1"/>
  <c r="T97" i="6"/>
  <c r="T98" i="6"/>
  <c r="T99" i="6"/>
  <c r="T100" i="6"/>
  <c r="V77" i="6" s="1"/>
  <c r="W61" i="6" s="1"/>
  <c r="T101" i="6"/>
  <c r="T102" i="6"/>
  <c r="T103" i="6"/>
  <c r="T104" i="6"/>
  <c r="V81" i="6" s="1"/>
  <c r="W65" i="6" s="1"/>
  <c r="T105" i="6"/>
  <c r="T106" i="6"/>
  <c r="T107" i="6"/>
  <c r="T108" i="6"/>
  <c r="V85" i="6" s="1"/>
  <c r="W69" i="6" s="1"/>
  <c r="T109" i="6"/>
  <c r="T110" i="6"/>
  <c r="T111" i="6"/>
  <c r="T112" i="6"/>
  <c r="V89" i="6" s="1"/>
  <c r="W73" i="6" s="1"/>
  <c r="T113" i="6"/>
  <c r="T114" i="6"/>
  <c r="T115" i="6"/>
  <c r="T116" i="6"/>
  <c r="V93" i="6" s="1"/>
  <c r="W77" i="6" s="1"/>
  <c r="T117" i="6"/>
  <c r="T118" i="6"/>
  <c r="T119" i="6"/>
  <c r="T120" i="6"/>
  <c r="V97" i="6" s="1"/>
  <c r="W81" i="6" s="1"/>
  <c r="T121" i="6"/>
  <c r="T122" i="6"/>
  <c r="T123" i="6"/>
  <c r="T124" i="6"/>
  <c r="V101" i="6" s="1"/>
  <c r="W85" i="6" s="1"/>
  <c r="T125" i="6"/>
  <c r="T126" i="6"/>
  <c r="T127" i="6"/>
  <c r="T128" i="6"/>
  <c r="V105" i="6" s="1"/>
  <c r="W89" i="6" s="1"/>
  <c r="T129" i="6"/>
  <c r="T130" i="6"/>
  <c r="T131" i="6"/>
  <c r="T132" i="6"/>
  <c r="V109" i="6" s="1"/>
  <c r="W93" i="6" s="1"/>
  <c r="T133" i="6"/>
  <c r="T134" i="6"/>
  <c r="T135" i="6"/>
  <c r="T136" i="6"/>
  <c r="V113" i="6" s="1"/>
  <c r="W97" i="6" s="1"/>
  <c r="T137" i="6"/>
  <c r="T138" i="6"/>
  <c r="T139" i="6"/>
  <c r="T140" i="6"/>
  <c r="V117" i="6" s="1"/>
  <c r="W101" i="6" s="1"/>
  <c r="T141" i="6"/>
  <c r="T142" i="6"/>
  <c r="T143" i="6"/>
  <c r="T144" i="6"/>
  <c r="V121" i="6" s="1"/>
  <c r="W105" i="6" s="1"/>
  <c r="T145" i="6"/>
  <c r="T146" i="6"/>
  <c r="T147" i="6"/>
  <c r="T148" i="6"/>
  <c r="V125" i="6" s="1"/>
  <c r="W109" i="6" s="1"/>
  <c r="T149" i="6"/>
  <c r="T150" i="6"/>
  <c r="T151" i="6"/>
  <c r="T152" i="6"/>
  <c r="V129" i="6" s="1"/>
  <c r="W113" i="6" s="1"/>
  <c r="T153" i="6"/>
  <c r="T154" i="6"/>
  <c r="T155" i="6"/>
  <c r="T156" i="6"/>
  <c r="V133" i="6" s="1"/>
  <c r="W117" i="6" s="1"/>
  <c r="T157" i="6"/>
  <c r="T158" i="6"/>
  <c r="T159" i="6"/>
  <c r="T160" i="6"/>
  <c r="V137" i="6" s="1"/>
  <c r="W121" i="6" s="1"/>
  <c r="T161" i="6"/>
  <c r="T162" i="6"/>
  <c r="T163" i="6"/>
  <c r="T164" i="6"/>
  <c r="V141" i="6" s="1"/>
  <c r="W125" i="6" s="1"/>
  <c r="T165" i="6"/>
  <c r="T166" i="6"/>
  <c r="T167" i="6"/>
  <c r="T168" i="6"/>
  <c r="V145" i="6" s="1"/>
  <c r="W129" i="6" s="1"/>
  <c r="T169" i="6"/>
  <c r="T170" i="6"/>
  <c r="T171" i="6"/>
  <c r="T172" i="6"/>
  <c r="V149" i="6" s="1"/>
  <c r="W133" i="6" s="1"/>
  <c r="T173" i="6"/>
  <c r="T174" i="6"/>
  <c r="T175" i="6"/>
  <c r="T176" i="6"/>
  <c r="V153" i="6" s="1"/>
  <c r="W137" i="6" s="1"/>
  <c r="T177" i="6"/>
  <c r="T178" i="6"/>
  <c r="T179" i="6"/>
  <c r="T180" i="6"/>
  <c r="V157" i="6" s="1"/>
  <c r="W141" i="6" s="1"/>
  <c r="T181" i="6"/>
  <c r="T182" i="6"/>
  <c r="T183" i="6"/>
  <c r="T184" i="6"/>
  <c r="V161" i="6" s="1"/>
  <c r="W145" i="6" s="1"/>
  <c r="T185" i="6"/>
  <c r="T186" i="6"/>
  <c r="T187" i="6"/>
  <c r="T188" i="6"/>
  <c r="V165" i="6" s="1"/>
  <c r="W149" i="6" s="1"/>
  <c r="T189" i="6"/>
  <c r="T190" i="6"/>
  <c r="T191" i="6"/>
  <c r="T192" i="6"/>
  <c r="V169" i="6" s="1"/>
  <c r="W153" i="6" s="1"/>
  <c r="T193" i="6"/>
  <c r="T194" i="6"/>
  <c r="T195" i="6"/>
  <c r="T196" i="6"/>
  <c r="V173" i="6" s="1"/>
  <c r="W157" i="6" s="1"/>
  <c r="T197" i="6"/>
  <c r="T198" i="6"/>
  <c r="T199" i="6"/>
  <c r="T200" i="6"/>
  <c r="V177" i="6" s="1"/>
  <c r="W161" i="6" s="1"/>
  <c r="T201" i="6"/>
  <c r="T202" i="6"/>
  <c r="T203" i="6"/>
  <c r="T204" i="6"/>
  <c r="V181" i="6" s="1"/>
  <c r="W165" i="6" s="1"/>
  <c r="T205" i="6"/>
  <c r="T206" i="6"/>
  <c r="T207" i="6"/>
  <c r="T208" i="6"/>
  <c r="V185" i="6" s="1"/>
  <c r="W169" i="6" s="1"/>
  <c r="T209" i="6"/>
  <c r="T210" i="6"/>
  <c r="T211" i="6"/>
  <c r="T212" i="6"/>
  <c r="V189" i="6" s="1"/>
  <c r="W173" i="6" s="1"/>
  <c r="T213" i="6"/>
  <c r="T214" i="6"/>
  <c r="T215" i="6"/>
  <c r="T216" i="6"/>
  <c r="V193" i="6" s="1"/>
  <c r="W177" i="6" s="1"/>
  <c r="T217" i="6"/>
  <c r="T218" i="6"/>
  <c r="T219" i="6"/>
  <c r="T220" i="6"/>
  <c r="V197" i="6" s="1"/>
  <c r="W181" i="6" s="1"/>
  <c r="T221" i="6"/>
  <c r="T222" i="6"/>
  <c r="T223" i="6"/>
  <c r="T224" i="6"/>
  <c r="V201" i="6" s="1"/>
  <c r="W185" i="6" s="1"/>
  <c r="T225" i="6"/>
  <c r="T226" i="6"/>
  <c r="T227" i="6"/>
  <c r="T228" i="6"/>
  <c r="V205" i="6" s="1"/>
  <c r="W189" i="6" s="1"/>
  <c r="T229" i="6"/>
  <c r="T230" i="6"/>
  <c r="T231" i="6"/>
  <c r="T232" i="6"/>
  <c r="V209" i="6" s="1"/>
  <c r="W193" i="6" s="1"/>
  <c r="T233" i="6"/>
  <c r="T234" i="6"/>
  <c r="T235" i="6"/>
  <c r="T236" i="6"/>
  <c r="V213" i="6" s="1"/>
  <c r="W197" i="6" s="1"/>
  <c r="T237" i="6"/>
  <c r="T238" i="6"/>
  <c r="T239" i="6"/>
  <c r="T240" i="6"/>
  <c r="V217" i="6" s="1"/>
  <c r="W201" i="6" s="1"/>
  <c r="T241" i="6"/>
  <c r="T242" i="6"/>
  <c r="T243" i="6"/>
  <c r="T244" i="6"/>
  <c r="V221" i="6" s="1"/>
  <c r="W205" i="6" s="1"/>
  <c r="T245" i="6"/>
  <c r="T246" i="6"/>
  <c r="T247" i="6"/>
  <c r="T248" i="6"/>
  <c r="V225" i="6" s="1"/>
  <c r="W209" i="6" s="1"/>
  <c r="T249" i="6"/>
  <c r="T250" i="6"/>
  <c r="T251" i="6"/>
  <c r="T252" i="6"/>
  <c r="V229" i="6" s="1"/>
  <c r="W213" i="6" s="1"/>
  <c r="T253" i="6"/>
  <c r="T254" i="6"/>
  <c r="T255" i="6"/>
  <c r="T256" i="6"/>
  <c r="V233" i="6" s="1"/>
  <c r="W217" i="6" s="1"/>
  <c r="T257" i="6"/>
  <c r="T258" i="6"/>
  <c r="T259" i="6"/>
  <c r="T260" i="6"/>
  <c r="V237" i="6" s="1"/>
  <c r="W221" i="6" s="1"/>
  <c r="T261" i="6"/>
  <c r="T262" i="6"/>
  <c r="T263" i="6"/>
  <c r="T264" i="6"/>
  <c r="V241" i="6" s="1"/>
  <c r="W225" i="6" s="1"/>
  <c r="T265" i="6"/>
  <c r="T266" i="6"/>
  <c r="T267" i="6"/>
  <c r="T268" i="6"/>
  <c r="V245" i="6" s="1"/>
  <c r="W229" i="6" s="1"/>
  <c r="T269" i="6"/>
  <c r="T270" i="6"/>
  <c r="T271" i="6"/>
  <c r="T272" i="6"/>
  <c r="V249" i="6" s="1"/>
  <c r="W233" i="6" s="1"/>
  <c r="T273" i="6"/>
  <c r="T274" i="6"/>
  <c r="T275" i="6"/>
  <c r="T276" i="6"/>
  <c r="V253" i="6" s="1"/>
  <c r="W237" i="6" s="1"/>
  <c r="T277" i="6"/>
  <c r="T278" i="6"/>
  <c r="T279" i="6"/>
  <c r="T280" i="6"/>
  <c r="V257" i="6" s="1"/>
  <c r="W241" i="6" s="1"/>
  <c r="T281" i="6"/>
  <c r="T282" i="6"/>
  <c r="T283" i="6"/>
  <c r="T284" i="6"/>
  <c r="V261" i="6" s="1"/>
  <c r="W245" i="6" s="1"/>
  <c r="T285" i="6"/>
  <c r="T286" i="6"/>
  <c r="T287" i="6"/>
  <c r="T288" i="6"/>
  <c r="V265" i="6" s="1"/>
  <c r="W249" i="6" s="1"/>
  <c r="T289" i="6"/>
  <c r="T290" i="6"/>
  <c r="T291" i="6"/>
  <c r="T292" i="6"/>
  <c r="V269" i="6" s="1"/>
  <c r="W253" i="6" s="1"/>
  <c r="T293" i="6"/>
  <c r="T294" i="6"/>
  <c r="T295" i="6"/>
  <c r="T296" i="6"/>
  <c r="V273" i="6" s="1"/>
  <c r="W257" i="6" s="1"/>
  <c r="T297" i="6"/>
  <c r="T298" i="6"/>
  <c r="T299" i="6"/>
  <c r="T300" i="6"/>
  <c r="V277" i="6" s="1"/>
  <c r="W261" i="6" s="1"/>
  <c r="T301" i="6"/>
  <c r="T302" i="6"/>
  <c r="T303" i="6"/>
  <c r="T304" i="6"/>
  <c r="V281" i="6" s="1"/>
  <c r="W265" i="6" s="1"/>
  <c r="T305" i="6"/>
  <c r="T306" i="6"/>
  <c r="T307" i="6"/>
  <c r="T308" i="6"/>
  <c r="V285" i="6" s="1"/>
  <c r="W269" i="6" s="1"/>
  <c r="T309" i="6"/>
  <c r="T310" i="6"/>
  <c r="T311" i="6"/>
  <c r="T312" i="6"/>
  <c r="V289" i="6" s="1"/>
  <c r="W273" i="6" s="1"/>
  <c r="T313" i="6"/>
  <c r="T314" i="6"/>
  <c r="T315" i="6"/>
  <c r="T316" i="6"/>
  <c r="V293" i="6" s="1"/>
  <c r="W277" i="6" s="1"/>
  <c r="T317" i="6"/>
  <c r="T318" i="6"/>
  <c r="T319" i="6"/>
  <c r="T320" i="6"/>
  <c r="V297" i="6" s="1"/>
  <c r="W281" i="6" s="1"/>
  <c r="T321" i="6"/>
  <c r="T322" i="6"/>
  <c r="T323" i="6"/>
  <c r="T324" i="6"/>
  <c r="V301" i="6" s="1"/>
  <c r="W285" i="6" s="1"/>
  <c r="T325" i="6"/>
  <c r="T326" i="6"/>
  <c r="T327" i="6"/>
  <c r="T328" i="6"/>
  <c r="V305" i="6" s="1"/>
  <c r="W289" i="6" s="1"/>
  <c r="T329" i="6"/>
  <c r="T330" i="6"/>
  <c r="T331" i="6"/>
  <c r="T332" i="6"/>
  <c r="V309" i="6" s="1"/>
  <c r="W293" i="6" s="1"/>
  <c r="T333" i="6"/>
  <c r="T334" i="6"/>
  <c r="T335" i="6"/>
  <c r="T336" i="6"/>
  <c r="V313" i="6" s="1"/>
  <c r="W297" i="6" s="1"/>
  <c r="T337" i="6"/>
  <c r="T338" i="6"/>
  <c r="T339" i="6"/>
  <c r="T340" i="6"/>
  <c r="V317" i="6" s="1"/>
  <c r="W301" i="6" s="1"/>
  <c r="T341" i="6"/>
  <c r="T342" i="6"/>
  <c r="T343" i="6"/>
  <c r="T344" i="6"/>
  <c r="V321" i="6" s="1"/>
  <c r="W305" i="6" s="1"/>
  <c r="T345" i="6"/>
  <c r="T346" i="6"/>
  <c r="T347" i="6"/>
  <c r="T348" i="6"/>
  <c r="V325" i="6" s="1"/>
  <c r="W309" i="6" s="1"/>
  <c r="T349" i="6"/>
  <c r="T350" i="6"/>
  <c r="T351" i="6"/>
  <c r="T352" i="6"/>
  <c r="V329" i="6" s="1"/>
  <c r="W313" i="6" s="1"/>
  <c r="T353" i="6"/>
  <c r="T354" i="6"/>
  <c r="T355" i="6"/>
  <c r="T356" i="6"/>
  <c r="V333" i="6" s="1"/>
  <c r="W317" i="6" s="1"/>
  <c r="T357" i="6"/>
  <c r="T358" i="6"/>
  <c r="T359" i="6"/>
  <c r="T360" i="6"/>
  <c r="V337" i="6" s="1"/>
  <c r="W321" i="6" s="1"/>
  <c r="T361" i="6"/>
  <c r="T362" i="6"/>
  <c r="T363" i="6"/>
  <c r="T364" i="6"/>
  <c r="V341" i="6" s="1"/>
  <c r="W325" i="6" s="1"/>
  <c r="T365" i="6"/>
  <c r="T366" i="6"/>
  <c r="T367" i="6"/>
  <c r="T368" i="6"/>
  <c r="V345" i="6" s="1"/>
  <c r="W329" i="6" s="1"/>
  <c r="T369" i="6"/>
  <c r="T370" i="6"/>
  <c r="T371" i="6"/>
  <c r="T372" i="6"/>
  <c r="V349" i="6" s="1"/>
  <c r="W333" i="6" s="1"/>
  <c r="T373" i="6"/>
  <c r="T374" i="6"/>
  <c r="T375" i="6"/>
  <c r="T376" i="6"/>
  <c r="V353" i="6" s="1"/>
  <c r="W337" i="6" s="1"/>
  <c r="T377" i="6"/>
  <c r="T378" i="6"/>
  <c r="T379" i="6"/>
  <c r="T380" i="6"/>
  <c r="V357" i="6" s="1"/>
  <c r="W341" i="6" s="1"/>
  <c r="T381" i="6"/>
  <c r="T382" i="6"/>
  <c r="T383" i="6"/>
  <c r="T384" i="6"/>
  <c r="V361" i="6" s="1"/>
  <c r="W345" i="6" s="1"/>
  <c r="T385" i="6"/>
  <c r="T386" i="6"/>
  <c r="T387" i="6"/>
  <c r="T388" i="6"/>
  <c r="V365" i="6" s="1"/>
  <c r="W349" i="6" s="1"/>
  <c r="T389" i="6"/>
  <c r="T390" i="6"/>
  <c r="T391" i="6"/>
  <c r="T392" i="6"/>
  <c r="V369" i="6" s="1"/>
  <c r="W353" i="6" s="1"/>
  <c r="T393" i="6"/>
  <c r="T394" i="6"/>
  <c r="T395" i="6"/>
  <c r="T396" i="6"/>
  <c r="V373" i="6" s="1"/>
  <c r="W357" i="6" s="1"/>
  <c r="T397" i="6"/>
  <c r="T398" i="6"/>
  <c r="T399" i="6"/>
  <c r="T400" i="6"/>
  <c r="V377" i="6" s="1"/>
  <c r="W361" i="6" s="1"/>
  <c r="T401" i="6"/>
  <c r="T402" i="6"/>
  <c r="T403" i="6"/>
  <c r="T404" i="6"/>
  <c r="V381" i="6" s="1"/>
  <c r="W365" i="6" s="1"/>
  <c r="T405" i="6"/>
  <c r="T406" i="6"/>
  <c r="T407" i="6"/>
  <c r="T408" i="6"/>
  <c r="V385" i="6" s="1"/>
  <c r="W369" i="6" s="1"/>
  <c r="T409" i="6"/>
  <c r="T410" i="6"/>
  <c r="T411" i="6"/>
  <c r="T412" i="6"/>
  <c r="V389" i="6" s="1"/>
  <c r="W373" i="6" s="1"/>
  <c r="T413" i="6"/>
  <c r="T414" i="6"/>
  <c r="T415" i="6"/>
  <c r="T416" i="6"/>
  <c r="V393" i="6" s="1"/>
  <c r="W377" i="6" s="1"/>
  <c r="T417" i="6"/>
  <c r="T418" i="6"/>
  <c r="T419" i="6"/>
  <c r="T420" i="6"/>
  <c r="V397" i="6" s="1"/>
  <c r="W381" i="6" s="1"/>
  <c r="T421" i="6"/>
  <c r="T422" i="6"/>
  <c r="T423" i="6"/>
  <c r="T424" i="6"/>
  <c r="V401" i="6" s="1"/>
  <c r="W385" i="6" s="1"/>
  <c r="T425" i="6"/>
  <c r="T426" i="6"/>
  <c r="T427" i="6"/>
  <c r="T428" i="6"/>
  <c r="V405" i="6" s="1"/>
  <c r="W389" i="6" s="1"/>
  <c r="T429" i="6"/>
  <c r="T430" i="6"/>
  <c r="T431" i="6"/>
  <c r="T432" i="6"/>
  <c r="V409" i="6" s="1"/>
  <c r="W393" i="6" s="1"/>
  <c r="T433" i="6"/>
  <c r="T434" i="6"/>
  <c r="T435" i="6"/>
  <c r="T436" i="6"/>
  <c r="V413" i="6" s="1"/>
  <c r="W397" i="6" s="1"/>
  <c r="T437" i="6"/>
  <c r="T438" i="6"/>
  <c r="T439" i="6"/>
  <c r="T440" i="6"/>
  <c r="V417" i="6" s="1"/>
  <c r="W401" i="6" s="1"/>
  <c r="T441" i="6"/>
  <c r="T442" i="6"/>
  <c r="T443" i="6"/>
  <c r="T444" i="6"/>
  <c r="V421" i="6" s="1"/>
  <c r="W405" i="6" s="1"/>
  <c r="T445" i="6"/>
  <c r="T446" i="6"/>
  <c r="T447" i="6"/>
  <c r="T448" i="6"/>
  <c r="V425" i="6" s="1"/>
  <c r="W409" i="6" s="1"/>
  <c r="T449" i="6"/>
  <c r="T450" i="6"/>
  <c r="T451" i="6"/>
  <c r="T452" i="6"/>
  <c r="V429" i="6" s="1"/>
  <c r="W413" i="6" s="1"/>
  <c r="T453" i="6"/>
  <c r="T454" i="6"/>
  <c r="T455" i="6"/>
  <c r="T456" i="6"/>
  <c r="V433" i="6" s="1"/>
  <c r="W417" i="6" s="1"/>
  <c r="T457" i="6"/>
  <c r="T458" i="6"/>
  <c r="T459" i="6"/>
  <c r="T460" i="6"/>
  <c r="V437" i="6" s="1"/>
  <c r="W421" i="6" s="1"/>
  <c r="T461" i="6"/>
  <c r="T462" i="6"/>
  <c r="T463" i="6"/>
  <c r="T464" i="6"/>
  <c r="V441" i="6" s="1"/>
  <c r="W425" i="6" s="1"/>
  <c r="T465" i="6"/>
  <c r="T466" i="6"/>
  <c r="T467" i="6"/>
  <c r="T468" i="6"/>
  <c r="V445" i="6" s="1"/>
  <c r="W429" i="6" s="1"/>
  <c r="T469" i="6"/>
  <c r="T470" i="6"/>
  <c r="T471" i="6"/>
  <c r="T472" i="6"/>
  <c r="V449" i="6" s="1"/>
  <c r="W433" i="6" s="1"/>
  <c r="T473" i="6"/>
  <c r="T474" i="6"/>
  <c r="T475" i="6"/>
  <c r="T476" i="6"/>
  <c r="V453" i="6" s="1"/>
  <c r="W437" i="6" s="1"/>
  <c r="T477" i="6"/>
  <c r="T478" i="6"/>
  <c r="T479" i="6"/>
  <c r="T480" i="6"/>
  <c r="V457" i="6" s="1"/>
  <c r="W441" i="6" s="1"/>
  <c r="T481" i="6"/>
  <c r="T482" i="6"/>
  <c r="T483" i="6"/>
  <c r="T484" i="6"/>
  <c r="V461" i="6" s="1"/>
  <c r="W445" i="6" s="1"/>
  <c r="T485" i="6"/>
  <c r="T486" i="6"/>
  <c r="T487" i="6"/>
  <c r="T488" i="6"/>
  <c r="V465" i="6" s="1"/>
  <c r="W449" i="6" s="1"/>
  <c r="T489" i="6"/>
  <c r="T490" i="6"/>
  <c r="T491" i="6"/>
  <c r="T492" i="6"/>
  <c r="V469" i="6" s="1"/>
  <c r="W453" i="6" s="1"/>
  <c r="T493" i="6"/>
  <c r="T494" i="6"/>
  <c r="T495" i="6"/>
  <c r="T496" i="6"/>
  <c r="V473" i="6" s="1"/>
  <c r="W457" i="6" s="1"/>
  <c r="T497" i="6"/>
  <c r="T498" i="6"/>
  <c r="T499" i="6"/>
  <c r="T500" i="6"/>
  <c r="V477" i="6" s="1"/>
  <c r="W461" i="6" s="1"/>
  <c r="T501" i="6"/>
  <c r="T502" i="6"/>
  <c r="T503" i="6"/>
  <c r="T504" i="6"/>
  <c r="V481" i="6" s="1"/>
  <c r="W465" i="6" s="1"/>
  <c r="T505" i="6"/>
  <c r="T506" i="6"/>
  <c r="T507" i="6"/>
  <c r="T508" i="6"/>
  <c r="V485" i="6" s="1"/>
  <c r="W469" i="6" s="1"/>
  <c r="T509" i="6"/>
  <c r="T510" i="6"/>
  <c r="T511" i="6"/>
  <c r="T512" i="6"/>
  <c r="V489" i="6" s="1"/>
  <c r="W473" i="6" s="1"/>
  <c r="T513" i="6"/>
  <c r="T514" i="6"/>
  <c r="T515" i="6"/>
  <c r="T516" i="6"/>
  <c r="V493" i="6" s="1"/>
  <c r="W477" i="6" s="1"/>
  <c r="T517" i="6"/>
  <c r="T518" i="6"/>
  <c r="T519" i="6"/>
  <c r="T520" i="6"/>
  <c r="V497" i="6" s="1"/>
  <c r="W481" i="6" s="1"/>
  <c r="T521" i="6"/>
  <c r="T522" i="6"/>
  <c r="T523" i="6"/>
  <c r="T524" i="6"/>
  <c r="V501" i="6" s="1"/>
  <c r="W485" i="6" s="1"/>
  <c r="T525" i="6"/>
  <c r="T526" i="6"/>
  <c r="T527" i="6"/>
  <c r="T528" i="6"/>
  <c r="V505" i="6" s="1"/>
  <c r="W489" i="6" s="1"/>
  <c r="T529" i="6"/>
  <c r="T530" i="6"/>
  <c r="T531" i="6"/>
  <c r="T532" i="6"/>
  <c r="V509" i="6" s="1"/>
  <c r="W493" i="6" s="1"/>
  <c r="T533" i="6"/>
  <c r="T534" i="6"/>
  <c r="T535" i="6"/>
  <c r="T536" i="6"/>
  <c r="V513" i="6" s="1"/>
  <c r="W497" i="6" s="1"/>
  <c r="T537" i="6"/>
  <c r="T538" i="6"/>
  <c r="T539" i="6"/>
  <c r="T540" i="6"/>
  <c r="V517" i="6" s="1"/>
  <c r="W501" i="6" s="1"/>
  <c r="T541" i="6"/>
  <c r="T542" i="6"/>
  <c r="T543" i="6"/>
  <c r="T544" i="6"/>
  <c r="V521" i="6" s="1"/>
  <c r="W505" i="6" s="1"/>
  <c r="T545" i="6"/>
  <c r="T546" i="6"/>
  <c r="T547" i="6"/>
  <c r="T548" i="6"/>
  <c r="V525" i="6" s="1"/>
  <c r="W509" i="6" s="1"/>
  <c r="T549" i="6"/>
  <c r="T550" i="6"/>
  <c r="T551" i="6"/>
  <c r="T552" i="6"/>
  <c r="V529" i="6" s="1"/>
  <c r="W513" i="6" s="1"/>
  <c r="T553" i="6"/>
  <c r="T554" i="6"/>
  <c r="T555" i="6"/>
  <c r="T556" i="6"/>
  <c r="V533" i="6" s="1"/>
  <c r="W517" i="6" s="1"/>
  <c r="T557" i="6"/>
  <c r="T558" i="6"/>
  <c r="T559" i="6"/>
  <c r="T560" i="6"/>
  <c r="V537" i="6" s="1"/>
  <c r="W521" i="6" s="1"/>
  <c r="T561" i="6"/>
  <c r="T562" i="6"/>
  <c r="T563" i="6"/>
  <c r="T564" i="6"/>
  <c r="V541" i="6" s="1"/>
  <c r="W525" i="6" s="1"/>
  <c r="T565" i="6"/>
  <c r="T566" i="6"/>
  <c r="T567" i="6"/>
  <c r="T568" i="6"/>
  <c r="V545" i="6" s="1"/>
  <c r="W529" i="6" s="1"/>
  <c r="T569" i="6"/>
  <c r="T570" i="6"/>
  <c r="T571" i="6"/>
  <c r="T572" i="6"/>
  <c r="V549" i="6" s="1"/>
  <c r="W533" i="6" s="1"/>
  <c r="T573" i="6"/>
  <c r="T574" i="6"/>
  <c r="T575" i="6"/>
  <c r="T576" i="6"/>
  <c r="V553" i="6" s="1"/>
  <c r="W537" i="6" s="1"/>
  <c r="T577" i="6"/>
  <c r="T578" i="6"/>
  <c r="T579" i="6"/>
  <c r="T580" i="6"/>
  <c r="V557" i="6" s="1"/>
  <c r="W541" i="6" s="1"/>
  <c r="T581" i="6"/>
  <c r="T582" i="6"/>
  <c r="T583" i="6"/>
  <c r="T584" i="6"/>
  <c r="V561" i="6" s="1"/>
  <c r="W545" i="6" s="1"/>
  <c r="T585" i="6"/>
  <c r="T586" i="6"/>
  <c r="T587" i="6"/>
  <c r="T588" i="6"/>
  <c r="V565" i="6" s="1"/>
  <c r="W549" i="6" s="1"/>
  <c r="T589" i="6"/>
  <c r="T590" i="6"/>
  <c r="T591" i="6"/>
  <c r="T592" i="6"/>
  <c r="V569" i="6" s="1"/>
  <c r="W553" i="6" s="1"/>
  <c r="T593" i="6"/>
  <c r="T594" i="6"/>
  <c r="T595" i="6"/>
  <c r="T596" i="6"/>
  <c r="V573" i="6" s="1"/>
  <c r="W557" i="6" s="1"/>
  <c r="T597" i="6"/>
  <c r="T598" i="6"/>
  <c r="T599" i="6"/>
  <c r="T600" i="6"/>
  <c r="V577" i="6" s="1"/>
  <c r="W561" i="6" s="1"/>
  <c r="T601" i="6"/>
  <c r="T602" i="6"/>
  <c r="T603" i="6"/>
  <c r="T604" i="6"/>
  <c r="V581" i="6" s="1"/>
  <c r="W565" i="6" s="1"/>
  <c r="T605" i="6"/>
  <c r="T606" i="6"/>
  <c r="T607" i="6"/>
  <c r="T608" i="6"/>
  <c r="V585" i="6" s="1"/>
  <c r="W569" i="6" s="1"/>
  <c r="T609" i="6"/>
  <c r="T610" i="6"/>
  <c r="T611" i="6"/>
  <c r="T612" i="6"/>
  <c r="V589" i="6" s="1"/>
  <c r="W573" i="6" s="1"/>
  <c r="T613" i="6"/>
  <c r="T614" i="6"/>
  <c r="T615" i="6"/>
  <c r="T616" i="6"/>
  <c r="V593" i="6" s="1"/>
  <c r="W577" i="6" s="1"/>
  <c r="T617" i="6"/>
  <c r="T618" i="6"/>
  <c r="T619" i="6"/>
  <c r="T620" i="6"/>
  <c r="V597" i="6" s="1"/>
  <c r="W581" i="6" s="1"/>
  <c r="T621" i="6"/>
  <c r="T622" i="6"/>
  <c r="T623" i="6"/>
  <c r="T624" i="6"/>
  <c r="V601" i="6" s="1"/>
  <c r="W585" i="6" s="1"/>
  <c r="T625" i="6"/>
  <c r="T626" i="6"/>
  <c r="T627" i="6"/>
  <c r="T628" i="6"/>
  <c r="V605" i="6" s="1"/>
  <c r="W589" i="6" s="1"/>
  <c r="T629" i="6"/>
  <c r="T630" i="6"/>
  <c r="T631" i="6"/>
  <c r="T632" i="6"/>
  <c r="V609" i="6" s="1"/>
  <c r="W593" i="6" s="1"/>
  <c r="T633" i="6"/>
  <c r="T634" i="6"/>
  <c r="T635" i="6"/>
  <c r="T636" i="6"/>
  <c r="V613" i="6" s="1"/>
  <c r="W597" i="6" s="1"/>
  <c r="T637" i="6"/>
  <c r="T638" i="6"/>
  <c r="T639" i="6"/>
  <c r="T640" i="6"/>
  <c r="V617" i="6" s="1"/>
  <c r="W601" i="6" s="1"/>
  <c r="T641" i="6"/>
  <c r="T642" i="6"/>
  <c r="T643" i="6"/>
  <c r="T644" i="6"/>
  <c r="V621" i="6" s="1"/>
  <c r="W605" i="6" s="1"/>
  <c r="T645" i="6"/>
  <c r="T646" i="6"/>
  <c r="T647" i="6"/>
  <c r="T648" i="6"/>
  <c r="V625" i="6" s="1"/>
  <c r="W609" i="6" s="1"/>
  <c r="T649" i="6"/>
  <c r="T650" i="6"/>
  <c r="T651" i="6"/>
  <c r="T652" i="6"/>
  <c r="V629" i="6" s="1"/>
  <c r="W613" i="6" s="1"/>
  <c r="T653" i="6"/>
  <c r="T654" i="6"/>
  <c r="T655" i="6"/>
  <c r="T656" i="6"/>
  <c r="V633" i="6" s="1"/>
  <c r="W617" i="6" s="1"/>
  <c r="T657" i="6"/>
  <c r="T658" i="6"/>
  <c r="T659" i="6"/>
  <c r="T660" i="6"/>
  <c r="V637" i="6" s="1"/>
  <c r="W621" i="6" s="1"/>
  <c r="T661" i="6"/>
  <c r="T662" i="6"/>
  <c r="T663" i="6"/>
  <c r="T664" i="6"/>
  <c r="V641" i="6" s="1"/>
  <c r="W625" i="6" s="1"/>
  <c r="T665" i="6"/>
  <c r="T666" i="6"/>
  <c r="T667" i="6"/>
  <c r="T668" i="6"/>
  <c r="V645" i="6" s="1"/>
  <c r="W629" i="6" s="1"/>
  <c r="T669" i="6"/>
  <c r="T670" i="6"/>
  <c r="T671" i="6"/>
  <c r="T672" i="6"/>
  <c r="V649" i="6" s="1"/>
  <c r="W633" i="6" s="1"/>
  <c r="T673" i="6"/>
  <c r="T674" i="6"/>
  <c r="T675" i="6"/>
  <c r="T676" i="6"/>
  <c r="V653" i="6" s="1"/>
  <c r="W637" i="6" s="1"/>
  <c r="T677" i="6"/>
  <c r="T678" i="6"/>
  <c r="T679" i="6"/>
  <c r="T680" i="6"/>
  <c r="V657" i="6" s="1"/>
  <c r="W641" i="6" s="1"/>
  <c r="T681" i="6"/>
  <c r="T682" i="6"/>
  <c r="T683" i="6"/>
  <c r="T684" i="6"/>
  <c r="V661" i="6" s="1"/>
  <c r="W645" i="6" s="1"/>
  <c r="T685" i="6"/>
  <c r="T686" i="6"/>
  <c r="T687" i="6"/>
  <c r="T688" i="6"/>
  <c r="V665" i="6" s="1"/>
  <c r="W649" i="6" s="1"/>
  <c r="T689" i="6"/>
  <c r="T690" i="6"/>
  <c r="T691" i="6"/>
  <c r="T692" i="6"/>
  <c r="V669" i="6" s="1"/>
  <c r="W653" i="6" s="1"/>
  <c r="T693" i="6"/>
  <c r="T694" i="6"/>
  <c r="T695" i="6"/>
  <c r="T696" i="6"/>
  <c r="V673" i="6" s="1"/>
  <c r="W657" i="6" s="1"/>
  <c r="T697" i="6"/>
  <c r="T698" i="6"/>
  <c r="T699" i="6"/>
  <c r="T700" i="6"/>
  <c r="V677" i="6" s="1"/>
  <c r="W661" i="6" s="1"/>
  <c r="T701" i="6"/>
  <c r="T702" i="6"/>
  <c r="T703" i="6"/>
  <c r="T704" i="6"/>
  <c r="V681" i="6" s="1"/>
  <c r="W665" i="6" s="1"/>
  <c r="T705" i="6"/>
  <c r="T706" i="6"/>
  <c r="T707" i="6"/>
  <c r="T708" i="6"/>
  <c r="V685" i="6" s="1"/>
  <c r="W669" i="6" s="1"/>
  <c r="T709" i="6"/>
  <c r="T710" i="6"/>
  <c r="T711" i="6"/>
  <c r="T712" i="6"/>
  <c r="V689" i="6" s="1"/>
  <c r="W673" i="6" s="1"/>
  <c r="T713" i="6"/>
  <c r="T714" i="6"/>
  <c r="T715" i="6"/>
  <c r="T716" i="6"/>
  <c r="V693" i="6" s="1"/>
  <c r="W677" i="6" s="1"/>
  <c r="T717" i="6"/>
  <c r="T718" i="6"/>
  <c r="T719" i="6"/>
  <c r="T720" i="6"/>
  <c r="V697" i="6" s="1"/>
  <c r="W681" i="6" s="1"/>
  <c r="T721" i="6"/>
  <c r="T722" i="6"/>
  <c r="T723" i="6"/>
  <c r="T724" i="6"/>
  <c r="V701" i="6" s="1"/>
  <c r="W685" i="6" s="1"/>
  <c r="T725" i="6"/>
  <c r="T726" i="6"/>
  <c r="T727" i="6"/>
  <c r="T728" i="6"/>
  <c r="V705" i="6" s="1"/>
  <c r="W689" i="6" s="1"/>
  <c r="T729" i="6"/>
  <c r="T730" i="6"/>
  <c r="T731" i="6"/>
  <c r="T732" i="6"/>
  <c r="V709" i="6" s="1"/>
  <c r="W693" i="6" s="1"/>
  <c r="T733" i="6"/>
  <c r="T734" i="6"/>
  <c r="T735" i="6"/>
  <c r="T736" i="6"/>
  <c r="V713" i="6" s="1"/>
  <c r="W697" i="6" s="1"/>
  <c r="T737" i="6"/>
  <c r="T738" i="6"/>
  <c r="T739" i="6"/>
  <c r="T740" i="6"/>
  <c r="V717" i="6" s="1"/>
  <c r="W701" i="6" s="1"/>
  <c r="T741" i="6"/>
  <c r="T742" i="6"/>
  <c r="T743" i="6"/>
  <c r="T744" i="6"/>
  <c r="V721" i="6" s="1"/>
  <c r="W705" i="6" s="1"/>
  <c r="T745" i="6"/>
  <c r="T746" i="6"/>
  <c r="T747" i="6"/>
  <c r="T748" i="6"/>
  <c r="V725" i="6" s="1"/>
  <c r="W709" i="6" s="1"/>
  <c r="T749" i="6"/>
  <c r="T750" i="6"/>
  <c r="T751" i="6"/>
  <c r="T752" i="6"/>
  <c r="V729" i="6" s="1"/>
  <c r="W713" i="6" s="1"/>
  <c r="T753" i="6"/>
  <c r="T754" i="6"/>
  <c r="T755" i="6"/>
  <c r="T756" i="6"/>
  <c r="V733" i="6" s="1"/>
  <c r="W717" i="6" s="1"/>
  <c r="T757" i="6"/>
  <c r="T758" i="6"/>
  <c r="T759" i="6"/>
  <c r="T760" i="6"/>
  <c r="V737" i="6" s="1"/>
  <c r="W721" i="6" s="1"/>
  <c r="T761" i="6"/>
  <c r="T762" i="6"/>
  <c r="T763" i="6"/>
  <c r="T764" i="6"/>
  <c r="V741" i="6" s="1"/>
  <c r="W725" i="6" s="1"/>
  <c r="T765" i="6"/>
  <c r="T766" i="6"/>
  <c r="T767" i="6"/>
  <c r="T768" i="6"/>
  <c r="V745" i="6" s="1"/>
  <c r="W729" i="6" s="1"/>
  <c r="T769" i="6"/>
  <c r="T770" i="6"/>
  <c r="T771" i="6"/>
  <c r="T772" i="6"/>
  <c r="V749" i="6" s="1"/>
  <c r="W733" i="6" s="1"/>
  <c r="T773" i="6"/>
  <c r="T774" i="6"/>
  <c r="T775" i="6"/>
  <c r="T776" i="6"/>
  <c r="V753" i="6" s="1"/>
  <c r="W737" i="6" s="1"/>
  <c r="T777" i="6"/>
  <c r="T778" i="6"/>
  <c r="T779" i="6"/>
  <c r="T780" i="6"/>
  <c r="V757" i="6" s="1"/>
  <c r="W741" i="6" s="1"/>
  <c r="T781" i="6"/>
  <c r="T782" i="6"/>
  <c r="T783" i="6"/>
  <c r="T784" i="6"/>
  <c r="V761" i="6" s="1"/>
  <c r="W745" i="6" s="1"/>
  <c r="T785" i="6"/>
  <c r="T786" i="6"/>
  <c r="T787" i="6"/>
  <c r="T788" i="6"/>
  <c r="V765" i="6" s="1"/>
  <c r="W749" i="6" s="1"/>
  <c r="T789" i="6"/>
  <c r="T790" i="6"/>
  <c r="T791" i="6"/>
  <c r="T792" i="6"/>
  <c r="V769" i="6" s="1"/>
  <c r="W753" i="6" s="1"/>
  <c r="T793" i="6"/>
  <c r="T794" i="6"/>
  <c r="T795" i="6"/>
  <c r="T796" i="6"/>
  <c r="V773" i="6" s="1"/>
  <c r="W757" i="6" s="1"/>
  <c r="T797" i="6"/>
  <c r="T798" i="6"/>
  <c r="T799" i="6"/>
  <c r="T800" i="6"/>
  <c r="V777" i="6" s="1"/>
  <c r="W761" i="6" s="1"/>
  <c r="T801" i="6"/>
  <c r="T802" i="6"/>
  <c r="T803" i="6"/>
  <c r="T804" i="6"/>
  <c r="V781" i="6" s="1"/>
  <c r="W765" i="6" s="1"/>
  <c r="T805" i="6"/>
  <c r="T806" i="6"/>
  <c r="T807" i="6"/>
  <c r="T808" i="6"/>
  <c r="V785" i="6" s="1"/>
  <c r="W769" i="6" s="1"/>
  <c r="T809" i="6"/>
  <c r="T810" i="6"/>
  <c r="T811" i="6"/>
  <c r="T812" i="6"/>
  <c r="V789" i="6" s="1"/>
  <c r="W773" i="6" s="1"/>
  <c r="T813" i="6"/>
  <c r="T814" i="6"/>
  <c r="T815" i="6"/>
  <c r="T816" i="6"/>
  <c r="V793" i="6" s="1"/>
  <c r="W777" i="6" s="1"/>
  <c r="T817" i="6"/>
  <c r="T818" i="6"/>
  <c r="T819" i="6"/>
  <c r="T820" i="6"/>
  <c r="V797" i="6" s="1"/>
  <c r="W781" i="6" s="1"/>
  <c r="T821" i="6"/>
  <c r="T822" i="6"/>
  <c r="T823" i="6"/>
  <c r="T824" i="6"/>
  <c r="V801" i="6" s="1"/>
  <c r="W785" i="6" s="1"/>
  <c r="T825" i="6"/>
  <c r="T826" i="6"/>
  <c r="T827" i="6"/>
  <c r="T828" i="6"/>
  <c r="V805" i="6" s="1"/>
  <c r="W789" i="6" s="1"/>
  <c r="T829" i="6"/>
  <c r="T830" i="6"/>
  <c r="T831" i="6"/>
  <c r="T832" i="6"/>
  <c r="V809" i="6" s="1"/>
  <c r="W793" i="6" s="1"/>
  <c r="T833" i="6"/>
  <c r="T834" i="6"/>
  <c r="T835" i="6"/>
  <c r="T836" i="6"/>
  <c r="V813" i="6" s="1"/>
  <c r="W797" i="6" s="1"/>
  <c r="T837" i="6"/>
  <c r="T838" i="6"/>
  <c r="T839" i="6"/>
  <c r="T840" i="6"/>
  <c r="V817" i="6" s="1"/>
  <c r="W801" i="6" s="1"/>
  <c r="T841" i="6"/>
  <c r="T842" i="6"/>
  <c r="T843" i="6"/>
  <c r="T844" i="6"/>
  <c r="V821" i="6" s="1"/>
  <c r="W805" i="6" s="1"/>
  <c r="T845" i="6"/>
  <c r="T846" i="6"/>
  <c r="T847" i="6"/>
  <c r="T848" i="6"/>
  <c r="V825" i="6" s="1"/>
  <c r="W809" i="6" s="1"/>
  <c r="T849" i="6"/>
  <c r="T850" i="6"/>
  <c r="T851" i="6"/>
  <c r="T852" i="6"/>
  <c r="V829" i="6" s="1"/>
  <c r="W813" i="6" s="1"/>
  <c r="T853" i="6"/>
  <c r="T854" i="6"/>
  <c r="T855" i="6"/>
  <c r="T856" i="6"/>
  <c r="V833" i="6" s="1"/>
  <c r="W817" i="6" s="1"/>
  <c r="T857" i="6"/>
  <c r="T858" i="6"/>
  <c r="T859" i="6"/>
  <c r="T860" i="6"/>
  <c r="V837" i="6" s="1"/>
  <c r="W821" i="6" s="1"/>
  <c r="T861" i="6"/>
  <c r="T862" i="6"/>
  <c r="T863" i="6"/>
  <c r="T864" i="6"/>
  <c r="V841" i="6" s="1"/>
  <c r="W825" i="6" s="1"/>
  <c r="T865" i="6"/>
  <c r="T866" i="6"/>
  <c r="T867" i="6"/>
  <c r="T868" i="6"/>
  <c r="V845" i="6" s="1"/>
  <c r="W829" i="6" s="1"/>
  <c r="T869" i="6"/>
  <c r="T870" i="6"/>
  <c r="T871" i="6"/>
  <c r="T872" i="6"/>
  <c r="V849" i="6" s="1"/>
  <c r="W833" i="6" s="1"/>
  <c r="T873" i="6"/>
  <c r="T874" i="6"/>
  <c r="T875" i="6"/>
  <c r="T876" i="6"/>
  <c r="V853" i="6" s="1"/>
  <c r="W837" i="6" s="1"/>
  <c r="T877" i="6"/>
  <c r="T878" i="6"/>
  <c r="T879" i="6"/>
  <c r="T880" i="6"/>
  <c r="V857" i="6" s="1"/>
  <c r="W841" i="6" s="1"/>
  <c r="T881" i="6"/>
  <c r="T882" i="6"/>
  <c r="T883" i="6"/>
  <c r="T884" i="6"/>
  <c r="V861" i="6" s="1"/>
  <c r="W845" i="6" s="1"/>
  <c r="T885" i="6"/>
  <c r="T886" i="6"/>
  <c r="T887" i="6"/>
  <c r="T888" i="6"/>
  <c r="V865" i="6" s="1"/>
  <c r="W849" i="6" s="1"/>
  <c r="T889" i="6"/>
  <c r="T890" i="6"/>
  <c r="T891" i="6"/>
  <c r="T892" i="6"/>
  <c r="V869" i="6" s="1"/>
  <c r="W853" i="6" s="1"/>
  <c r="T893" i="6"/>
  <c r="T894" i="6"/>
  <c r="T895" i="6"/>
  <c r="T896" i="6"/>
  <c r="V873" i="6" s="1"/>
  <c r="W857" i="6" s="1"/>
  <c r="T897" i="6"/>
  <c r="T898" i="6"/>
  <c r="T899" i="6"/>
  <c r="T900" i="6"/>
  <c r="V877" i="6" s="1"/>
  <c r="W861" i="6" s="1"/>
  <c r="T901" i="6"/>
  <c r="T902" i="6"/>
  <c r="T903" i="6"/>
  <c r="T904" i="6"/>
  <c r="V881" i="6" s="1"/>
  <c r="W865" i="6" s="1"/>
  <c r="T905" i="6"/>
  <c r="T906" i="6"/>
  <c r="T907" i="6"/>
  <c r="T908" i="6"/>
  <c r="V885" i="6" s="1"/>
  <c r="W869" i="6" s="1"/>
  <c r="T909" i="6"/>
  <c r="T910" i="6"/>
  <c r="T911" i="6"/>
  <c r="T912" i="6"/>
  <c r="V889" i="6" s="1"/>
  <c r="W873" i="6" s="1"/>
  <c r="T913" i="6"/>
  <c r="T914" i="6"/>
  <c r="T915" i="6"/>
  <c r="T916" i="6"/>
  <c r="V893" i="6" s="1"/>
  <c r="W877" i="6" s="1"/>
  <c r="T917" i="6"/>
  <c r="T918" i="6"/>
  <c r="T919" i="6"/>
  <c r="T920" i="6"/>
  <c r="V897" i="6" s="1"/>
  <c r="W881" i="6" s="1"/>
  <c r="T921" i="6"/>
  <c r="T922" i="6"/>
  <c r="T923" i="6"/>
  <c r="T924" i="6"/>
  <c r="V901" i="6" s="1"/>
  <c r="W885" i="6" s="1"/>
  <c r="T925" i="6"/>
  <c r="T926" i="6"/>
  <c r="T927" i="6"/>
  <c r="T928" i="6"/>
  <c r="V905" i="6" s="1"/>
  <c r="W889" i="6" s="1"/>
  <c r="T929" i="6"/>
  <c r="T930" i="6"/>
  <c r="T931" i="6"/>
  <c r="T932" i="6"/>
  <c r="V909" i="6" s="1"/>
  <c r="W893" i="6" s="1"/>
  <c r="T933" i="6"/>
  <c r="T934" i="6"/>
  <c r="T935" i="6"/>
  <c r="T936" i="6"/>
  <c r="V913" i="6" s="1"/>
  <c r="W897" i="6" s="1"/>
  <c r="T937" i="6"/>
  <c r="T938" i="6"/>
  <c r="T939" i="6"/>
  <c r="T940" i="6"/>
  <c r="V917" i="6" s="1"/>
  <c r="W901" i="6" s="1"/>
  <c r="T941" i="6"/>
  <c r="T942" i="6"/>
  <c r="T943" i="6"/>
  <c r="T944" i="6"/>
  <c r="V921" i="6" s="1"/>
  <c r="W905" i="6" s="1"/>
  <c r="T945" i="6"/>
  <c r="T946" i="6"/>
  <c r="T947" i="6"/>
  <c r="T948" i="6"/>
  <c r="V925" i="6" s="1"/>
  <c r="W909" i="6" s="1"/>
  <c r="T949" i="6"/>
  <c r="T950" i="6"/>
  <c r="T951" i="6"/>
  <c r="T952" i="6"/>
  <c r="V929" i="6" s="1"/>
  <c r="W913" i="6" s="1"/>
  <c r="T953" i="6"/>
  <c r="T954" i="6"/>
  <c r="T955" i="6"/>
  <c r="T956" i="6"/>
  <c r="V933" i="6" s="1"/>
  <c r="W917" i="6" s="1"/>
  <c r="T957" i="6"/>
  <c r="T958" i="6"/>
  <c r="T959" i="6"/>
  <c r="T960" i="6"/>
  <c r="V937" i="6" s="1"/>
  <c r="W921" i="6" s="1"/>
  <c r="T961" i="6"/>
  <c r="T962" i="6"/>
  <c r="T963" i="6"/>
  <c r="T964" i="6"/>
  <c r="V941" i="6" s="1"/>
  <c r="W925" i="6" s="1"/>
  <c r="T965" i="6"/>
  <c r="T966" i="6"/>
  <c r="T967" i="6"/>
  <c r="T968" i="6"/>
  <c r="V945" i="6" s="1"/>
  <c r="W929" i="6" s="1"/>
  <c r="T969" i="6"/>
  <c r="T970" i="6"/>
  <c r="T971" i="6"/>
  <c r="T972" i="6"/>
  <c r="V949" i="6" s="1"/>
  <c r="W933" i="6" s="1"/>
  <c r="T973" i="6"/>
  <c r="T974" i="6"/>
  <c r="T975" i="6"/>
  <c r="T976" i="6"/>
  <c r="V953" i="6" s="1"/>
  <c r="W937" i="6" s="1"/>
  <c r="T977" i="6"/>
  <c r="T978" i="6"/>
  <c r="T979" i="6"/>
  <c r="T980" i="6"/>
  <c r="V957" i="6" s="1"/>
  <c r="W941" i="6" s="1"/>
  <c r="T981" i="6"/>
  <c r="T982" i="6"/>
  <c r="T983" i="6"/>
  <c r="T984" i="6"/>
  <c r="V961" i="6" s="1"/>
  <c r="W945" i="6" s="1"/>
  <c r="T985" i="6"/>
  <c r="T986" i="6"/>
  <c r="T987" i="6"/>
  <c r="T988" i="6"/>
  <c r="V965" i="6" s="1"/>
  <c r="W949" i="6" s="1"/>
  <c r="T989" i="6"/>
  <c r="T990" i="6"/>
  <c r="T991" i="6"/>
  <c r="T992" i="6"/>
  <c r="V969" i="6" s="1"/>
  <c r="W953" i="6" s="1"/>
  <c r="T993" i="6"/>
  <c r="T994" i="6"/>
  <c r="T995" i="6"/>
  <c r="T996" i="6"/>
  <c r="V973" i="6" s="1"/>
  <c r="W957" i="6" s="1"/>
  <c r="T997" i="6"/>
  <c r="T998" i="6"/>
  <c r="T999" i="6"/>
  <c r="T1000" i="6"/>
  <c r="V977" i="6" s="1"/>
  <c r="W961" i="6" s="1"/>
  <c r="T1001" i="6"/>
  <c r="D11" i="7"/>
  <c r="D10" i="7"/>
  <c r="D34" i="7"/>
  <c r="D33" i="7"/>
  <c r="D31" i="7"/>
  <c r="Q3" i="6"/>
  <c r="Q4" i="6"/>
  <c r="Q5" i="6"/>
  <c r="Q6" i="6"/>
  <c r="Q7" i="6"/>
  <c r="Q8" i="6"/>
  <c r="Q9" i="6"/>
  <c r="Q10" i="6"/>
  <c r="Q11" i="6"/>
  <c r="Q12" i="6"/>
  <c r="Q13" i="6"/>
  <c r="Q14" i="6"/>
  <c r="Q15" i="6"/>
  <c r="Q16" i="6"/>
  <c r="Q17" i="6"/>
  <c r="Q18" i="6"/>
  <c r="Q19" i="6"/>
  <c r="Q20" i="6"/>
  <c r="Q21" i="6"/>
  <c r="Q22" i="6"/>
  <c r="Q23" i="6"/>
  <c r="Q24" i="6"/>
  <c r="Q25" i="6"/>
  <c r="Q26" i="6"/>
  <c r="Q27" i="6"/>
  <c r="Q28" i="6"/>
  <c r="Q29" i="6"/>
  <c r="Q30" i="6"/>
  <c r="Q31" i="6"/>
  <c r="Q32" i="6"/>
  <c r="Q33" i="6"/>
  <c r="Q34" i="6"/>
  <c r="Q35" i="6"/>
  <c r="Q36" i="6"/>
  <c r="Q37" i="6"/>
  <c r="Q38" i="6"/>
  <c r="Q39" i="6"/>
  <c r="Q40" i="6"/>
  <c r="Q41" i="6"/>
  <c r="Q42" i="6"/>
  <c r="Q43" i="6"/>
  <c r="Q44" i="6"/>
  <c r="Q45" i="6"/>
  <c r="Q46" i="6"/>
  <c r="Q47" i="6"/>
  <c r="Q48" i="6"/>
  <c r="Q49" i="6"/>
  <c r="Q50" i="6"/>
  <c r="Q51" i="6"/>
  <c r="Q52" i="6"/>
  <c r="Q53" i="6"/>
  <c r="Q54" i="6"/>
  <c r="Q55" i="6"/>
  <c r="Q56" i="6"/>
  <c r="Q57" i="6"/>
  <c r="Q58" i="6"/>
  <c r="Q59" i="6"/>
  <c r="Q60" i="6"/>
  <c r="Q61" i="6"/>
  <c r="Q62" i="6"/>
  <c r="Q63" i="6"/>
  <c r="Q64" i="6"/>
  <c r="Q65" i="6"/>
  <c r="Q66" i="6"/>
  <c r="Q67" i="6"/>
  <c r="Q68" i="6"/>
  <c r="Q69" i="6"/>
  <c r="Q70" i="6"/>
  <c r="Q71" i="6"/>
  <c r="Q72" i="6"/>
  <c r="Q73" i="6"/>
  <c r="Q74" i="6"/>
  <c r="Q75" i="6"/>
  <c r="Q76" i="6"/>
  <c r="Q77" i="6"/>
  <c r="Q78" i="6"/>
  <c r="Q79" i="6"/>
  <c r="Q80" i="6"/>
  <c r="Q81" i="6"/>
  <c r="Q82" i="6"/>
  <c r="Q83" i="6"/>
  <c r="Q84" i="6"/>
  <c r="Q85" i="6"/>
  <c r="Q86" i="6"/>
  <c r="Q87" i="6"/>
  <c r="Q88" i="6"/>
  <c r="Q89" i="6"/>
  <c r="Q90" i="6"/>
  <c r="Q91" i="6"/>
  <c r="Q92" i="6"/>
  <c r="Q93" i="6"/>
  <c r="Q94" i="6"/>
  <c r="Q95" i="6"/>
  <c r="Q96" i="6"/>
  <c r="Q97" i="6"/>
  <c r="Q98" i="6"/>
  <c r="Q99" i="6"/>
  <c r="Q100" i="6"/>
  <c r="Q101" i="6"/>
  <c r="Q102" i="6"/>
  <c r="Q103" i="6"/>
  <c r="Q104" i="6"/>
  <c r="Q105" i="6"/>
  <c r="Q106" i="6"/>
  <c r="Q107" i="6"/>
  <c r="Q108" i="6"/>
  <c r="Q109" i="6"/>
  <c r="Q110" i="6"/>
  <c r="Q111" i="6"/>
  <c r="Q112" i="6"/>
  <c r="Q113" i="6"/>
  <c r="Q114" i="6"/>
  <c r="Q115" i="6"/>
  <c r="Q116" i="6"/>
  <c r="Q117" i="6"/>
  <c r="Q118" i="6"/>
  <c r="Q119" i="6"/>
  <c r="Q120" i="6"/>
  <c r="Q121" i="6"/>
  <c r="Q122" i="6"/>
  <c r="Q123" i="6"/>
  <c r="Q124" i="6"/>
  <c r="Q125" i="6"/>
  <c r="Q126" i="6"/>
  <c r="Q127" i="6"/>
  <c r="Q128" i="6"/>
  <c r="Q129" i="6"/>
  <c r="Q130" i="6"/>
  <c r="Q131" i="6"/>
  <c r="Q132" i="6"/>
  <c r="Q133" i="6"/>
  <c r="Q134" i="6"/>
  <c r="Q135" i="6"/>
  <c r="Q136" i="6"/>
  <c r="Q137" i="6"/>
  <c r="Q138" i="6"/>
  <c r="Q139" i="6"/>
  <c r="Q140" i="6"/>
  <c r="Q141" i="6"/>
  <c r="Q142" i="6"/>
  <c r="Q143" i="6"/>
  <c r="Q144" i="6"/>
  <c r="Q145" i="6"/>
  <c r="Q146" i="6"/>
  <c r="Q147" i="6"/>
  <c r="Q148" i="6"/>
  <c r="Q149" i="6"/>
  <c r="Q150" i="6"/>
  <c r="Q151" i="6"/>
  <c r="Q152" i="6"/>
  <c r="Q153" i="6"/>
  <c r="Q154" i="6"/>
  <c r="Q155" i="6"/>
  <c r="Q156" i="6"/>
  <c r="Q157" i="6"/>
  <c r="Q158" i="6"/>
  <c r="Q159" i="6"/>
  <c r="Q160" i="6"/>
  <c r="Q161" i="6"/>
  <c r="Q162" i="6"/>
  <c r="Q163" i="6"/>
  <c r="Q164" i="6"/>
  <c r="Q165" i="6"/>
  <c r="Q166" i="6"/>
  <c r="Q167" i="6"/>
  <c r="Q168" i="6"/>
  <c r="Q169" i="6"/>
  <c r="Q170" i="6"/>
  <c r="Q171" i="6"/>
  <c r="Q172" i="6"/>
  <c r="Q173" i="6"/>
  <c r="Q174" i="6"/>
  <c r="Q175" i="6"/>
  <c r="Q176" i="6"/>
  <c r="Q177" i="6"/>
  <c r="Q178" i="6"/>
  <c r="Q179" i="6"/>
  <c r="Q180" i="6"/>
  <c r="Q181" i="6"/>
  <c r="Q182" i="6"/>
  <c r="Q183" i="6"/>
  <c r="Q184" i="6"/>
  <c r="Q185" i="6"/>
  <c r="Q186" i="6"/>
  <c r="Q187" i="6"/>
  <c r="Q188" i="6"/>
  <c r="Q189" i="6"/>
  <c r="Q190" i="6"/>
  <c r="Q191" i="6"/>
  <c r="Q192" i="6"/>
  <c r="Q193" i="6"/>
  <c r="Q194" i="6"/>
  <c r="Q195" i="6"/>
  <c r="Q196" i="6"/>
  <c r="Q197" i="6"/>
  <c r="Q198" i="6"/>
  <c r="Q199" i="6"/>
  <c r="Q200" i="6"/>
  <c r="Q201" i="6"/>
  <c r="Q202" i="6"/>
  <c r="Q203" i="6"/>
  <c r="Q204" i="6"/>
  <c r="Q205" i="6"/>
  <c r="Q206" i="6"/>
  <c r="Q207" i="6"/>
  <c r="Q208" i="6"/>
  <c r="Q209" i="6"/>
  <c r="Q210" i="6"/>
  <c r="Q211" i="6"/>
  <c r="Q212" i="6"/>
  <c r="Q213" i="6"/>
  <c r="Q214" i="6"/>
  <c r="Q215" i="6"/>
  <c r="Q216" i="6"/>
  <c r="Q217" i="6"/>
  <c r="Q218" i="6"/>
  <c r="Q219" i="6"/>
  <c r="Q220" i="6"/>
  <c r="Q221" i="6"/>
  <c r="Q222" i="6"/>
  <c r="Q223" i="6"/>
  <c r="Q224" i="6"/>
  <c r="Q225" i="6"/>
  <c r="Q226" i="6"/>
  <c r="Q227" i="6"/>
  <c r="Q228" i="6"/>
  <c r="Q229" i="6"/>
  <c r="Q230" i="6"/>
  <c r="Q231" i="6"/>
  <c r="Q232" i="6"/>
  <c r="Q233" i="6"/>
  <c r="Q234" i="6"/>
  <c r="Q235" i="6"/>
  <c r="Q236" i="6"/>
  <c r="Q237" i="6"/>
  <c r="Q238" i="6"/>
  <c r="Q239" i="6"/>
  <c r="Q240" i="6"/>
  <c r="Q241" i="6"/>
  <c r="Q242" i="6"/>
  <c r="Q243" i="6"/>
  <c r="Q244" i="6"/>
  <c r="Q245" i="6"/>
  <c r="Q246" i="6"/>
  <c r="Q247" i="6"/>
  <c r="Q248" i="6"/>
  <c r="Q249" i="6"/>
  <c r="Q250" i="6"/>
  <c r="Q251" i="6"/>
  <c r="Q252" i="6"/>
  <c r="Q253" i="6"/>
  <c r="Q254" i="6"/>
  <c r="Q255" i="6"/>
  <c r="Q256" i="6"/>
  <c r="Q257" i="6"/>
  <c r="Q258" i="6"/>
  <c r="Q259" i="6"/>
  <c r="Q260" i="6"/>
  <c r="Q261" i="6"/>
  <c r="Q262" i="6"/>
  <c r="Q263" i="6"/>
  <c r="Q264" i="6"/>
  <c r="Q265" i="6"/>
  <c r="Q266" i="6"/>
  <c r="Q267" i="6"/>
  <c r="Q268" i="6"/>
  <c r="Q269" i="6"/>
  <c r="Q270" i="6"/>
  <c r="Q271" i="6"/>
  <c r="Q272" i="6"/>
  <c r="Q273" i="6"/>
  <c r="Q274" i="6"/>
  <c r="Q275" i="6"/>
  <c r="Q276" i="6"/>
  <c r="Q277" i="6"/>
  <c r="Q278" i="6"/>
  <c r="Q279" i="6"/>
  <c r="Q280" i="6"/>
  <c r="Q281" i="6"/>
  <c r="Q282" i="6"/>
  <c r="Q283" i="6"/>
  <c r="Q284" i="6"/>
  <c r="Q285" i="6"/>
  <c r="Q286" i="6"/>
  <c r="Q287" i="6"/>
  <c r="Q288" i="6"/>
  <c r="Q289" i="6"/>
  <c r="Q290" i="6"/>
  <c r="Q291" i="6"/>
  <c r="Q292" i="6"/>
  <c r="Q293" i="6"/>
  <c r="Q294" i="6"/>
  <c r="Q295" i="6"/>
  <c r="Q296" i="6"/>
  <c r="Q297" i="6"/>
  <c r="Q298" i="6"/>
  <c r="Q299" i="6"/>
  <c r="Q300" i="6"/>
  <c r="Q301" i="6"/>
  <c r="Q302" i="6"/>
  <c r="Q303" i="6"/>
  <c r="Q304" i="6"/>
  <c r="Q305" i="6"/>
  <c r="Q306" i="6"/>
  <c r="Q307" i="6"/>
  <c r="Q308" i="6"/>
  <c r="Q309" i="6"/>
  <c r="Q310" i="6"/>
  <c r="Q311" i="6"/>
  <c r="Q312" i="6"/>
  <c r="Q313" i="6"/>
  <c r="Q314" i="6"/>
  <c r="Q315" i="6"/>
  <c r="Q316" i="6"/>
  <c r="Q317" i="6"/>
  <c r="Q318" i="6"/>
  <c r="Q319" i="6"/>
  <c r="Q320" i="6"/>
  <c r="Q321" i="6"/>
  <c r="Q322" i="6"/>
  <c r="Q323" i="6"/>
  <c r="Q324" i="6"/>
  <c r="Q325" i="6"/>
  <c r="Q326" i="6"/>
  <c r="Q327" i="6"/>
  <c r="Q328" i="6"/>
  <c r="Q329" i="6"/>
  <c r="Q330" i="6"/>
  <c r="Q331" i="6"/>
  <c r="Q332" i="6"/>
  <c r="Q333" i="6"/>
  <c r="Q334" i="6"/>
  <c r="Q335" i="6"/>
  <c r="Q336" i="6"/>
  <c r="Q337" i="6"/>
  <c r="Q338" i="6"/>
  <c r="Q339" i="6"/>
  <c r="Q340" i="6"/>
  <c r="Q341" i="6"/>
  <c r="Q342" i="6"/>
  <c r="Q343" i="6"/>
  <c r="Q344" i="6"/>
  <c r="Q345" i="6"/>
  <c r="Q346" i="6"/>
  <c r="Q347" i="6"/>
  <c r="Q348" i="6"/>
  <c r="Q349" i="6"/>
  <c r="Q350" i="6"/>
  <c r="Q351" i="6"/>
  <c r="Q352" i="6"/>
  <c r="Q353" i="6"/>
  <c r="Q354" i="6"/>
  <c r="Q355" i="6"/>
  <c r="Q356" i="6"/>
  <c r="Q357" i="6"/>
  <c r="Q358" i="6"/>
  <c r="Q359" i="6"/>
  <c r="Q360" i="6"/>
  <c r="Q361" i="6"/>
  <c r="Q362" i="6"/>
  <c r="Q363" i="6"/>
  <c r="Q364" i="6"/>
  <c r="Q365" i="6"/>
  <c r="Q366" i="6"/>
  <c r="Q367" i="6"/>
  <c r="Q368" i="6"/>
  <c r="Q369" i="6"/>
  <c r="Q370" i="6"/>
  <c r="Q371" i="6"/>
  <c r="Q372" i="6"/>
  <c r="Q373" i="6"/>
  <c r="Q374" i="6"/>
  <c r="Q375" i="6"/>
  <c r="Q376" i="6"/>
  <c r="Q377" i="6"/>
  <c r="Q378" i="6"/>
  <c r="Q379" i="6"/>
  <c r="Q380" i="6"/>
  <c r="Q381" i="6"/>
  <c r="Q382" i="6"/>
  <c r="Q383" i="6"/>
  <c r="Q384" i="6"/>
  <c r="Q385" i="6"/>
  <c r="Q386" i="6"/>
  <c r="Q387" i="6"/>
  <c r="Q388" i="6"/>
  <c r="Q389" i="6"/>
  <c r="Q390" i="6"/>
  <c r="Q391" i="6"/>
  <c r="Q392" i="6"/>
  <c r="Q393" i="6"/>
  <c r="Q394" i="6"/>
  <c r="Q395" i="6"/>
  <c r="Q396" i="6"/>
  <c r="Q397" i="6"/>
  <c r="Q398" i="6"/>
  <c r="Q399" i="6"/>
  <c r="Q400" i="6"/>
  <c r="Q401" i="6"/>
  <c r="Q402" i="6"/>
  <c r="Q403" i="6"/>
  <c r="Q404" i="6"/>
  <c r="Q405" i="6"/>
  <c r="Q406" i="6"/>
  <c r="Q407" i="6"/>
  <c r="Q408" i="6"/>
  <c r="Q409" i="6"/>
  <c r="Q410" i="6"/>
  <c r="Q411" i="6"/>
  <c r="Q412" i="6"/>
  <c r="Q413" i="6"/>
  <c r="Q414" i="6"/>
  <c r="Q415" i="6"/>
  <c r="Q416" i="6"/>
  <c r="Q417" i="6"/>
  <c r="Q418" i="6"/>
  <c r="Q419" i="6"/>
  <c r="Q420" i="6"/>
  <c r="Q421" i="6"/>
  <c r="Q422" i="6"/>
  <c r="Q423" i="6"/>
  <c r="Q424" i="6"/>
  <c r="Q425" i="6"/>
  <c r="Q426" i="6"/>
  <c r="Q427" i="6"/>
  <c r="Q428" i="6"/>
  <c r="Q429" i="6"/>
  <c r="Q430" i="6"/>
  <c r="Q431" i="6"/>
  <c r="Q432" i="6"/>
  <c r="Q433" i="6"/>
  <c r="Q434" i="6"/>
  <c r="Q435" i="6"/>
  <c r="Q436" i="6"/>
  <c r="Q437" i="6"/>
  <c r="Q438" i="6"/>
  <c r="Q439" i="6"/>
  <c r="Q440" i="6"/>
  <c r="Q441" i="6"/>
  <c r="Q442" i="6"/>
  <c r="Q443" i="6"/>
  <c r="Q444" i="6"/>
  <c r="Q445" i="6"/>
  <c r="Q446" i="6"/>
  <c r="Q447" i="6"/>
  <c r="Q448" i="6"/>
  <c r="Q449" i="6"/>
  <c r="Q450" i="6"/>
  <c r="Q451" i="6"/>
  <c r="Q452" i="6"/>
  <c r="Q453" i="6"/>
  <c r="Q454" i="6"/>
  <c r="Q455" i="6"/>
  <c r="Q456" i="6"/>
  <c r="Q457" i="6"/>
  <c r="Q458" i="6"/>
  <c r="Q459" i="6"/>
  <c r="Q460" i="6"/>
  <c r="Q461" i="6"/>
  <c r="Q462" i="6"/>
  <c r="Q463" i="6"/>
  <c r="Q464" i="6"/>
  <c r="Q465" i="6"/>
  <c r="Q466" i="6"/>
  <c r="Q467" i="6"/>
  <c r="Q468" i="6"/>
  <c r="Q469" i="6"/>
  <c r="Q470" i="6"/>
  <c r="Q471" i="6"/>
  <c r="Q472" i="6"/>
  <c r="Q473" i="6"/>
  <c r="Q474" i="6"/>
  <c r="Q475" i="6"/>
  <c r="Q476" i="6"/>
  <c r="Q477" i="6"/>
  <c r="Q478" i="6"/>
  <c r="Q479" i="6"/>
  <c r="Q480" i="6"/>
  <c r="Q481" i="6"/>
  <c r="Q482" i="6"/>
  <c r="Q483" i="6"/>
  <c r="Q484" i="6"/>
  <c r="Q485" i="6"/>
  <c r="Q486" i="6"/>
  <c r="Q487" i="6"/>
  <c r="Q488" i="6"/>
  <c r="Q489" i="6"/>
  <c r="Q490" i="6"/>
  <c r="Q491" i="6"/>
  <c r="Q492" i="6"/>
  <c r="Q493" i="6"/>
  <c r="Q494" i="6"/>
  <c r="Q495" i="6"/>
  <c r="Q496" i="6"/>
  <c r="Q497" i="6"/>
  <c r="Q498" i="6"/>
  <c r="Q499" i="6"/>
  <c r="Q500" i="6"/>
  <c r="Q501" i="6"/>
  <c r="Q502" i="6"/>
  <c r="Q503" i="6"/>
  <c r="Q504" i="6"/>
  <c r="Q505" i="6"/>
  <c r="Q506" i="6"/>
  <c r="Q507" i="6"/>
  <c r="Q508" i="6"/>
  <c r="Q509" i="6"/>
  <c r="Q510" i="6"/>
  <c r="Q511" i="6"/>
  <c r="Q512" i="6"/>
  <c r="Q513" i="6"/>
  <c r="Q514" i="6"/>
  <c r="Q515" i="6"/>
  <c r="Q516" i="6"/>
  <c r="Q517" i="6"/>
  <c r="Q518" i="6"/>
  <c r="Q519" i="6"/>
  <c r="Q520" i="6"/>
  <c r="Q521" i="6"/>
  <c r="Q522" i="6"/>
  <c r="Q523" i="6"/>
  <c r="Q524" i="6"/>
  <c r="Q525" i="6"/>
  <c r="Q526" i="6"/>
  <c r="Q527" i="6"/>
  <c r="Q528" i="6"/>
  <c r="Q529" i="6"/>
  <c r="Q530" i="6"/>
  <c r="Q531" i="6"/>
  <c r="Q532" i="6"/>
  <c r="Q533" i="6"/>
  <c r="Q534" i="6"/>
  <c r="Q535" i="6"/>
  <c r="Q536" i="6"/>
  <c r="Q537" i="6"/>
  <c r="Q538" i="6"/>
  <c r="Q539" i="6"/>
  <c r="Q540" i="6"/>
  <c r="Q541" i="6"/>
  <c r="Q542" i="6"/>
  <c r="Q543" i="6"/>
  <c r="Q544" i="6"/>
  <c r="Q545" i="6"/>
  <c r="Q546" i="6"/>
  <c r="Q547" i="6"/>
  <c r="Q548" i="6"/>
  <c r="Q549" i="6"/>
  <c r="Q550" i="6"/>
  <c r="Q551" i="6"/>
  <c r="Q552" i="6"/>
  <c r="Q553" i="6"/>
  <c r="Q554" i="6"/>
  <c r="Q555" i="6"/>
  <c r="Q556" i="6"/>
  <c r="Q557" i="6"/>
  <c r="Q558" i="6"/>
  <c r="Q559" i="6"/>
  <c r="Q560" i="6"/>
  <c r="Q561" i="6"/>
  <c r="Q562" i="6"/>
  <c r="Q563" i="6"/>
  <c r="Q564" i="6"/>
  <c r="Q565" i="6"/>
  <c r="Q566" i="6"/>
  <c r="Q567" i="6"/>
  <c r="Q568" i="6"/>
  <c r="Q569" i="6"/>
  <c r="Q570" i="6"/>
  <c r="Q571" i="6"/>
  <c r="Q572" i="6"/>
  <c r="Q573" i="6"/>
  <c r="Q574" i="6"/>
  <c r="Q575" i="6"/>
  <c r="Q576" i="6"/>
  <c r="Q577" i="6"/>
  <c r="Q578" i="6"/>
  <c r="Q579" i="6"/>
  <c r="Q580" i="6"/>
  <c r="Q581" i="6"/>
  <c r="Q582" i="6"/>
  <c r="Q583" i="6"/>
  <c r="Q584" i="6"/>
  <c r="Q585" i="6"/>
  <c r="Q586" i="6"/>
  <c r="Q587" i="6"/>
  <c r="Q588" i="6"/>
  <c r="Q589" i="6"/>
  <c r="Q590" i="6"/>
  <c r="Q591" i="6"/>
  <c r="Q592" i="6"/>
  <c r="Q593" i="6"/>
  <c r="Q594" i="6"/>
  <c r="Q595" i="6"/>
  <c r="Q596" i="6"/>
  <c r="Q597" i="6"/>
  <c r="Q598" i="6"/>
  <c r="Q599" i="6"/>
  <c r="Q600" i="6"/>
  <c r="Q601" i="6"/>
  <c r="Q602" i="6"/>
  <c r="Q603" i="6"/>
  <c r="Q604" i="6"/>
  <c r="Q605" i="6"/>
  <c r="Q606" i="6"/>
  <c r="Q607" i="6"/>
  <c r="Q608" i="6"/>
  <c r="Q609" i="6"/>
  <c r="Q610" i="6"/>
  <c r="Q611" i="6"/>
  <c r="Q612" i="6"/>
  <c r="Q613" i="6"/>
  <c r="Q614" i="6"/>
  <c r="Q615" i="6"/>
  <c r="Q616" i="6"/>
  <c r="Q617" i="6"/>
  <c r="Q618" i="6"/>
  <c r="Q619" i="6"/>
  <c r="Q620" i="6"/>
  <c r="Q621" i="6"/>
  <c r="Q622" i="6"/>
  <c r="Q623" i="6"/>
  <c r="Q624" i="6"/>
  <c r="Q625" i="6"/>
  <c r="Q626" i="6"/>
  <c r="Q627" i="6"/>
  <c r="Q628" i="6"/>
  <c r="Q629" i="6"/>
  <c r="Q630" i="6"/>
  <c r="Q631" i="6"/>
  <c r="Q632" i="6"/>
  <c r="Q633" i="6"/>
  <c r="Q634" i="6"/>
  <c r="Q635" i="6"/>
  <c r="Q636" i="6"/>
  <c r="Q637" i="6"/>
  <c r="Q638" i="6"/>
  <c r="Q639" i="6"/>
  <c r="Q640" i="6"/>
  <c r="Q641" i="6"/>
  <c r="Q642" i="6"/>
  <c r="Q643" i="6"/>
  <c r="Q644" i="6"/>
  <c r="Q645" i="6"/>
  <c r="Q646" i="6"/>
  <c r="Q647" i="6"/>
  <c r="Q648" i="6"/>
  <c r="Q649" i="6"/>
  <c r="Q650" i="6"/>
  <c r="Q651" i="6"/>
  <c r="Q652" i="6"/>
  <c r="Q653" i="6"/>
  <c r="Q654" i="6"/>
  <c r="Q655" i="6"/>
  <c r="Q656" i="6"/>
  <c r="Q657" i="6"/>
  <c r="Q658" i="6"/>
  <c r="Q659" i="6"/>
  <c r="Q660" i="6"/>
  <c r="Q661" i="6"/>
  <c r="Q662" i="6"/>
  <c r="Q663" i="6"/>
  <c r="Q664" i="6"/>
  <c r="Q665" i="6"/>
  <c r="Q666" i="6"/>
  <c r="Q667" i="6"/>
  <c r="Q668" i="6"/>
  <c r="Q669" i="6"/>
  <c r="Q670" i="6"/>
  <c r="Q671" i="6"/>
  <c r="Q672" i="6"/>
  <c r="Q673" i="6"/>
  <c r="Q674" i="6"/>
  <c r="Q675" i="6"/>
  <c r="Q676" i="6"/>
  <c r="Q677" i="6"/>
  <c r="Q678" i="6"/>
  <c r="Q679" i="6"/>
  <c r="Q680" i="6"/>
  <c r="Q681" i="6"/>
  <c r="Q682" i="6"/>
  <c r="Q683" i="6"/>
  <c r="Q684" i="6"/>
  <c r="Q685" i="6"/>
  <c r="Q686" i="6"/>
  <c r="Q687" i="6"/>
  <c r="Q688" i="6"/>
  <c r="Q689" i="6"/>
  <c r="Q690" i="6"/>
  <c r="Q691" i="6"/>
  <c r="Q692" i="6"/>
  <c r="Q693" i="6"/>
  <c r="Q694" i="6"/>
  <c r="Q695" i="6"/>
  <c r="Q696" i="6"/>
  <c r="Q697" i="6"/>
  <c r="Q698" i="6"/>
  <c r="Q699" i="6"/>
  <c r="Q700" i="6"/>
  <c r="Q701" i="6"/>
  <c r="Q702" i="6"/>
  <c r="Q703" i="6"/>
  <c r="Q704" i="6"/>
  <c r="Q705" i="6"/>
  <c r="Q706" i="6"/>
  <c r="Q707" i="6"/>
  <c r="Q708" i="6"/>
  <c r="Q709" i="6"/>
  <c r="Q710" i="6"/>
  <c r="Q711" i="6"/>
  <c r="Q712" i="6"/>
  <c r="Q713" i="6"/>
  <c r="Q714" i="6"/>
  <c r="Q715" i="6"/>
  <c r="Q716" i="6"/>
  <c r="Q717" i="6"/>
  <c r="Q718" i="6"/>
  <c r="Q719" i="6"/>
  <c r="Q720" i="6"/>
  <c r="Q721" i="6"/>
  <c r="Q722" i="6"/>
  <c r="Q723" i="6"/>
  <c r="Q724" i="6"/>
  <c r="Q725" i="6"/>
  <c r="Q726" i="6"/>
  <c r="Q727" i="6"/>
  <c r="Q728" i="6"/>
  <c r="Q729" i="6"/>
  <c r="Q730" i="6"/>
  <c r="Q731" i="6"/>
  <c r="Q732" i="6"/>
  <c r="Q733" i="6"/>
  <c r="Q734" i="6"/>
  <c r="Q735" i="6"/>
  <c r="Q736" i="6"/>
  <c r="Q737" i="6"/>
  <c r="Q738" i="6"/>
  <c r="Q739" i="6"/>
  <c r="Q740" i="6"/>
  <c r="Q741" i="6"/>
  <c r="Q742" i="6"/>
  <c r="Q743" i="6"/>
  <c r="Q744" i="6"/>
  <c r="Q745" i="6"/>
  <c r="Q746" i="6"/>
  <c r="Q747" i="6"/>
  <c r="Q748" i="6"/>
  <c r="Q749" i="6"/>
  <c r="Q750" i="6"/>
  <c r="Q751" i="6"/>
  <c r="Q752" i="6"/>
  <c r="Q753" i="6"/>
  <c r="Q754" i="6"/>
  <c r="Q755" i="6"/>
  <c r="Q756" i="6"/>
  <c r="Q757" i="6"/>
  <c r="Q758" i="6"/>
  <c r="Q759" i="6"/>
  <c r="Q760" i="6"/>
  <c r="Q761" i="6"/>
  <c r="Q762" i="6"/>
  <c r="Q763" i="6"/>
  <c r="Q764" i="6"/>
  <c r="Q765" i="6"/>
  <c r="Q766" i="6"/>
  <c r="Q767" i="6"/>
  <c r="Q768" i="6"/>
  <c r="Q769" i="6"/>
  <c r="Q770" i="6"/>
  <c r="Q771" i="6"/>
  <c r="Q772" i="6"/>
  <c r="Q773" i="6"/>
  <c r="Q774" i="6"/>
  <c r="Q775" i="6"/>
  <c r="Q776" i="6"/>
  <c r="Q777" i="6"/>
  <c r="Q778" i="6"/>
  <c r="Q779" i="6"/>
  <c r="Q780" i="6"/>
  <c r="Q781" i="6"/>
  <c r="Q782" i="6"/>
  <c r="Q783" i="6"/>
  <c r="Q784" i="6"/>
  <c r="Q785" i="6"/>
  <c r="Q786" i="6"/>
  <c r="Q787" i="6"/>
  <c r="Q788" i="6"/>
  <c r="Q789" i="6"/>
  <c r="Q790" i="6"/>
  <c r="Q791" i="6"/>
  <c r="Q792" i="6"/>
  <c r="Q793" i="6"/>
  <c r="Q794" i="6"/>
  <c r="Q795" i="6"/>
  <c r="Q796" i="6"/>
  <c r="Q797" i="6"/>
  <c r="Q798" i="6"/>
  <c r="Q799" i="6"/>
  <c r="Q800" i="6"/>
  <c r="Q801" i="6"/>
  <c r="Q802" i="6"/>
  <c r="Q803" i="6"/>
  <c r="Q804" i="6"/>
  <c r="Q805" i="6"/>
  <c r="Q806" i="6"/>
  <c r="Q807" i="6"/>
  <c r="Q808" i="6"/>
  <c r="Q809" i="6"/>
  <c r="Q810" i="6"/>
  <c r="Q811" i="6"/>
  <c r="Q812" i="6"/>
  <c r="Q813" i="6"/>
  <c r="Q814" i="6"/>
  <c r="Q815" i="6"/>
  <c r="Q816" i="6"/>
  <c r="Q817" i="6"/>
  <c r="Q818" i="6"/>
  <c r="Q819" i="6"/>
  <c r="Q820" i="6"/>
  <c r="Q821" i="6"/>
  <c r="Q822" i="6"/>
  <c r="Q823" i="6"/>
  <c r="Q824" i="6"/>
  <c r="Q825" i="6"/>
  <c r="Q826" i="6"/>
  <c r="Q827" i="6"/>
  <c r="Q828" i="6"/>
  <c r="Q829" i="6"/>
  <c r="Q830" i="6"/>
  <c r="Q831" i="6"/>
  <c r="Q832" i="6"/>
  <c r="Q833" i="6"/>
  <c r="Q834" i="6"/>
  <c r="Q835" i="6"/>
  <c r="Q836" i="6"/>
  <c r="Q837" i="6"/>
  <c r="Q838" i="6"/>
  <c r="Q839" i="6"/>
  <c r="Q840" i="6"/>
  <c r="Q841" i="6"/>
  <c r="Q842" i="6"/>
  <c r="Q843" i="6"/>
  <c r="Q844" i="6"/>
  <c r="Q845" i="6"/>
  <c r="Q846" i="6"/>
  <c r="Q847" i="6"/>
  <c r="Q848" i="6"/>
  <c r="Q849" i="6"/>
  <c r="Q850" i="6"/>
  <c r="Q851" i="6"/>
  <c r="Q852" i="6"/>
  <c r="Q853" i="6"/>
  <c r="Q854" i="6"/>
  <c r="Q855" i="6"/>
  <c r="Q856" i="6"/>
  <c r="Q857" i="6"/>
  <c r="Q858" i="6"/>
  <c r="Q859" i="6"/>
  <c r="Q860" i="6"/>
  <c r="Q861" i="6"/>
  <c r="Q862" i="6"/>
  <c r="Q863" i="6"/>
  <c r="Q864" i="6"/>
  <c r="Q865" i="6"/>
  <c r="Q866" i="6"/>
  <c r="Q867" i="6"/>
  <c r="Q868" i="6"/>
  <c r="Q869" i="6"/>
  <c r="Q870" i="6"/>
  <c r="Q871" i="6"/>
  <c r="Q872" i="6"/>
  <c r="Q873" i="6"/>
  <c r="Q874" i="6"/>
  <c r="Q875" i="6"/>
  <c r="Q876" i="6"/>
  <c r="Q877" i="6"/>
  <c r="Q878" i="6"/>
  <c r="Q879" i="6"/>
  <c r="Q880" i="6"/>
  <c r="Q881" i="6"/>
  <c r="Q882" i="6"/>
  <c r="Q883" i="6"/>
  <c r="Q884" i="6"/>
  <c r="Q885" i="6"/>
  <c r="Q886" i="6"/>
  <c r="Q887" i="6"/>
  <c r="Q888" i="6"/>
  <c r="Q889" i="6"/>
  <c r="Q890" i="6"/>
  <c r="Q891" i="6"/>
  <c r="Q892" i="6"/>
  <c r="Q893" i="6"/>
  <c r="Q894" i="6"/>
  <c r="Q895" i="6"/>
  <c r="Q896" i="6"/>
  <c r="Q897" i="6"/>
  <c r="Q898" i="6"/>
  <c r="Q899" i="6"/>
  <c r="Q900" i="6"/>
  <c r="Q901" i="6"/>
  <c r="Q902" i="6"/>
  <c r="Q903" i="6"/>
  <c r="Q904" i="6"/>
  <c r="Q905" i="6"/>
  <c r="Q906" i="6"/>
  <c r="Q907" i="6"/>
  <c r="Q908" i="6"/>
  <c r="Q909" i="6"/>
  <c r="Q910" i="6"/>
  <c r="Q911" i="6"/>
  <c r="Q912" i="6"/>
  <c r="Q913" i="6"/>
  <c r="Q914" i="6"/>
  <c r="Q915" i="6"/>
  <c r="Q916" i="6"/>
  <c r="Q917" i="6"/>
  <c r="Q918" i="6"/>
  <c r="Q919" i="6"/>
  <c r="Q920" i="6"/>
  <c r="Q921" i="6"/>
  <c r="Q922" i="6"/>
  <c r="Q923" i="6"/>
  <c r="Q924" i="6"/>
  <c r="Q925" i="6"/>
  <c r="Q926" i="6"/>
  <c r="Q927" i="6"/>
  <c r="Q928" i="6"/>
  <c r="Q929" i="6"/>
  <c r="Q930" i="6"/>
  <c r="Q931" i="6"/>
  <c r="Q932" i="6"/>
  <c r="Q933" i="6"/>
  <c r="Q934" i="6"/>
  <c r="Q935" i="6"/>
  <c r="Q936" i="6"/>
  <c r="Q937" i="6"/>
  <c r="Q938" i="6"/>
  <c r="Q939" i="6"/>
  <c r="Q940" i="6"/>
  <c r="Q941" i="6"/>
  <c r="Q942" i="6"/>
  <c r="Q943" i="6"/>
  <c r="Q944" i="6"/>
  <c r="Q945" i="6"/>
  <c r="Q946" i="6"/>
  <c r="Q947" i="6"/>
  <c r="Q948" i="6"/>
  <c r="Q949" i="6"/>
  <c r="Q950" i="6"/>
  <c r="Q951" i="6"/>
  <c r="Q952" i="6"/>
  <c r="Q953" i="6"/>
  <c r="Q954" i="6"/>
  <c r="Q955" i="6"/>
  <c r="Q956" i="6"/>
  <c r="Q957" i="6"/>
  <c r="Q958" i="6"/>
  <c r="Q959" i="6"/>
  <c r="Q960" i="6"/>
  <c r="Q961" i="6"/>
  <c r="Q962" i="6"/>
  <c r="Q963" i="6"/>
  <c r="Q964" i="6"/>
  <c r="Q965" i="6"/>
  <c r="Q966" i="6"/>
  <c r="Q967" i="6"/>
  <c r="Q968" i="6"/>
  <c r="Q969" i="6"/>
  <c r="Q970" i="6"/>
  <c r="Q971" i="6"/>
  <c r="Q972" i="6"/>
  <c r="Q973" i="6"/>
  <c r="Q974" i="6"/>
  <c r="Q975" i="6"/>
  <c r="Q976" i="6"/>
  <c r="Q977" i="6"/>
  <c r="Q978" i="6"/>
  <c r="Q979" i="6"/>
  <c r="Q980" i="6"/>
  <c r="Q981" i="6"/>
  <c r="Q982" i="6"/>
  <c r="Q983" i="6"/>
  <c r="Q984" i="6"/>
  <c r="Q985" i="6"/>
  <c r="Q986" i="6"/>
  <c r="Q987" i="6"/>
  <c r="Q988" i="6"/>
  <c r="Q989" i="6"/>
  <c r="Q990" i="6"/>
  <c r="Q991" i="6"/>
  <c r="Q992" i="6"/>
  <c r="Q993" i="6"/>
  <c r="Q994" i="6"/>
  <c r="Q995" i="6"/>
  <c r="Q996" i="6"/>
  <c r="Q997" i="6"/>
  <c r="Q998" i="6"/>
  <c r="Q999" i="6"/>
  <c r="Q1000" i="6"/>
  <c r="Q1001" i="6"/>
  <c r="S2" i="6"/>
  <c r="S3" i="6"/>
  <c r="S4" i="6"/>
  <c r="S5" i="6"/>
  <c r="S6" i="6"/>
  <c r="S7" i="6"/>
  <c r="S8" i="6"/>
  <c r="S9" i="6"/>
  <c r="S10" i="6"/>
  <c r="S11" i="6"/>
  <c r="S12" i="6"/>
  <c r="S13" i="6"/>
  <c r="S14" i="6"/>
  <c r="S15" i="6"/>
  <c r="S16" i="6"/>
  <c r="S17" i="6"/>
  <c r="S18" i="6"/>
  <c r="S19" i="6"/>
  <c r="S20" i="6"/>
  <c r="S21" i="6"/>
  <c r="S22" i="6"/>
  <c r="S23" i="6"/>
  <c r="S24" i="6"/>
  <c r="S25" i="6"/>
  <c r="S26" i="6"/>
  <c r="S27" i="6"/>
  <c r="S28" i="6"/>
  <c r="S29" i="6"/>
  <c r="S30" i="6"/>
  <c r="S31" i="6"/>
  <c r="S32" i="6"/>
  <c r="S33" i="6"/>
  <c r="S34" i="6"/>
  <c r="S35" i="6"/>
  <c r="S36" i="6"/>
  <c r="S37" i="6"/>
  <c r="S38" i="6"/>
  <c r="S39" i="6"/>
  <c r="S40" i="6"/>
  <c r="S41" i="6"/>
  <c r="S42" i="6"/>
  <c r="S43" i="6"/>
  <c r="S44" i="6"/>
  <c r="S45" i="6"/>
  <c r="S46" i="6"/>
  <c r="S47" i="6"/>
  <c r="S48" i="6"/>
  <c r="S49" i="6"/>
  <c r="S50" i="6"/>
  <c r="S51" i="6"/>
  <c r="S52" i="6"/>
  <c r="S53" i="6"/>
  <c r="S54" i="6"/>
  <c r="S55" i="6"/>
  <c r="S56" i="6"/>
  <c r="S57" i="6"/>
  <c r="S58" i="6"/>
  <c r="S59" i="6"/>
  <c r="S60" i="6"/>
  <c r="S61" i="6"/>
  <c r="S62" i="6"/>
  <c r="S63" i="6"/>
  <c r="S64" i="6"/>
  <c r="S65" i="6"/>
  <c r="S66" i="6"/>
  <c r="S67" i="6"/>
  <c r="S68" i="6"/>
  <c r="S69" i="6"/>
  <c r="S70" i="6"/>
  <c r="S71" i="6"/>
  <c r="S72" i="6"/>
  <c r="S73" i="6"/>
  <c r="S74" i="6"/>
  <c r="S75" i="6"/>
  <c r="S76" i="6"/>
  <c r="S77" i="6"/>
  <c r="S78" i="6"/>
  <c r="S79" i="6"/>
  <c r="S80" i="6"/>
  <c r="S81" i="6"/>
  <c r="S82" i="6"/>
  <c r="S83" i="6"/>
  <c r="S84" i="6"/>
  <c r="S85" i="6"/>
  <c r="S86" i="6"/>
  <c r="S87" i="6"/>
  <c r="S88" i="6"/>
  <c r="S89" i="6"/>
  <c r="S90" i="6"/>
  <c r="S91" i="6"/>
  <c r="S92" i="6"/>
  <c r="S93" i="6"/>
  <c r="S94" i="6"/>
  <c r="S95" i="6"/>
  <c r="S96" i="6"/>
  <c r="S97" i="6"/>
  <c r="S98" i="6"/>
  <c r="S99" i="6"/>
  <c r="S100" i="6"/>
  <c r="S101" i="6"/>
  <c r="S102" i="6"/>
  <c r="S103" i="6"/>
  <c r="S104" i="6"/>
  <c r="S105" i="6"/>
  <c r="S106" i="6"/>
  <c r="S107" i="6"/>
  <c r="S108" i="6"/>
  <c r="S109" i="6"/>
  <c r="S110" i="6"/>
  <c r="S111" i="6"/>
  <c r="S112" i="6"/>
  <c r="S113" i="6"/>
  <c r="S114" i="6"/>
  <c r="S115" i="6"/>
  <c r="S116" i="6"/>
  <c r="S117" i="6"/>
  <c r="S118" i="6"/>
  <c r="S119" i="6"/>
  <c r="S120" i="6"/>
  <c r="S121" i="6"/>
  <c r="S122" i="6"/>
  <c r="S123" i="6"/>
  <c r="S124" i="6"/>
  <c r="S125" i="6"/>
  <c r="S126" i="6"/>
  <c r="S127" i="6"/>
  <c r="S128" i="6"/>
  <c r="S129" i="6"/>
  <c r="S130" i="6"/>
  <c r="S131" i="6"/>
  <c r="S132" i="6"/>
  <c r="S133" i="6"/>
  <c r="S134" i="6"/>
  <c r="S135" i="6"/>
  <c r="S136" i="6"/>
  <c r="S137" i="6"/>
  <c r="S138" i="6"/>
  <c r="S139" i="6"/>
  <c r="S140" i="6"/>
  <c r="S141" i="6"/>
  <c r="S142" i="6"/>
  <c r="S143" i="6"/>
  <c r="S144" i="6"/>
  <c r="S145" i="6"/>
  <c r="S146" i="6"/>
  <c r="S147" i="6"/>
  <c r="S148" i="6"/>
  <c r="S149" i="6"/>
  <c r="S150" i="6"/>
  <c r="S151" i="6"/>
  <c r="S152" i="6"/>
  <c r="S153" i="6"/>
  <c r="S154" i="6"/>
  <c r="S155" i="6"/>
  <c r="S156" i="6"/>
  <c r="S157" i="6"/>
  <c r="S158" i="6"/>
  <c r="S159" i="6"/>
  <c r="S160" i="6"/>
  <c r="S161" i="6"/>
  <c r="S162" i="6"/>
  <c r="S163" i="6"/>
  <c r="S164" i="6"/>
  <c r="S165" i="6"/>
  <c r="S166" i="6"/>
  <c r="S167" i="6"/>
  <c r="S168" i="6"/>
  <c r="S169" i="6"/>
  <c r="S170" i="6"/>
  <c r="S171" i="6"/>
  <c r="S172" i="6"/>
  <c r="S173" i="6"/>
  <c r="S174" i="6"/>
  <c r="S175" i="6"/>
  <c r="S176" i="6"/>
  <c r="S177" i="6"/>
  <c r="S178" i="6"/>
  <c r="S179" i="6"/>
  <c r="S180" i="6"/>
  <c r="S181" i="6"/>
  <c r="S182" i="6"/>
  <c r="S183" i="6"/>
  <c r="S184" i="6"/>
  <c r="S185" i="6"/>
  <c r="S186" i="6"/>
  <c r="S187" i="6"/>
  <c r="S188" i="6"/>
  <c r="S189" i="6"/>
  <c r="S190" i="6"/>
  <c r="S191" i="6"/>
  <c r="S192" i="6"/>
  <c r="S193" i="6"/>
  <c r="S194" i="6"/>
  <c r="S195" i="6"/>
  <c r="S196" i="6"/>
  <c r="S197" i="6"/>
  <c r="S198" i="6"/>
  <c r="S199" i="6"/>
  <c r="S200" i="6"/>
  <c r="S201" i="6"/>
  <c r="S202" i="6"/>
  <c r="S203" i="6"/>
  <c r="S204" i="6"/>
  <c r="S205" i="6"/>
  <c r="S206" i="6"/>
  <c r="S207" i="6"/>
  <c r="S208" i="6"/>
  <c r="S209" i="6"/>
  <c r="S210" i="6"/>
  <c r="S211" i="6"/>
  <c r="S212" i="6"/>
  <c r="S213" i="6"/>
  <c r="S214" i="6"/>
  <c r="S215" i="6"/>
  <c r="S216" i="6"/>
  <c r="S217" i="6"/>
  <c r="S218" i="6"/>
  <c r="S219" i="6"/>
  <c r="S220" i="6"/>
  <c r="S221" i="6"/>
  <c r="S222" i="6"/>
  <c r="S223" i="6"/>
  <c r="S224" i="6"/>
  <c r="S225" i="6"/>
  <c r="S226" i="6"/>
  <c r="S227" i="6"/>
  <c r="S228" i="6"/>
  <c r="S229" i="6"/>
  <c r="S230" i="6"/>
  <c r="S231" i="6"/>
  <c r="S232" i="6"/>
  <c r="S233" i="6"/>
  <c r="S234" i="6"/>
  <c r="S235" i="6"/>
  <c r="S236" i="6"/>
  <c r="S237" i="6"/>
  <c r="S238" i="6"/>
  <c r="S239" i="6"/>
  <c r="S240" i="6"/>
  <c r="S241" i="6"/>
  <c r="S242" i="6"/>
  <c r="S243" i="6"/>
  <c r="S244" i="6"/>
  <c r="S245" i="6"/>
  <c r="S246" i="6"/>
  <c r="S247" i="6"/>
  <c r="S248" i="6"/>
  <c r="S249" i="6"/>
  <c r="S250" i="6"/>
  <c r="S251" i="6"/>
  <c r="S252" i="6"/>
  <c r="S253" i="6"/>
  <c r="S254" i="6"/>
  <c r="S255" i="6"/>
  <c r="S256" i="6"/>
  <c r="S257" i="6"/>
  <c r="S258" i="6"/>
  <c r="S259" i="6"/>
  <c r="S260" i="6"/>
  <c r="S261" i="6"/>
  <c r="S262" i="6"/>
  <c r="S263" i="6"/>
  <c r="S264" i="6"/>
  <c r="S265" i="6"/>
  <c r="S266" i="6"/>
  <c r="S267" i="6"/>
  <c r="S268" i="6"/>
  <c r="S269" i="6"/>
  <c r="S270" i="6"/>
  <c r="S271" i="6"/>
  <c r="S272" i="6"/>
  <c r="S273" i="6"/>
  <c r="S274" i="6"/>
  <c r="S275" i="6"/>
  <c r="S276" i="6"/>
  <c r="S277" i="6"/>
  <c r="S278" i="6"/>
  <c r="S279" i="6"/>
  <c r="S280" i="6"/>
  <c r="S281" i="6"/>
  <c r="S282" i="6"/>
  <c r="S283" i="6"/>
  <c r="S284" i="6"/>
  <c r="S285" i="6"/>
  <c r="S286" i="6"/>
  <c r="S287" i="6"/>
  <c r="S288" i="6"/>
  <c r="S289" i="6"/>
  <c r="S290" i="6"/>
  <c r="S291" i="6"/>
  <c r="S292" i="6"/>
  <c r="S293" i="6"/>
  <c r="S294" i="6"/>
  <c r="S295" i="6"/>
  <c r="S296" i="6"/>
  <c r="S297" i="6"/>
  <c r="S298" i="6"/>
  <c r="S299" i="6"/>
  <c r="S300" i="6"/>
  <c r="S301" i="6"/>
  <c r="S302" i="6"/>
  <c r="S303" i="6"/>
  <c r="S304" i="6"/>
  <c r="S305" i="6"/>
  <c r="S306" i="6"/>
  <c r="S307" i="6"/>
  <c r="S308" i="6"/>
  <c r="S309" i="6"/>
  <c r="S310" i="6"/>
  <c r="S311" i="6"/>
  <c r="S312" i="6"/>
  <c r="S313" i="6"/>
  <c r="S314" i="6"/>
  <c r="S315" i="6"/>
  <c r="S316" i="6"/>
  <c r="S317" i="6"/>
  <c r="S318" i="6"/>
  <c r="S319" i="6"/>
  <c r="S320" i="6"/>
  <c r="S321" i="6"/>
  <c r="S322" i="6"/>
  <c r="S323" i="6"/>
  <c r="S324" i="6"/>
  <c r="S325" i="6"/>
  <c r="S326" i="6"/>
  <c r="S327" i="6"/>
  <c r="S328" i="6"/>
  <c r="S329" i="6"/>
  <c r="S330" i="6"/>
  <c r="S331" i="6"/>
  <c r="S332" i="6"/>
  <c r="S333" i="6"/>
  <c r="S334" i="6"/>
  <c r="S335" i="6"/>
  <c r="S336" i="6"/>
  <c r="S337" i="6"/>
  <c r="S338" i="6"/>
  <c r="S339" i="6"/>
  <c r="S340" i="6"/>
  <c r="S341" i="6"/>
  <c r="S342" i="6"/>
  <c r="S343" i="6"/>
  <c r="S344" i="6"/>
  <c r="S345" i="6"/>
  <c r="S346" i="6"/>
  <c r="S347" i="6"/>
  <c r="S348" i="6"/>
  <c r="S349" i="6"/>
  <c r="S350" i="6"/>
  <c r="S351" i="6"/>
  <c r="S352" i="6"/>
  <c r="S353" i="6"/>
  <c r="S354" i="6"/>
  <c r="S355" i="6"/>
  <c r="S356" i="6"/>
  <c r="S357" i="6"/>
  <c r="S358" i="6"/>
  <c r="S359" i="6"/>
  <c r="S360" i="6"/>
  <c r="S361" i="6"/>
  <c r="S362" i="6"/>
  <c r="S363" i="6"/>
  <c r="S364" i="6"/>
  <c r="S365" i="6"/>
  <c r="S366" i="6"/>
  <c r="S367" i="6"/>
  <c r="S368" i="6"/>
  <c r="S369" i="6"/>
  <c r="S370" i="6"/>
  <c r="S371" i="6"/>
  <c r="S372" i="6"/>
  <c r="S373" i="6"/>
  <c r="S374" i="6"/>
  <c r="S375" i="6"/>
  <c r="S376" i="6"/>
  <c r="S377" i="6"/>
  <c r="S378" i="6"/>
  <c r="S379" i="6"/>
  <c r="S380" i="6"/>
  <c r="S381" i="6"/>
  <c r="S382" i="6"/>
  <c r="S383" i="6"/>
  <c r="S384" i="6"/>
  <c r="S385" i="6"/>
  <c r="S386" i="6"/>
  <c r="S387" i="6"/>
  <c r="S388" i="6"/>
  <c r="S389" i="6"/>
  <c r="S390" i="6"/>
  <c r="S391" i="6"/>
  <c r="S392" i="6"/>
  <c r="S393" i="6"/>
  <c r="S394" i="6"/>
  <c r="S395" i="6"/>
  <c r="S396" i="6"/>
  <c r="S397" i="6"/>
  <c r="S398" i="6"/>
  <c r="S399" i="6"/>
  <c r="S400" i="6"/>
  <c r="S401" i="6"/>
  <c r="S402" i="6"/>
  <c r="S403" i="6"/>
  <c r="S404" i="6"/>
  <c r="S405" i="6"/>
  <c r="S406" i="6"/>
  <c r="S407" i="6"/>
  <c r="S408" i="6"/>
  <c r="S409" i="6"/>
  <c r="S410" i="6"/>
  <c r="S411" i="6"/>
  <c r="S412" i="6"/>
  <c r="S413" i="6"/>
  <c r="S414" i="6"/>
  <c r="S415" i="6"/>
  <c r="S416" i="6"/>
  <c r="S417" i="6"/>
  <c r="S418" i="6"/>
  <c r="S419" i="6"/>
  <c r="S420" i="6"/>
  <c r="S421" i="6"/>
  <c r="S422" i="6"/>
  <c r="S423" i="6"/>
  <c r="S424" i="6"/>
  <c r="S425" i="6"/>
  <c r="S426" i="6"/>
  <c r="S427" i="6"/>
  <c r="S428" i="6"/>
  <c r="S429" i="6"/>
  <c r="S430" i="6"/>
  <c r="S431" i="6"/>
  <c r="S432" i="6"/>
  <c r="S433" i="6"/>
  <c r="S434" i="6"/>
  <c r="S435" i="6"/>
  <c r="S436" i="6"/>
  <c r="S437" i="6"/>
  <c r="S438" i="6"/>
  <c r="S439" i="6"/>
  <c r="S440" i="6"/>
  <c r="S441" i="6"/>
  <c r="S442" i="6"/>
  <c r="S443" i="6"/>
  <c r="S444" i="6"/>
  <c r="S445" i="6"/>
  <c r="S446" i="6"/>
  <c r="S447" i="6"/>
  <c r="S448" i="6"/>
  <c r="S449" i="6"/>
  <c r="S450" i="6"/>
  <c r="S451" i="6"/>
  <c r="S452" i="6"/>
  <c r="S453" i="6"/>
  <c r="S454" i="6"/>
  <c r="S455" i="6"/>
  <c r="S456" i="6"/>
  <c r="S457" i="6"/>
  <c r="S458" i="6"/>
  <c r="S459" i="6"/>
  <c r="S460" i="6"/>
  <c r="S461" i="6"/>
  <c r="S462" i="6"/>
  <c r="S463" i="6"/>
  <c r="S464" i="6"/>
  <c r="S465" i="6"/>
  <c r="S466" i="6"/>
  <c r="S467" i="6"/>
  <c r="S468" i="6"/>
  <c r="S469" i="6"/>
  <c r="S470" i="6"/>
  <c r="S471" i="6"/>
  <c r="S472" i="6"/>
  <c r="S473" i="6"/>
  <c r="S474" i="6"/>
  <c r="S475" i="6"/>
  <c r="S476" i="6"/>
  <c r="S477" i="6"/>
  <c r="S478" i="6"/>
  <c r="S479" i="6"/>
  <c r="S480" i="6"/>
  <c r="S481" i="6"/>
  <c r="S482" i="6"/>
  <c r="S483" i="6"/>
  <c r="S484" i="6"/>
  <c r="S485" i="6"/>
  <c r="S486" i="6"/>
  <c r="S487" i="6"/>
  <c r="S488" i="6"/>
  <c r="S489" i="6"/>
  <c r="S490" i="6"/>
  <c r="S491" i="6"/>
  <c r="S492" i="6"/>
  <c r="S493" i="6"/>
  <c r="S494" i="6"/>
  <c r="S495" i="6"/>
  <c r="S496" i="6"/>
  <c r="S497" i="6"/>
  <c r="S498" i="6"/>
  <c r="S499" i="6"/>
  <c r="S500" i="6"/>
  <c r="S501" i="6"/>
  <c r="S502" i="6"/>
  <c r="S503" i="6"/>
  <c r="S504" i="6"/>
  <c r="S505" i="6"/>
  <c r="S506" i="6"/>
  <c r="S507" i="6"/>
  <c r="S508" i="6"/>
  <c r="S509" i="6"/>
  <c r="S510" i="6"/>
  <c r="S511" i="6"/>
  <c r="S512" i="6"/>
  <c r="S513" i="6"/>
  <c r="S514" i="6"/>
  <c r="S515" i="6"/>
  <c r="S516" i="6"/>
  <c r="S517" i="6"/>
  <c r="S518" i="6"/>
  <c r="S519" i="6"/>
  <c r="S520" i="6"/>
  <c r="S521" i="6"/>
  <c r="S522" i="6"/>
  <c r="S523" i="6"/>
  <c r="S524" i="6"/>
  <c r="S525" i="6"/>
  <c r="S526" i="6"/>
  <c r="S527" i="6"/>
  <c r="S528" i="6"/>
  <c r="S529" i="6"/>
  <c r="S530" i="6"/>
  <c r="S531" i="6"/>
  <c r="S532" i="6"/>
  <c r="S533" i="6"/>
  <c r="S534" i="6"/>
  <c r="S535" i="6"/>
  <c r="S536" i="6"/>
  <c r="S537" i="6"/>
  <c r="S538" i="6"/>
  <c r="S539" i="6"/>
  <c r="S540" i="6"/>
  <c r="S541" i="6"/>
  <c r="S542" i="6"/>
  <c r="S543" i="6"/>
  <c r="S544" i="6"/>
  <c r="S545" i="6"/>
  <c r="S546" i="6"/>
  <c r="S547" i="6"/>
  <c r="S548" i="6"/>
  <c r="S549" i="6"/>
  <c r="S550" i="6"/>
  <c r="S551" i="6"/>
  <c r="S552" i="6"/>
  <c r="S553" i="6"/>
  <c r="S554" i="6"/>
  <c r="S555" i="6"/>
  <c r="S556" i="6"/>
  <c r="S557" i="6"/>
  <c r="S558" i="6"/>
  <c r="S559" i="6"/>
  <c r="S560" i="6"/>
  <c r="S561" i="6"/>
  <c r="S562" i="6"/>
  <c r="S563" i="6"/>
  <c r="S564" i="6"/>
  <c r="S565" i="6"/>
  <c r="S566" i="6"/>
  <c r="S567" i="6"/>
  <c r="S568" i="6"/>
  <c r="S569" i="6"/>
  <c r="S570" i="6"/>
  <c r="S571" i="6"/>
  <c r="S572" i="6"/>
  <c r="S573" i="6"/>
  <c r="S574" i="6"/>
  <c r="S575" i="6"/>
  <c r="S576" i="6"/>
  <c r="S577" i="6"/>
  <c r="S578" i="6"/>
  <c r="S579" i="6"/>
  <c r="S580" i="6"/>
  <c r="S581" i="6"/>
  <c r="S582" i="6"/>
  <c r="S583" i="6"/>
  <c r="S584" i="6"/>
  <c r="S585" i="6"/>
  <c r="S586" i="6"/>
  <c r="S587" i="6"/>
  <c r="S588" i="6"/>
  <c r="S589" i="6"/>
  <c r="S590" i="6"/>
  <c r="S591" i="6"/>
  <c r="S592" i="6"/>
  <c r="S593" i="6"/>
  <c r="S594" i="6"/>
  <c r="S595" i="6"/>
  <c r="S596" i="6"/>
  <c r="S597" i="6"/>
  <c r="S598" i="6"/>
  <c r="S599" i="6"/>
  <c r="S600" i="6"/>
  <c r="S601" i="6"/>
  <c r="S602" i="6"/>
  <c r="S603" i="6"/>
  <c r="S604" i="6"/>
  <c r="S605" i="6"/>
  <c r="S606" i="6"/>
  <c r="S607" i="6"/>
  <c r="S608" i="6"/>
  <c r="S609" i="6"/>
  <c r="S610" i="6"/>
  <c r="S611" i="6"/>
  <c r="S612" i="6"/>
  <c r="S613" i="6"/>
  <c r="S614" i="6"/>
  <c r="S615" i="6"/>
  <c r="S616" i="6"/>
  <c r="S617" i="6"/>
  <c r="S618" i="6"/>
  <c r="S619" i="6"/>
  <c r="S620" i="6"/>
  <c r="S621" i="6"/>
  <c r="S622" i="6"/>
  <c r="S623" i="6"/>
  <c r="S624" i="6"/>
  <c r="S625" i="6"/>
  <c r="S626" i="6"/>
  <c r="S627" i="6"/>
  <c r="S628" i="6"/>
  <c r="S629" i="6"/>
  <c r="S630" i="6"/>
  <c r="S631" i="6"/>
  <c r="S632" i="6"/>
  <c r="S633" i="6"/>
  <c r="S634" i="6"/>
  <c r="S635" i="6"/>
  <c r="S636" i="6"/>
  <c r="S637" i="6"/>
  <c r="S638" i="6"/>
  <c r="S639" i="6"/>
  <c r="S640" i="6"/>
  <c r="S641" i="6"/>
  <c r="S642" i="6"/>
  <c r="S643" i="6"/>
  <c r="S644" i="6"/>
  <c r="S645" i="6"/>
  <c r="S646" i="6"/>
  <c r="S647" i="6"/>
  <c r="S648" i="6"/>
  <c r="S649" i="6"/>
  <c r="S650" i="6"/>
  <c r="S651" i="6"/>
  <c r="S652" i="6"/>
  <c r="S653" i="6"/>
  <c r="S654" i="6"/>
  <c r="S655" i="6"/>
  <c r="S656" i="6"/>
  <c r="S657" i="6"/>
  <c r="S658" i="6"/>
  <c r="S659" i="6"/>
  <c r="S660" i="6"/>
  <c r="S661" i="6"/>
  <c r="S662" i="6"/>
  <c r="S663" i="6"/>
  <c r="S664" i="6"/>
  <c r="S665" i="6"/>
  <c r="S666" i="6"/>
  <c r="S667" i="6"/>
  <c r="S668" i="6"/>
  <c r="S669" i="6"/>
  <c r="S670" i="6"/>
  <c r="S671" i="6"/>
  <c r="S672" i="6"/>
  <c r="S673" i="6"/>
  <c r="S674" i="6"/>
  <c r="S675" i="6"/>
  <c r="S676" i="6"/>
  <c r="S677" i="6"/>
  <c r="S678" i="6"/>
  <c r="S679" i="6"/>
  <c r="S680" i="6"/>
  <c r="S681" i="6"/>
  <c r="S682" i="6"/>
  <c r="S683" i="6"/>
  <c r="S684" i="6"/>
  <c r="S685" i="6"/>
  <c r="S686" i="6"/>
  <c r="S687" i="6"/>
  <c r="S688" i="6"/>
  <c r="S689" i="6"/>
  <c r="S690" i="6"/>
  <c r="S691" i="6"/>
  <c r="S692" i="6"/>
  <c r="S693" i="6"/>
  <c r="S694" i="6"/>
  <c r="S695" i="6"/>
  <c r="S696" i="6"/>
  <c r="S697" i="6"/>
  <c r="S698" i="6"/>
  <c r="S699" i="6"/>
  <c r="S700" i="6"/>
  <c r="S701" i="6"/>
  <c r="S702" i="6"/>
  <c r="S703" i="6"/>
  <c r="S704" i="6"/>
  <c r="S705" i="6"/>
  <c r="S706" i="6"/>
  <c r="S707" i="6"/>
  <c r="S708" i="6"/>
  <c r="S709" i="6"/>
  <c r="S710" i="6"/>
  <c r="S711" i="6"/>
  <c r="S712" i="6"/>
  <c r="S713" i="6"/>
  <c r="S714" i="6"/>
  <c r="S715" i="6"/>
  <c r="S716" i="6"/>
  <c r="S717" i="6"/>
  <c r="S718" i="6"/>
  <c r="S719" i="6"/>
  <c r="S720" i="6"/>
  <c r="S721" i="6"/>
  <c r="S722" i="6"/>
  <c r="S723" i="6"/>
  <c r="S724" i="6"/>
  <c r="S725" i="6"/>
  <c r="S726" i="6"/>
  <c r="S727" i="6"/>
  <c r="S728" i="6"/>
  <c r="S729" i="6"/>
  <c r="S730" i="6"/>
  <c r="S731" i="6"/>
  <c r="S732" i="6"/>
  <c r="S733" i="6"/>
  <c r="S734" i="6"/>
  <c r="S735" i="6"/>
  <c r="S736" i="6"/>
  <c r="S737" i="6"/>
  <c r="S738" i="6"/>
  <c r="S739" i="6"/>
  <c r="S740" i="6"/>
  <c r="S741" i="6"/>
  <c r="S742" i="6"/>
  <c r="S743" i="6"/>
  <c r="S744" i="6"/>
  <c r="S745" i="6"/>
  <c r="S746" i="6"/>
  <c r="S747" i="6"/>
  <c r="S748" i="6"/>
  <c r="S749" i="6"/>
  <c r="S750" i="6"/>
  <c r="S751" i="6"/>
  <c r="S752" i="6"/>
  <c r="S753" i="6"/>
  <c r="S754" i="6"/>
  <c r="S755" i="6"/>
  <c r="S756" i="6"/>
  <c r="S757" i="6"/>
  <c r="S758" i="6"/>
  <c r="S759" i="6"/>
  <c r="S760" i="6"/>
  <c r="S761" i="6"/>
  <c r="S762" i="6"/>
  <c r="S763" i="6"/>
  <c r="S764" i="6"/>
  <c r="S765" i="6"/>
  <c r="S766" i="6"/>
  <c r="S767" i="6"/>
  <c r="S768" i="6"/>
  <c r="S769" i="6"/>
  <c r="S770" i="6"/>
  <c r="S771" i="6"/>
  <c r="S772" i="6"/>
  <c r="S773" i="6"/>
  <c r="S774" i="6"/>
  <c r="S775" i="6"/>
  <c r="S776" i="6"/>
  <c r="S777" i="6"/>
  <c r="S778" i="6"/>
  <c r="S779" i="6"/>
  <c r="S780" i="6"/>
  <c r="S781" i="6"/>
  <c r="S782" i="6"/>
  <c r="S783" i="6"/>
  <c r="S784" i="6"/>
  <c r="S785" i="6"/>
  <c r="S786" i="6"/>
  <c r="S787" i="6"/>
  <c r="S788" i="6"/>
  <c r="S789" i="6"/>
  <c r="S790" i="6"/>
  <c r="S791" i="6"/>
  <c r="S792" i="6"/>
  <c r="S793" i="6"/>
  <c r="S794" i="6"/>
  <c r="S795" i="6"/>
  <c r="S796" i="6"/>
  <c r="S797" i="6"/>
  <c r="S798" i="6"/>
  <c r="S799" i="6"/>
  <c r="S800" i="6"/>
  <c r="S801" i="6"/>
  <c r="S802" i="6"/>
  <c r="S803" i="6"/>
  <c r="S804" i="6"/>
  <c r="S805" i="6"/>
  <c r="S806" i="6"/>
  <c r="S807" i="6"/>
  <c r="S808" i="6"/>
  <c r="S809" i="6"/>
  <c r="S810" i="6"/>
  <c r="S811" i="6"/>
  <c r="S812" i="6"/>
  <c r="S813" i="6"/>
  <c r="S814" i="6"/>
  <c r="S815" i="6"/>
  <c r="S816" i="6"/>
  <c r="S817" i="6"/>
  <c r="S818" i="6"/>
  <c r="S819" i="6"/>
  <c r="S820" i="6"/>
  <c r="S821" i="6"/>
  <c r="S822" i="6"/>
  <c r="S823" i="6"/>
  <c r="S824" i="6"/>
  <c r="S825" i="6"/>
  <c r="S826" i="6"/>
  <c r="S827" i="6"/>
  <c r="S828" i="6"/>
  <c r="S829" i="6"/>
  <c r="S830" i="6"/>
  <c r="S831" i="6"/>
  <c r="S832" i="6"/>
  <c r="S833" i="6"/>
  <c r="S834" i="6"/>
  <c r="S835" i="6"/>
  <c r="S836" i="6"/>
  <c r="S837" i="6"/>
  <c r="S838" i="6"/>
  <c r="S839" i="6"/>
  <c r="S840" i="6"/>
  <c r="S841" i="6"/>
  <c r="S842" i="6"/>
  <c r="S843" i="6"/>
  <c r="S844" i="6"/>
  <c r="S845" i="6"/>
  <c r="S846" i="6"/>
  <c r="S847" i="6"/>
  <c r="S848" i="6"/>
  <c r="S849" i="6"/>
  <c r="S850" i="6"/>
  <c r="S851" i="6"/>
  <c r="S852" i="6"/>
  <c r="S853" i="6"/>
  <c r="S854" i="6"/>
  <c r="S855" i="6"/>
  <c r="S856" i="6"/>
  <c r="S857" i="6"/>
  <c r="S858" i="6"/>
  <c r="S859" i="6"/>
  <c r="S860" i="6"/>
  <c r="S861" i="6"/>
  <c r="S862" i="6"/>
  <c r="S863" i="6"/>
  <c r="S864" i="6"/>
  <c r="S865" i="6"/>
  <c r="S866" i="6"/>
  <c r="S867" i="6"/>
  <c r="S868" i="6"/>
  <c r="S869" i="6"/>
  <c r="S870" i="6"/>
  <c r="S871" i="6"/>
  <c r="S872" i="6"/>
  <c r="S873" i="6"/>
  <c r="S874" i="6"/>
  <c r="S875" i="6"/>
  <c r="S876" i="6"/>
  <c r="S877" i="6"/>
  <c r="S878" i="6"/>
  <c r="S879" i="6"/>
  <c r="S880" i="6"/>
  <c r="S881" i="6"/>
  <c r="S882" i="6"/>
  <c r="S883" i="6"/>
  <c r="S884" i="6"/>
  <c r="S885" i="6"/>
  <c r="S886" i="6"/>
  <c r="S887" i="6"/>
  <c r="S888" i="6"/>
  <c r="S889" i="6"/>
  <c r="S890" i="6"/>
  <c r="S891" i="6"/>
  <c r="S892" i="6"/>
  <c r="S893" i="6"/>
  <c r="S894" i="6"/>
  <c r="S895" i="6"/>
  <c r="S896" i="6"/>
  <c r="S897" i="6"/>
  <c r="S898" i="6"/>
  <c r="S899" i="6"/>
  <c r="S900" i="6"/>
  <c r="S901" i="6"/>
  <c r="S902" i="6"/>
  <c r="S903" i="6"/>
  <c r="S904" i="6"/>
  <c r="S905" i="6"/>
  <c r="S906" i="6"/>
  <c r="S907" i="6"/>
  <c r="S908" i="6"/>
  <c r="S909" i="6"/>
  <c r="S910" i="6"/>
  <c r="S911" i="6"/>
  <c r="S912" i="6"/>
  <c r="S913" i="6"/>
  <c r="S914" i="6"/>
  <c r="S915" i="6"/>
  <c r="S916" i="6"/>
  <c r="S917" i="6"/>
  <c r="S918" i="6"/>
  <c r="S919" i="6"/>
  <c r="S920" i="6"/>
  <c r="S921" i="6"/>
  <c r="S922" i="6"/>
  <c r="S923" i="6"/>
  <c r="S924" i="6"/>
  <c r="S925" i="6"/>
  <c r="S926" i="6"/>
  <c r="S927" i="6"/>
  <c r="S928" i="6"/>
  <c r="S929" i="6"/>
  <c r="S930" i="6"/>
  <c r="S931" i="6"/>
  <c r="S932" i="6"/>
  <c r="S933" i="6"/>
  <c r="S934" i="6"/>
  <c r="S935" i="6"/>
  <c r="S936" i="6"/>
  <c r="S937" i="6"/>
  <c r="S938" i="6"/>
  <c r="S939" i="6"/>
  <c r="S940" i="6"/>
  <c r="S941" i="6"/>
  <c r="S942" i="6"/>
  <c r="S943" i="6"/>
  <c r="S944" i="6"/>
  <c r="S945" i="6"/>
  <c r="S946" i="6"/>
  <c r="S947" i="6"/>
  <c r="S948" i="6"/>
  <c r="S949" i="6"/>
  <c r="S950" i="6"/>
  <c r="S951" i="6"/>
  <c r="S952" i="6"/>
  <c r="S953" i="6"/>
  <c r="S954" i="6"/>
  <c r="S955" i="6"/>
  <c r="S956" i="6"/>
  <c r="S957" i="6"/>
  <c r="S958" i="6"/>
  <c r="S959" i="6"/>
  <c r="S960" i="6"/>
  <c r="S961" i="6"/>
  <c r="S962" i="6"/>
  <c r="S963" i="6"/>
  <c r="S964" i="6"/>
  <c r="S965" i="6"/>
  <c r="S966" i="6"/>
  <c r="S967" i="6"/>
  <c r="S968" i="6"/>
  <c r="S969" i="6"/>
  <c r="S970" i="6"/>
  <c r="S971" i="6"/>
  <c r="S972" i="6"/>
  <c r="S973" i="6"/>
  <c r="S974" i="6"/>
  <c r="S975" i="6"/>
  <c r="S976" i="6"/>
  <c r="S977" i="6"/>
  <c r="S978" i="6"/>
  <c r="S979" i="6"/>
  <c r="S980" i="6"/>
  <c r="S981" i="6"/>
  <c r="S982" i="6"/>
  <c r="S983" i="6"/>
  <c r="S984" i="6"/>
  <c r="S985" i="6"/>
  <c r="S986" i="6"/>
  <c r="S987" i="6"/>
  <c r="S988" i="6"/>
  <c r="S989" i="6"/>
  <c r="S990" i="6"/>
  <c r="S991" i="6"/>
  <c r="S992" i="6"/>
  <c r="S993" i="6"/>
  <c r="S994" i="6"/>
  <c r="S995" i="6"/>
  <c r="S996" i="6"/>
  <c r="S997" i="6"/>
  <c r="S998" i="6"/>
  <c r="S999" i="6"/>
  <c r="S1000" i="6"/>
  <c r="S1001" i="6"/>
  <c r="O2" i="6"/>
  <c r="O3" i="6"/>
  <c r="O4" i="6"/>
  <c r="O5" i="6"/>
  <c r="O6" i="6"/>
  <c r="O7" i="6"/>
  <c r="O8" i="6"/>
  <c r="O9" i="6"/>
  <c r="O10" i="6"/>
  <c r="O11" i="6"/>
  <c r="O12" i="6"/>
  <c r="O13" i="6"/>
  <c r="O14" i="6"/>
  <c r="O15" i="6"/>
  <c r="O16" i="6"/>
  <c r="O17" i="6"/>
  <c r="O18" i="6"/>
  <c r="O19" i="6"/>
  <c r="O20" i="6"/>
  <c r="O21" i="6"/>
  <c r="O22" i="6"/>
  <c r="O23" i="6"/>
  <c r="O24" i="6"/>
  <c r="O25" i="6"/>
  <c r="O26" i="6"/>
  <c r="O27" i="6"/>
  <c r="O28" i="6"/>
  <c r="O29" i="6"/>
  <c r="O30" i="6"/>
  <c r="O31" i="6"/>
  <c r="O32" i="6"/>
  <c r="O33" i="6"/>
  <c r="O34" i="6"/>
  <c r="O35" i="6"/>
  <c r="O36" i="6"/>
  <c r="O37" i="6"/>
  <c r="O38" i="6"/>
  <c r="O39" i="6"/>
  <c r="O40" i="6"/>
  <c r="O41" i="6"/>
  <c r="O42" i="6"/>
  <c r="O43" i="6"/>
  <c r="O44" i="6"/>
  <c r="O45" i="6"/>
  <c r="O46" i="6"/>
  <c r="O47" i="6"/>
  <c r="O48" i="6"/>
  <c r="O49" i="6"/>
  <c r="O50" i="6"/>
  <c r="O51" i="6"/>
  <c r="O52" i="6"/>
  <c r="O53" i="6"/>
  <c r="O54" i="6"/>
  <c r="O55" i="6"/>
  <c r="O56" i="6"/>
  <c r="O57" i="6"/>
  <c r="O58" i="6"/>
  <c r="O59" i="6"/>
  <c r="O60" i="6"/>
  <c r="O61" i="6"/>
  <c r="O62" i="6"/>
  <c r="O63" i="6"/>
  <c r="O64" i="6"/>
  <c r="O65" i="6"/>
  <c r="O66" i="6"/>
  <c r="O67" i="6"/>
  <c r="O68" i="6"/>
  <c r="O69" i="6"/>
  <c r="O70" i="6"/>
  <c r="O71" i="6"/>
  <c r="O72" i="6"/>
  <c r="O73" i="6"/>
  <c r="O74" i="6"/>
  <c r="O75" i="6"/>
  <c r="O76" i="6"/>
  <c r="O77" i="6"/>
  <c r="O78" i="6"/>
  <c r="O79" i="6"/>
  <c r="O80" i="6"/>
  <c r="O81" i="6"/>
  <c r="O82" i="6"/>
  <c r="O83" i="6"/>
  <c r="O84" i="6"/>
  <c r="O85" i="6"/>
  <c r="O86" i="6"/>
  <c r="O87" i="6"/>
  <c r="O88" i="6"/>
  <c r="O89" i="6"/>
  <c r="O90" i="6"/>
  <c r="O91" i="6"/>
  <c r="O92" i="6"/>
  <c r="O93" i="6"/>
  <c r="O94" i="6"/>
  <c r="O95" i="6"/>
  <c r="O96" i="6"/>
  <c r="O97" i="6"/>
  <c r="O98" i="6"/>
  <c r="O99" i="6"/>
  <c r="O100" i="6"/>
  <c r="O101" i="6"/>
  <c r="O102" i="6"/>
  <c r="O103" i="6"/>
  <c r="O104" i="6"/>
  <c r="O105" i="6"/>
  <c r="O106" i="6"/>
  <c r="O107" i="6"/>
  <c r="O108" i="6"/>
  <c r="O109" i="6"/>
  <c r="O110" i="6"/>
  <c r="O111" i="6"/>
  <c r="O112" i="6"/>
  <c r="O113" i="6"/>
  <c r="O114" i="6"/>
  <c r="O115" i="6"/>
  <c r="O116" i="6"/>
  <c r="O117" i="6"/>
  <c r="O118" i="6"/>
  <c r="O119" i="6"/>
  <c r="O120" i="6"/>
  <c r="O121" i="6"/>
  <c r="O122" i="6"/>
  <c r="O123" i="6"/>
  <c r="O124" i="6"/>
  <c r="O125" i="6"/>
  <c r="O126" i="6"/>
  <c r="O127" i="6"/>
  <c r="O128" i="6"/>
  <c r="O129" i="6"/>
  <c r="O130" i="6"/>
  <c r="O131" i="6"/>
  <c r="O132" i="6"/>
  <c r="O133" i="6"/>
  <c r="O134" i="6"/>
  <c r="O135" i="6"/>
  <c r="O136" i="6"/>
  <c r="O137" i="6"/>
  <c r="O138" i="6"/>
  <c r="O139" i="6"/>
  <c r="O140" i="6"/>
  <c r="O141" i="6"/>
  <c r="O142" i="6"/>
  <c r="O143" i="6"/>
  <c r="O144" i="6"/>
  <c r="O145" i="6"/>
  <c r="O146" i="6"/>
  <c r="O147" i="6"/>
  <c r="O148" i="6"/>
  <c r="O149" i="6"/>
  <c r="O150" i="6"/>
  <c r="O151" i="6"/>
  <c r="O152" i="6"/>
  <c r="O153" i="6"/>
  <c r="O154" i="6"/>
  <c r="O155" i="6"/>
  <c r="O156" i="6"/>
  <c r="O157" i="6"/>
  <c r="O158" i="6"/>
  <c r="O159" i="6"/>
  <c r="O160" i="6"/>
  <c r="O161" i="6"/>
  <c r="O162" i="6"/>
  <c r="O163" i="6"/>
  <c r="O164" i="6"/>
  <c r="O165" i="6"/>
  <c r="O166" i="6"/>
  <c r="O167" i="6"/>
  <c r="O168" i="6"/>
  <c r="O169" i="6"/>
  <c r="O170" i="6"/>
  <c r="O171" i="6"/>
  <c r="O172" i="6"/>
  <c r="O173" i="6"/>
  <c r="O174" i="6"/>
  <c r="O175" i="6"/>
  <c r="O176" i="6"/>
  <c r="O177" i="6"/>
  <c r="O178" i="6"/>
  <c r="O179" i="6"/>
  <c r="O180" i="6"/>
  <c r="O181" i="6"/>
  <c r="O182" i="6"/>
  <c r="O183" i="6"/>
  <c r="O184" i="6"/>
  <c r="O185" i="6"/>
  <c r="O186" i="6"/>
  <c r="O187" i="6"/>
  <c r="O188" i="6"/>
  <c r="O189" i="6"/>
  <c r="O190" i="6"/>
  <c r="O191" i="6"/>
  <c r="O192" i="6"/>
  <c r="O193" i="6"/>
  <c r="O194" i="6"/>
  <c r="O195" i="6"/>
  <c r="O196" i="6"/>
  <c r="O197" i="6"/>
  <c r="O198" i="6"/>
  <c r="O199" i="6"/>
  <c r="O200" i="6"/>
  <c r="O201" i="6"/>
  <c r="O202" i="6"/>
  <c r="O203" i="6"/>
  <c r="O204" i="6"/>
  <c r="O205" i="6"/>
  <c r="O206" i="6"/>
  <c r="O207" i="6"/>
  <c r="O208" i="6"/>
  <c r="O209" i="6"/>
  <c r="O210" i="6"/>
  <c r="O211" i="6"/>
  <c r="O212" i="6"/>
  <c r="O213" i="6"/>
  <c r="O214" i="6"/>
  <c r="O215" i="6"/>
  <c r="O216" i="6"/>
  <c r="O217" i="6"/>
  <c r="O218" i="6"/>
  <c r="O219" i="6"/>
  <c r="O220" i="6"/>
  <c r="O221" i="6"/>
  <c r="O222" i="6"/>
  <c r="O223" i="6"/>
  <c r="O224" i="6"/>
  <c r="O225" i="6"/>
  <c r="O226" i="6"/>
  <c r="O227" i="6"/>
  <c r="O228" i="6"/>
  <c r="O229" i="6"/>
  <c r="O230" i="6"/>
  <c r="O231" i="6"/>
  <c r="O232" i="6"/>
  <c r="O233" i="6"/>
  <c r="O234" i="6"/>
  <c r="O235" i="6"/>
  <c r="O236" i="6"/>
  <c r="O237" i="6"/>
  <c r="O238" i="6"/>
  <c r="O239" i="6"/>
  <c r="O240" i="6"/>
  <c r="O241" i="6"/>
  <c r="O242" i="6"/>
  <c r="O243" i="6"/>
  <c r="O244" i="6"/>
  <c r="O245" i="6"/>
  <c r="O246" i="6"/>
  <c r="O247" i="6"/>
  <c r="O248" i="6"/>
  <c r="O249" i="6"/>
  <c r="O250" i="6"/>
  <c r="O251" i="6"/>
  <c r="O252" i="6"/>
  <c r="O253" i="6"/>
  <c r="O254" i="6"/>
  <c r="O255" i="6"/>
  <c r="O256" i="6"/>
  <c r="O257" i="6"/>
  <c r="O258" i="6"/>
  <c r="O259" i="6"/>
  <c r="O260" i="6"/>
  <c r="O261" i="6"/>
  <c r="O262" i="6"/>
  <c r="O263" i="6"/>
  <c r="O264" i="6"/>
  <c r="O265" i="6"/>
  <c r="O266" i="6"/>
  <c r="O267" i="6"/>
  <c r="O268" i="6"/>
  <c r="O269" i="6"/>
  <c r="O270" i="6"/>
  <c r="O271" i="6"/>
  <c r="O272" i="6"/>
  <c r="O273" i="6"/>
  <c r="O274" i="6"/>
  <c r="O275" i="6"/>
  <c r="O276" i="6"/>
  <c r="O277" i="6"/>
  <c r="O278" i="6"/>
  <c r="O279" i="6"/>
  <c r="O280" i="6"/>
  <c r="O281" i="6"/>
  <c r="O282" i="6"/>
  <c r="O283" i="6"/>
  <c r="O284" i="6"/>
  <c r="O285" i="6"/>
  <c r="O286" i="6"/>
  <c r="O287" i="6"/>
  <c r="O288" i="6"/>
  <c r="O289" i="6"/>
  <c r="O290" i="6"/>
  <c r="O291" i="6"/>
  <c r="O292" i="6"/>
  <c r="O293" i="6"/>
  <c r="O294" i="6"/>
  <c r="O295" i="6"/>
  <c r="O296" i="6"/>
  <c r="O297" i="6"/>
  <c r="O298" i="6"/>
  <c r="O299" i="6"/>
  <c r="O300" i="6"/>
  <c r="O301" i="6"/>
  <c r="O302" i="6"/>
  <c r="O303" i="6"/>
  <c r="O304" i="6"/>
  <c r="O305" i="6"/>
  <c r="O306" i="6"/>
  <c r="O307" i="6"/>
  <c r="O308" i="6"/>
  <c r="O309" i="6"/>
  <c r="O310" i="6"/>
  <c r="O311" i="6"/>
  <c r="O312" i="6"/>
  <c r="O313" i="6"/>
  <c r="O314" i="6"/>
  <c r="O315" i="6"/>
  <c r="O316" i="6"/>
  <c r="O317" i="6"/>
  <c r="O318" i="6"/>
  <c r="O319" i="6"/>
  <c r="O320" i="6"/>
  <c r="O321" i="6"/>
  <c r="O322" i="6"/>
  <c r="O323" i="6"/>
  <c r="O324" i="6"/>
  <c r="O325" i="6"/>
  <c r="O326" i="6"/>
  <c r="O327" i="6"/>
  <c r="O328" i="6"/>
  <c r="O329" i="6"/>
  <c r="O330" i="6"/>
  <c r="O331" i="6"/>
  <c r="O332" i="6"/>
  <c r="O333" i="6"/>
  <c r="O334" i="6"/>
  <c r="O335" i="6"/>
  <c r="O336" i="6"/>
  <c r="O337" i="6"/>
  <c r="O338" i="6"/>
  <c r="O339" i="6"/>
  <c r="O340" i="6"/>
  <c r="O341" i="6"/>
  <c r="O342" i="6"/>
  <c r="O343" i="6"/>
  <c r="O344" i="6"/>
  <c r="O345" i="6"/>
  <c r="O346" i="6"/>
  <c r="O347" i="6"/>
  <c r="O348" i="6"/>
  <c r="O349" i="6"/>
  <c r="O350" i="6"/>
  <c r="O351" i="6"/>
  <c r="O352" i="6"/>
  <c r="O353" i="6"/>
  <c r="O354" i="6"/>
  <c r="O355" i="6"/>
  <c r="O356" i="6"/>
  <c r="O357" i="6"/>
  <c r="O358" i="6"/>
  <c r="O359" i="6"/>
  <c r="O360" i="6"/>
  <c r="O361" i="6"/>
  <c r="O362" i="6"/>
  <c r="O363" i="6"/>
  <c r="O364" i="6"/>
  <c r="O365" i="6"/>
  <c r="O366" i="6"/>
  <c r="O367" i="6"/>
  <c r="O368" i="6"/>
  <c r="O369" i="6"/>
  <c r="O370" i="6"/>
  <c r="O371" i="6"/>
  <c r="O372" i="6"/>
  <c r="O373" i="6"/>
  <c r="O374" i="6"/>
  <c r="O375" i="6"/>
  <c r="O376" i="6"/>
  <c r="O377" i="6"/>
  <c r="O378" i="6"/>
  <c r="O379" i="6"/>
  <c r="O380" i="6"/>
  <c r="O381" i="6"/>
  <c r="O382" i="6"/>
  <c r="O383" i="6"/>
  <c r="O384" i="6"/>
  <c r="O385" i="6"/>
  <c r="O386" i="6"/>
  <c r="O387" i="6"/>
  <c r="O388" i="6"/>
  <c r="O389" i="6"/>
  <c r="O390" i="6"/>
  <c r="O391" i="6"/>
  <c r="O392" i="6"/>
  <c r="O393" i="6"/>
  <c r="O394" i="6"/>
  <c r="O395" i="6"/>
  <c r="O396" i="6"/>
  <c r="O397" i="6"/>
  <c r="O398" i="6"/>
  <c r="O399" i="6"/>
  <c r="O400" i="6"/>
  <c r="O401" i="6"/>
  <c r="O402" i="6"/>
  <c r="O403" i="6"/>
  <c r="O404" i="6"/>
  <c r="O405" i="6"/>
  <c r="O406" i="6"/>
  <c r="O407" i="6"/>
  <c r="O408" i="6"/>
  <c r="O409" i="6"/>
  <c r="O410" i="6"/>
  <c r="O411" i="6"/>
  <c r="O412" i="6"/>
  <c r="O413" i="6"/>
  <c r="O414" i="6"/>
  <c r="O415" i="6"/>
  <c r="O416" i="6"/>
  <c r="O417" i="6"/>
  <c r="O418" i="6"/>
  <c r="O419" i="6"/>
  <c r="O420" i="6"/>
  <c r="O421" i="6"/>
  <c r="O422" i="6"/>
  <c r="O423" i="6"/>
  <c r="O424" i="6"/>
  <c r="O425" i="6"/>
  <c r="O426" i="6"/>
  <c r="O427" i="6"/>
  <c r="O428" i="6"/>
  <c r="O429" i="6"/>
  <c r="O430" i="6"/>
  <c r="O431" i="6"/>
  <c r="O432" i="6"/>
  <c r="O433" i="6"/>
  <c r="O434" i="6"/>
  <c r="O435" i="6"/>
  <c r="O436" i="6"/>
  <c r="O437" i="6"/>
  <c r="O438" i="6"/>
  <c r="O439" i="6"/>
  <c r="O440" i="6"/>
  <c r="O441" i="6"/>
  <c r="O442" i="6"/>
  <c r="O443" i="6"/>
  <c r="O444" i="6"/>
  <c r="O445" i="6"/>
  <c r="O446" i="6"/>
  <c r="O447" i="6"/>
  <c r="O448" i="6"/>
  <c r="O449" i="6"/>
  <c r="O450" i="6"/>
  <c r="O451" i="6"/>
  <c r="O452" i="6"/>
  <c r="O453" i="6"/>
  <c r="O454" i="6"/>
  <c r="O455" i="6"/>
  <c r="O456" i="6"/>
  <c r="O457" i="6"/>
  <c r="O458" i="6"/>
  <c r="O459" i="6"/>
  <c r="O460" i="6"/>
  <c r="O461" i="6"/>
  <c r="O462" i="6"/>
  <c r="O463" i="6"/>
  <c r="O464" i="6"/>
  <c r="O465" i="6"/>
  <c r="O466" i="6"/>
  <c r="O467" i="6"/>
  <c r="O468" i="6"/>
  <c r="O469" i="6"/>
  <c r="O470" i="6"/>
  <c r="O471" i="6"/>
  <c r="O472" i="6"/>
  <c r="O473" i="6"/>
  <c r="O474" i="6"/>
  <c r="O475" i="6"/>
  <c r="O476" i="6"/>
  <c r="O477" i="6"/>
  <c r="O478" i="6"/>
  <c r="O479" i="6"/>
  <c r="O480" i="6"/>
  <c r="O481" i="6"/>
  <c r="O482" i="6"/>
  <c r="O483" i="6"/>
  <c r="O484" i="6"/>
  <c r="O485" i="6"/>
  <c r="O486" i="6"/>
  <c r="O487" i="6"/>
  <c r="O488" i="6"/>
  <c r="O489" i="6"/>
  <c r="O490" i="6"/>
  <c r="O491" i="6"/>
  <c r="O492" i="6"/>
  <c r="O493" i="6"/>
  <c r="O494" i="6"/>
  <c r="O495" i="6"/>
  <c r="O496" i="6"/>
  <c r="O497" i="6"/>
  <c r="O498" i="6"/>
  <c r="O499" i="6"/>
  <c r="O500" i="6"/>
  <c r="O501" i="6"/>
  <c r="O502" i="6"/>
  <c r="O503" i="6"/>
  <c r="O504" i="6"/>
  <c r="O505" i="6"/>
  <c r="O506" i="6"/>
  <c r="O507" i="6"/>
  <c r="O508" i="6"/>
  <c r="O509" i="6"/>
  <c r="O510" i="6"/>
  <c r="O511" i="6"/>
  <c r="O512" i="6"/>
  <c r="O513" i="6"/>
  <c r="O514" i="6"/>
  <c r="O515" i="6"/>
  <c r="O516" i="6"/>
  <c r="O517" i="6"/>
  <c r="O518" i="6"/>
  <c r="O519" i="6"/>
  <c r="O520" i="6"/>
  <c r="O521" i="6"/>
  <c r="O522" i="6"/>
  <c r="O523" i="6"/>
  <c r="O524" i="6"/>
  <c r="O525" i="6"/>
  <c r="O526" i="6"/>
  <c r="O527" i="6"/>
  <c r="O528" i="6"/>
  <c r="O529" i="6"/>
  <c r="O530" i="6"/>
  <c r="O531" i="6"/>
  <c r="O532" i="6"/>
  <c r="O533" i="6"/>
  <c r="O534" i="6"/>
  <c r="O535" i="6"/>
  <c r="O536" i="6"/>
  <c r="O537" i="6"/>
  <c r="O538" i="6"/>
  <c r="O539" i="6"/>
  <c r="O540" i="6"/>
  <c r="O541" i="6"/>
  <c r="O542" i="6"/>
  <c r="O543" i="6"/>
  <c r="O544" i="6"/>
  <c r="O545" i="6"/>
  <c r="O546" i="6"/>
  <c r="O547" i="6"/>
  <c r="O548" i="6"/>
  <c r="O549" i="6"/>
  <c r="O550" i="6"/>
  <c r="O551" i="6"/>
  <c r="O552" i="6"/>
  <c r="O553" i="6"/>
  <c r="O554" i="6"/>
  <c r="O555" i="6"/>
  <c r="O556" i="6"/>
  <c r="O557" i="6"/>
  <c r="O558" i="6"/>
  <c r="O559" i="6"/>
  <c r="O560" i="6"/>
  <c r="O561" i="6"/>
  <c r="O562" i="6"/>
  <c r="O563" i="6"/>
  <c r="O564" i="6"/>
  <c r="O565" i="6"/>
  <c r="O566" i="6"/>
  <c r="O567" i="6"/>
  <c r="O568" i="6"/>
  <c r="O569" i="6"/>
  <c r="O570" i="6"/>
  <c r="O571" i="6"/>
  <c r="O572" i="6"/>
  <c r="O573" i="6"/>
  <c r="O574" i="6"/>
  <c r="O575" i="6"/>
  <c r="O576" i="6"/>
  <c r="O577" i="6"/>
  <c r="O578" i="6"/>
  <c r="O579" i="6"/>
  <c r="O580" i="6"/>
  <c r="O581" i="6"/>
  <c r="O582" i="6"/>
  <c r="O583" i="6"/>
  <c r="O584" i="6"/>
  <c r="O585" i="6"/>
  <c r="O586" i="6"/>
  <c r="O587" i="6"/>
  <c r="O588" i="6"/>
  <c r="O589" i="6"/>
  <c r="O590" i="6"/>
  <c r="O591" i="6"/>
  <c r="O592" i="6"/>
  <c r="O593" i="6"/>
  <c r="O594" i="6"/>
  <c r="O595" i="6"/>
  <c r="O596" i="6"/>
  <c r="O597" i="6"/>
  <c r="O598" i="6"/>
  <c r="O599" i="6"/>
  <c r="O600" i="6"/>
  <c r="O601" i="6"/>
  <c r="O602" i="6"/>
  <c r="O603" i="6"/>
  <c r="O604" i="6"/>
  <c r="O605" i="6"/>
  <c r="O606" i="6"/>
  <c r="O607" i="6"/>
  <c r="O608" i="6"/>
  <c r="O609" i="6"/>
  <c r="O610" i="6"/>
  <c r="O611" i="6"/>
  <c r="O612" i="6"/>
  <c r="O613" i="6"/>
  <c r="O614" i="6"/>
  <c r="O615" i="6"/>
  <c r="O616" i="6"/>
  <c r="O617" i="6"/>
  <c r="O618" i="6"/>
  <c r="O619" i="6"/>
  <c r="O620" i="6"/>
  <c r="O621" i="6"/>
  <c r="O622" i="6"/>
  <c r="O623" i="6"/>
  <c r="O624" i="6"/>
  <c r="O625" i="6"/>
  <c r="O626" i="6"/>
  <c r="O627" i="6"/>
  <c r="O628" i="6"/>
  <c r="O629" i="6"/>
  <c r="O630" i="6"/>
  <c r="O631" i="6"/>
  <c r="O632" i="6"/>
  <c r="O633" i="6"/>
  <c r="O634" i="6"/>
  <c r="O635" i="6"/>
  <c r="O636" i="6"/>
  <c r="O637" i="6"/>
  <c r="O638" i="6"/>
  <c r="O639" i="6"/>
  <c r="O640" i="6"/>
  <c r="O641" i="6"/>
  <c r="O642" i="6"/>
  <c r="O643" i="6"/>
  <c r="O644" i="6"/>
  <c r="O645" i="6"/>
  <c r="O646" i="6"/>
  <c r="O647" i="6"/>
  <c r="O648" i="6"/>
  <c r="O649" i="6"/>
  <c r="O650" i="6"/>
  <c r="O651" i="6"/>
  <c r="O652" i="6"/>
  <c r="O653" i="6"/>
  <c r="O654" i="6"/>
  <c r="O655" i="6"/>
  <c r="O656" i="6"/>
  <c r="O657" i="6"/>
  <c r="O658" i="6"/>
  <c r="O659" i="6"/>
  <c r="O660" i="6"/>
  <c r="O661" i="6"/>
  <c r="O662" i="6"/>
  <c r="O663" i="6"/>
  <c r="O664" i="6"/>
  <c r="O665" i="6"/>
  <c r="O666" i="6"/>
  <c r="O667" i="6"/>
  <c r="O668" i="6"/>
  <c r="O669" i="6"/>
  <c r="O670" i="6"/>
  <c r="O671" i="6"/>
  <c r="O672" i="6"/>
  <c r="O673" i="6"/>
  <c r="O674" i="6"/>
  <c r="O675" i="6"/>
  <c r="O676" i="6"/>
  <c r="O677" i="6"/>
  <c r="O678" i="6"/>
  <c r="O679" i="6"/>
  <c r="O680" i="6"/>
  <c r="O681" i="6"/>
  <c r="O682" i="6"/>
  <c r="O683" i="6"/>
  <c r="O684" i="6"/>
  <c r="O685" i="6"/>
  <c r="O686" i="6"/>
  <c r="O687" i="6"/>
  <c r="O688" i="6"/>
  <c r="O689" i="6"/>
  <c r="O690" i="6"/>
  <c r="O691" i="6"/>
  <c r="O692" i="6"/>
  <c r="O693" i="6"/>
  <c r="O694" i="6"/>
  <c r="O695" i="6"/>
  <c r="O696" i="6"/>
  <c r="O697" i="6"/>
  <c r="O698" i="6"/>
  <c r="O699" i="6"/>
  <c r="O700" i="6"/>
  <c r="O701" i="6"/>
  <c r="O702" i="6"/>
  <c r="O703" i="6"/>
  <c r="O704" i="6"/>
  <c r="O705" i="6"/>
  <c r="O706" i="6"/>
  <c r="O707" i="6"/>
  <c r="O708" i="6"/>
  <c r="O709" i="6"/>
  <c r="O710" i="6"/>
  <c r="O711" i="6"/>
  <c r="O712" i="6"/>
  <c r="O713" i="6"/>
  <c r="O714" i="6"/>
  <c r="O715" i="6"/>
  <c r="O716" i="6"/>
  <c r="O717" i="6"/>
  <c r="O718" i="6"/>
  <c r="O719" i="6"/>
  <c r="O720" i="6"/>
  <c r="O721" i="6"/>
  <c r="O722" i="6"/>
  <c r="O723" i="6"/>
  <c r="O724" i="6"/>
  <c r="O725" i="6"/>
  <c r="O726" i="6"/>
  <c r="O727" i="6"/>
  <c r="O728" i="6"/>
  <c r="O729" i="6"/>
  <c r="O730" i="6"/>
  <c r="O731" i="6"/>
  <c r="O732" i="6"/>
  <c r="O733" i="6"/>
  <c r="O734" i="6"/>
  <c r="O735" i="6"/>
  <c r="O736" i="6"/>
  <c r="O737" i="6"/>
  <c r="O738" i="6"/>
  <c r="O739" i="6"/>
  <c r="O740" i="6"/>
  <c r="O741" i="6"/>
  <c r="O742" i="6"/>
  <c r="O743" i="6"/>
  <c r="O744" i="6"/>
  <c r="O745" i="6"/>
  <c r="O746" i="6"/>
  <c r="O747" i="6"/>
  <c r="O748" i="6"/>
  <c r="O749" i="6"/>
  <c r="O750" i="6"/>
  <c r="O751" i="6"/>
  <c r="O752" i="6"/>
  <c r="O753" i="6"/>
  <c r="O754" i="6"/>
  <c r="O755" i="6"/>
  <c r="O756" i="6"/>
  <c r="O757" i="6"/>
  <c r="O758" i="6"/>
  <c r="O759" i="6"/>
  <c r="O760" i="6"/>
  <c r="O761" i="6"/>
  <c r="O762" i="6"/>
  <c r="O763" i="6"/>
  <c r="O764" i="6"/>
  <c r="O765" i="6"/>
  <c r="O766" i="6"/>
  <c r="O767" i="6"/>
  <c r="O768" i="6"/>
  <c r="O769" i="6"/>
  <c r="O770" i="6"/>
  <c r="O771" i="6"/>
  <c r="O772" i="6"/>
  <c r="O773" i="6"/>
  <c r="O774" i="6"/>
  <c r="O775" i="6"/>
  <c r="O776" i="6"/>
  <c r="O777" i="6"/>
  <c r="O778" i="6"/>
  <c r="O779" i="6"/>
  <c r="O780" i="6"/>
  <c r="O781" i="6"/>
  <c r="O782" i="6"/>
  <c r="O783" i="6"/>
  <c r="O784" i="6"/>
  <c r="O785" i="6"/>
  <c r="O786" i="6"/>
  <c r="O787" i="6"/>
  <c r="O788" i="6"/>
  <c r="O789" i="6"/>
  <c r="O790" i="6"/>
  <c r="O791" i="6"/>
  <c r="O792" i="6"/>
  <c r="O793" i="6"/>
  <c r="O794" i="6"/>
  <c r="O795" i="6"/>
  <c r="O796" i="6"/>
  <c r="O797" i="6"/>
  <c r="O798" i="6"/>
  <c r="O799" i="6"/>
  <c r="O800" i="6"/>
  <c r="O801" i="6"/>
  <c r="O802" i="6"/>
  <c r="O803" i="6"/>
  <c r="O804" i="6"/>
  <c r="O805" i="6"/>
  <c r="O806" i="6"/>
  <c r="O807" i="6"/>
  <c r="O808" i="6"/>
  <c r="O809" i="6"/>
  <c r="O810" i="6"/>
  <c r="O811" i="6"/>
  <c r="O812" i="6"/>
  <c r="O813" i="6"/>
  <c r="O814" i="6"/>
  <c r="O815" i="6"/>
  <c r="O816" i="6"/>
  <c r="O817" i="6"/>
  <c r="O818" i="6"/>
  <c r="O819" i="6"/>
  <c r="O820" i="6"/>
  <c r="O821" i="6"/>
  <c r="O822" i="6"/>
  <c r="O823" i="6"/>
  <c r="O824" i="6"/>
  <c r="O825" i="6"/>
  <c r="O826" i="6"/>
  <c r="O827" i="6"/>
  <c r="O828" i="6"/>
  <c r="O829" i="6"/>
  <c r="O830" i="6"/>
  <c r="O831" i="6"/>
  <c r="O832" i="6"/>
  <c r="O833" i="6"/>
  <c r="O834" i="6"/>
  <c r="O835" i="6"/>
  <c r="O836" i="6"/>
  <c r="O837" i="6"/>
  <c r="O838" i="6"/>
  <c r="O839" i="6"/>
  <c r="O840" i="6"/>
  <c r="O841" i="6"/>
  <c r="O842" i="6"/>
  <c r="O843" i="6"/>
  <c r="O844" i="6"/>
  <c r="O845" i="6"/>
  <c r="O846" i="6"/>
  <c r="O847" i="6"/>
  <c r="O848" i="6"/>
  <c r="O849" i="6"/>
  <c r="O850" i="6"/>
  <c r="O851" i="6"/>
  <c r="O852" i="6"/>
  <c r="O853" i="6"/>
  <c r="O854" i="6"/>
  <c r="O855" i="6"/>
  <c r="O856" i="6"/>
  <c r="O857" i="6"/>
  <c r="O858" i="6"/>
  <c r="O859" i="6"/>
  <c r="O860" i="6"/>
  <c r="O861" i="6"/>
  <c r="O862" i="6"/>
  <c r="O863" i="6"/>
  <c r="O864" i="6"/>
  <c r="O865" i="6"/>
  <c r="O866" i="6"/>
  <c r="O867" i="6"/>
  <c r="O868" i="6"/>
  <c r="O869" i="6"/>
  <c r="O870" i="6"/>
  <c r="O871" i="6"/>
  <c r="O872" i="6"/>
  <c r="O873" i="6"/>
  <c r="O874" i="6"/>
  <c r="O875" i="6"/>
  <c r="O876" i="6"/>
  <c r="O877" i="6"/>
  <c r="O878" i="6"/>
  <c r="O879" i="6"/>
  <c r="O880" i="6"/>
  <c r="O881" i="6"/>
  <c r="O882" i="6"/>
  <c r="O883" i="6"/>
  <c r="O884" i="6"/>
  <c r="O885" i="6"/>
  <c r="O886" i="6"/>
  <c r="O887" i="6"/>
  <c r="O888" i="6"/>
  <c r="O889" i="6"/>
  <c r="O890" i="6"/>
  <c r="O891" i="6"/>
  <c r="O892" i="6"/>
  <c r="O893" i="6"/>
  <c r="O894" i="6"/>
  <c r="O895" i="6"/>
  <c r="O896" i="6"/>
  <c r="O897" i="6"/>
  <c r="O898" i="6"/>
  <c r="O899" i="6"/>
  <c r="O900" i="6"/>
  <c r="O901" i="6"/>
  <c r="O902" i="6"/>
  <c r="O903" i="6"/>
  <c r="O904" i="6"/>
  <c r="O905" i="6"/>
  <c r="O906" i="6"/>
  <c r="O907" i="6"/>
  <c r="O908" i="6"/>
  <c r="O909" i="6"/>
  <c r="O910" i="6"/>
  <c r="O911" i="6"/>
  <c r="O912" i="6"/>
  <c r="O913" i="6"/>
  <c r="O914" i="6"/>
  <c r="O915" i="6"/>
  <c r="O916" i="6"/>
  <c r="O917" i="6"/>
  <c r="O918" i="6"/>
  <c r="O919" i="6"/>
  <c r="O920" i="6"/>
  <c r="O921" i="6"/>
  <c r="O922" i="6"/>
  <c r="O923" i="6"/>
  <c r="O924" i="6"/>
  <c r="O925" i="6"/>
  <c r="O926" i="6"/>
  <c r="O927" i="6"/>
  <c r="O928" i="6"/>
  <c r="O929" i="6"/>
  <c r="O930" i="6"/>
  <c r="O931" i="6"/>
  <c r="O932" i="6"/>
  <c r="O933" i="6"/>
  <c r="O934" i="6"/>
  <c r="O935" i="6"/>
  <c r="O936" i="6"/>
  <c r="O937" i="6"/>
  <c r="O938" i="6"/>
  <c r="O939" i="6"/>
  <c r="O940" i="6"/>
  <c r="O941" i="6"/>
  <c r="O942" i="6"/>
  <c r="O943" i="6"/>
  <c r="O944" i="6"/>
  <c r="O945" i="6"/>
  <c r="O946" i="6"/>
  <c r="O947" i="6"/>
  <c r="O948" i="6"/>
  <c r="O949" i="6"/>
  <c r="O950" i="6"/>
  <c r="O951" i="6"/>
  <c r="O952" i="6"/>
  <c r="O953" i="6"/>
  <c r="O954" i="6"/>
  <c r="O955" i="6"/>
  <c r="O956" i="6"/>
  <c r="O957" i="6"/>
  <c r="O958" i="6"/>
  <c r="O959" i="6"/>
  <c r="O960" i="6"/>
  <c r="O961" i="6"/>
  <c r="O962" i="6"/>
  <c r="O963" i="6"/>
  <c r="O964" i="6"/>
  <c r="O965" i="6"/>
  <c r="O966" i="6"/>
  <c r="O967" i="6"/>
  <c r="O968" i="6"/>
  <c r="O969" i="6"/>
  <c r="O970" i="6"/>
  <c r="O971" i="6"/>
  <c r="O972" i="6"/>
  <c r="O973" i="6"/>
  <c r="O974" i="6"/>
  <c r="O975" i="6"/>
  <c r="O976" i="6"/>
  <c r="O977" i="6"/>
  <c r="O978" i="6"/>
  <c r="O979" i="6"/>
  <c r="O980" i="6"/>
  <c r="O981" i="6"/>
  <c r="O982" i="6"/>
  <c r="O983" i="6"/>
  <c r="O984" i="6"/>
  <c r="O985" i="6"/>
  <c r="O986" i="6"/>
  <c r="O987" i="6"/>
  <c r="O988" i="6"/>
  <c r="O989" i="6"/>
  <c r="O990" i="6"/>
  <c r="O991" i="6"/>
  <c r="O992" i="6"/>
  <c r="O993" i="6"/>
  <c r="O994" i="6"/>
  <c r="O995" i="6"/>
  <c r="O996" i="6"/>
  <c r="O997" i="6"/>
  <c r="O998" i="6"/>
  <c r="O999" i="6"/>
  <c r="O1000" i="6"/>
  <c r="O1001" i="6"/>
  <c r="R2" i="6"/>
  <c r="R3" i="6"/>
  <c r="R4" i="6"/>
  <c r="R5" i="6"/>
  <c r="R6" i="6"/>
  <c r="R7" i="6"/>
  <c r="R8" i="6"/>
  <c r="R9" i="6"/>
  <c r="R10" i="6"/>
  <c r="R11" i="6"/>
  <c r="R12" i="6"/>
  <c r="R13" i="6"/>
  <c r="R14" i="6"/>
  <c r="R15" i="6"/>
  <c r="R16" i="6"/>
  <c r="R17" i="6"/>
  <c r="R18" i="6"/>
  <c r="R19" i="6"/>
  <c r="R20" i="6"/>
  <c r="R21" i="6"/>
  <c r="R22" i="6"/>
  <c r="R23" i="6"/>
  <c r="R24" i="6"/>
  <c r="R25" i="6"/>
  <c r="R26" i="6"/>
  <c r="R27" i="6"/>
  <c r="R28" i="6"/>
  <c r="R29" i="6"/>
  <c r="R30" i="6"/>
  <c r="R31" i="6"/>
  <c r="R32" i="6"/>
  <c r="R33" i="6"/>
  <c r="R34" i="6"/>
  <c r="R35" i="6"/>
  <c r="R36" i="6"/>
  <c r="R37" i="6"/>
  <c r="R38" i="6"/>
  <c r="R39" i="6"/>
  <c r="R40" i="6"/>
  <c r="R41" i="6"/>
  <c r="R42" i="6"/>
  <c r="R43" i="6"/>
  <c r="R44" i="6"/>
  <c r="R45" i="6"/>
  <c r="R46" i="6"/>
  <c r="R47" i="6"/>
  <c r="R48" i="6"/>
  <c r="R49" i="6"/>
  <c r="R50" i="6"/>
  <c r="R51" i="6"/>
  <c r="R52" i="6"/>
  <c r="R53" i="6"/>
  <c r="R54" i="6"/>
  <c r="R55" i="6"/>
  <c r="R56" i="6"/>
  <c r="R57" i="6"/>
  <c r="R58" i="6"/>
  <c r="R59" i="6"/>
  <c r="R60" i="6"/>
  <c r="R61" i="6"/>
  <c r="R62" i="6"/>
  <c r="R63" i="6"/>
  <c r="R64" i="6"/>
  <c r="R65" i="6"/>
  <c r="R66" i="6"/>
  <c r="R67" i="6"/>
  <c r="R68" i="6"/>
  <c r="R69" i="6"/>
  <c r="R70" i="6"/>
  <c r="R71" i="6"/>
  <c r="R72" i="6"/>
  <c r="R73" i="6"/>
  <c r="R74" i="6"/>
  <c r="R75" i="6"/>
  <c r="R76" i="6"/>
  <c r="R77" i="6"/>
  <c r="R78" i="6"/>
  <c r="R79" i="6"/>
  <c r="R80" i="6"/>
  <c r="R81" i="6"/>
  <c r="R82" i="6"/>
  <c r="R83" i="6"/>
  <c r="R84" i="6"/>
  <c r="R85" i="6"/>
  <c r="R86" i="6"/>
  <c r="R87" i="6"/>
  <c r="R88" i="6"/>
  <c r="R89" i="6"/>
  <c r="R90" i="6"/>
  <c r="R91" i="6"/>
  <c r="R92" i="6"/>
  <c r="R93" i="6"/>
  <c r="R94" i="6"/>
  <c r="R95" i="6"/>
  <c r="R96" i="6"/>
  <c r="R97" i="6"/>
  <c r="R98" i="6"/>
  <c r="R99" i="6"/>
  <c r="R100" i="6"/>
  <c r="R101" i="6"/>
  <c r="R102" i="6"/>
  <c r="R103" i="6"/>
  <c r="R104" i="6"/>
  <c r="R105" i="6"/>
  <c r="R106" i="6"/>
  <c r="R107" i="6"/>
  <c r="R108" i="6"/>
  <c r="R109" i="6"/>
  <c r="R110" i="6"/>
  <c r="R111" i="6"/>
  <c r="R112" i="6"/>
  <c r="R113" i="6"/>
  <c r="R114" i="6"/>
  <c r="R115" i="6"/>
  <c r="R116" i="6"/>
  <c r="R117" i="6"/>
  <c r="R118" i="6"/>
  <c r="R119" i="6"/>
  <c r="R120" i="6"/>
  <c r="R121" i="6"/>
  <c r="R122" i="6"/>
  <c r="R123" i="6"/>
  <c r="R124" i="6"/>
  <c r="R125" i="6"/>
  <c r="R126" i="6"/>
  <c r="R127" i="6"/>
  <c r="R128" i="6"/>
  <c r="R129" i="6"/>
  <c r="R130" i="6"/>
  <c r="R131" i="6"/>
  <c r="R132" i="6"/>
  <c r="R133" i="6"/>
  <c r="R134" i="6"/>
  <c r="R135" i="6"/>
  <c r="R136" i="6"/>
  <c r="R137" i="6"/>
  <c r="R138" i="6"/>
  <c r="R139" i="6"/>
  <c r="R140" i="6"/>
  <c r="R141" i="6"/>
  <c r="R142" i="6"/>
  <c r="R143" i="6"/>
  <c r="R144" i="6"/>
  <c r="R145" i="6"/>
  <c r="R146" i="6"/>
  <c r="R147" i="6"/>
  <c r="R148" i="6"/>
  <c r="R149" i="6"/>
  <c r="R150" i="6"/>
  <c r="R151" i="6"/>
  <c r="R152" i="6"/>
  <c r="R153" i="6"/>
  <c r="R154" i="6"/>
  <c r="R155" i="6"/>
  <c r="R156" i="6"/>
  <c r="R157" i="6"/>
  <c r="R158" i="6"/>
  <c r="R159" i="6"/>
  <c r="R160" i="6"/>
  <c r="R161" i="6"/>
  <c r="R162" i="6"/>
  <c r="R163" i="6"/>
  <c r="R164" i="6"/>
  <c r="R165" i="6"/>
  <c r="R166" i="6"/>
  <c r="R167" i="6"/>
  <c r="R168" i="6"/>
  <c r="R169" i="6"/>
  <c r="R170" i="6"/>
  <c r="R171" i="6"/>
  <c r="R172" i="6"/>
  <c r="R173" i="6"/>
  <c r="R174" i="6"/>
  <c r="R175" i="6"/>
  <c r="R176" i="6"/>
  <c r="R177" i="6"/>
  <c r="R178" i="6"/>
  <c r="R179" i="6"/>
  <c r="R180" i="6"/>
  <c r="R181" i="6"/>
  <c r="R182" i="6"/>
  <c r="R183" i="6"/>
  <c r="R184" i="6"/>
  <c r="R185" i="6"/>
  <c r="R186" i="6"/>
  <c r="R187" i="6"/>
  <c r="R188" i="6"/>
  <c r="R189" i="6"/>
  <c r="R190" i="6"/>
  <c r="R191" i="6"/>
  <c r="R192" i="6"/>
  <c r="R193" i="6"/>
  <c r="R194" i="6"/>
  <c r="R195" i="6"/>
  <c r="R196" i="6"/>
  <c r="R197" i="6"/>
  <c r="R198" i="6"/>
  <c r="R199" i="6"/>
  <c r="R200" i="6"/>
  <c r="R201" i="6"/>
  <c r="R202" i="6"/>
  <c r="R203" i="6"/>
  <c r="R204" i="6"/>
  <c r="R205" i="6"/>
  <c r="R206" i="6"/>
  <c r="R207" i="6"/>
  <c r="R208" i="6"/>
  <c r="R209" i="6"/>
  <c r="R210" i="6"/>
  <c r="R211" i="6"/>
  <c r="R212" i="6"/>
  <c r="R213" i="6"/>
  <c r="R214" i="6"/>
  <c r="R215" i="6"/>
  <c r="R216" i="6"/>
  <c r="R217" i="6"/>
  <c r="R218" i="6"/>
  <c r="R219" i="6"/>
  <c r="R220" i="6"/>
  <c r="R221" i="6"/>
  <c r="R222" i="6"/>
  <c r="R223" i="6"/>
  <c r="R224" i="6"/>
  <c r="R225" i="6"/>
  <c r="R226" i="6"/>
  <c r="R227" i="6"/>
  <c r="R228" i="6"/>
  <c r="R229" i="6"/>
  <c r="R230" i="6"/>
  <c r="R231" i="6"/>
  <c r="R232" i="6"/>
  <c r="R233" i="6"/>
  <c r="R234" i="6"/>
  <c r="R235" i="6"/>
  <c r="R236" i="6"/>
  <c r="R237" i="6"/>
  <c r="R238" i="6"/>
  <c r="R239" i="6"/>
  <c r="R240" i="6"/>
  <c r="R241" i="6"/>
  <c r="R242" i="6"/>
  <c r="R243" i="6"/>
  <c r="R244" i="6"/>
  <c r="R245" i="6"/>
  <c r="R246" i="6"/>
  <c r="R247" i="6"/>
  <c r="R248" i="6"/>
  <c r="R249" i="6"/>
  <c r="R250" i="6"/>
  <c r="R251" i="6"/>
  <c r="R252" i="6"/>
  <c r="R253" i="6"/>
  <c r="R254" i="6"/>
  <c r="R255" i="6"/>
  <c r="R256" i="6"/>
  <c r="R257" i="6"/>
  <c r="R258" i="6"/>
  <c r="R259" i="6"/>
  <c r="R260" i="6"/>
  <c r="R261" i="6"/>
  <c r="R262" i="6"/>
  <c r="R263" i="6"/>
  <c r="R264" i="6"/>
  <c r="R265" i="6"/>
  <c r="R266" i="6"/>
  <c r="R267" i="6"/>
  <c r="R268" i="6"/>
  <c r="R269" i="6"/>
  <c r="R270" i="6"/>
  <c r="R271" i="6"/>
  <c r="R272" i="6"/>
  <c r="R273" i="6"/>
  <c r="R274" i="6"/>
  <c r="R275" i="6"/>
  <c r="R276" i="6"/>
  <c r="R277" i="6"/>
  <c r="R278" i="6"/>
  <c r="R279" i="6"/>
  <c r="R280" i="6"/>
  <c r="R281" i="6"/>
  <c r="R282" i="6"/>
  <c r="R283" i="6"/>
  <c r="R284" i="6"/>
  <c r="R285" i="6"/>
  <c r="R286" i="6"/>
  <c r="R287" i="6"/>
  <c r="R288" i="6"/>
  <c r="R289" i="6"/>
  <c r="R290" i="6"/>
  <c r="R291" i="6"/>
  <c r="R292" i="6"/>
  <c r="R293" i="6"/>
  <c r="R294" i="6"/>
  <c r="R295" i="6"/>
  <c r="R296" i="6"/>
  <c r="R297" i="6"/>
  <c r="R298" i="6"/>
  <c r="R299" i="6"/>
  <c r="R300" i="6"/>
  <c r="R301" i="6"/>
  <c r="R302" i="6"/>
  <c r="R303" i="6"/>
  <c r="R304" i="6"/>
  <c r="R305" i="6"/>
  <c r="R306" i="6"/>
  <c r="R307" i="6"/>
  <c r="R308" i="6"/>
  <c r="R309" i="6"/>
  <c r="R310" i="6"/>
  <c r="R311" i="6"/>
  <c r="R312" i="6"/>
  <c r="R313" i="6"/>
  <c r="R314" i="6"/>
  <c r="R315" i="6"/>
  <c r="R316" i="6"/>
  <c r="R317" i="6"/>
  <c r="R318" i="6"/>
  <c r="R319" i="6"/>
  <c r="R320" i="6"/>
  <c r="R321" i="6"/>
  <c r="R322" i="6"/>
  <c r="R323" i="6"/>
  <c r="R324" i="6"/>
  <c r="R325" i="6"/>
  <c r="R326" i="6"/>
  <c r="R327" i="6"/>
  <c r="R328" i="6"/>
  <c r="R329" i="6"/>
  <c r="R330" i="6"/>
  <c r="R331" i="6"/>
  <c r="R332" i="6"/>
  <c r="R333" i="6"/>
  <c r="R334" i="6"/>
  <c r="R335" i="6"/>
  <c r="R336" i="6"/>
  <c r="R337" i="6"/>
  <c r="R338" i="6"/>
  <c r="R339" i="6"/>
  <c r="R340" i="6"/>
  <c r="R341" i="6"/>
  <c r="R342" i="6"/>
  <c r="R343" i="6"/>
  <c r="R344" i="6"/>
  <c r="R345" i="6"/>
  <c r="R346" i="6"/>
  <c r="R347" i="6"/>
  <c r="R348" i="6"/>
  <c r="R349" i="6"/>
  <c r="R350" i="6"/>
  <c r="R351" i="6"/>
  <c r="R352" i="6"/>
  <c r="R353" i="6"/>
  <c r="R354" i="6"/>
  <c r="R355" i="6"/>
  <c r="R356" i="6"/>
  <c r="R357" i="6"/>
  <c r="R358" i="6"/>
  <c r="R359" i="6"/>
  <c r="R360" i="6"/>
  <c r="R361" i="6"/>
  <c r="R362" i="6"/>
  <c r="R363" i="6"/>
  <c r="R364" i="6"/>
  <c r="R365" i="6"/>
  <c r="R366" i="6"/>
  <c r="R367" i="6"/>
  <c r="R368" i="6"/>
  <c r="R369" i="6"/>
  <c r="R370" i="6"/>
  <c r="R371" i="6"/>
  <c r="R372" i="6"/>
  <c r="R373" i="6"/>
  <c r="R374" i="6"/>
  <c r="R375" i="6"/>
  <c r="R376" i="6"/>
  <c r="R377" i="6"/>
  <c r="R378" i="6"/>
  <c r="R379" i="6"/>
  <c r="R380" i="6"/>
  <c r="R381" i="6"/>
  <c r="R382" i="6"/>
  <c r="R383" i="6"/>
  <c r="R384" i="6"/>
  <c r="R385" i="6"/>
  <c r="R386" i="6"/>
  <c r="R387" i="6"/>
  <c r="R388" i="6"/>
  <c r="R389" i="6"/>
  <c r="R390" i="6"/>
  <c r="R391" i="6"/>
  <c r="R392" i="6"/>
  <c r="R393" i="6"/>
  <c r="R394" i="6"/>
  <c r="R395" i="6"/>
  <c r="R396" i="6"/>
  <c r="R397" i="6"/>
  <c r="R398" i="6"/>
  <c r="R399" i="6"/>
  <c r="R400" i="6"/>
  <c r="R401" i="6"/>
  <c r="R402" i="6"/>
  <c r="R403" i="6"/>
  <c r="R404" i="6"/>
  <c r="R405" i="6"/>
  <c r="R406" i="6"/>
  <c r="R407" i="6"/>
  <c r="R408" i="6"/>
  <c r="R409" i="6"/>
  <c r="R410" i="6"/>
  <c r="R411" i="6"/>
  <c r="R412" i="6"/>
  <c r="R413" i="6"/>
  <c r="R414" i="6"/>
  <c r="R415" i="6"/>
  <c r="R416" i="6"/>
  <c r="R417" i="6"/>
  <c r="R418" i="6"/>
  <c r="R419" i="6"/>
  <c r="R420" i="6"/>
  <c r="R421" i="6"/>
  <c r="R422" i="6"/>
  <c r="R423" i="6"/>
  <c r="R424" i="6"/>
  <c r="R425" i="6"/>
  <c r="R426" i="6"/>
  <c r="R427" i="6"/>
  <c r="R428" i="6"/>
  <c r="R429" i="6"/>
  <c r="R430" i="6"/>
  <c r="R431" i="6"/>
  <c r="R432" i="6"/>
  <c r="R433" i="6"/>
  <c r="R434" i="6"/>
  <c r="R435" i="6"/>
  <c r="R436" i="6"/>
  <c r="R437" i="6"/>
  <c r="R438" i="6"/>
  <c r="R439" i="6"/>
  <c r="R440" i="6"/>
  <c r="R441" i="6"/>
  <c r="R442" i="6"/>
  <c r="R443" i="6"/>
  <c r="R444" i="6"/>
  <c r="R445" i="6"/>
  <c r="R446" i="6"/>
  <c r="R447" i="6"/>
  <c r="R448" i="6"/>
  <c r="R449" i="6"/>
  <c r="R450" i="6"/>
  <c r="R451" i="6"/>
  <c r="R452" i="6"/>
  <c r="R453" i="6"/>
  <c r="R454" i="6"/>
  <c r="R455" i="6"/>
  <c r="R456" i="6"/>
  <c r="R457" i="6"/>
  <c r="R458" i="6"/>
  <c r="R459" i="6"/>
  <c r="R460" i="6"/>
  <c r="R461" i="6"/>
  <c r="R462" i="6"/>
  <c r="R463" i="6"/>
  <c r="R464" i="6"/>
  <c r="R465" i="6"/>
  <c r="R466" i="6"/>
  <c r="R467" i="6"/>
  <c r="R468" i="6"/>
  <c r="R469" i="6"/>
  <c r="R470" i="6"/>
  <c r="R471" i="6"/>
  <c r="R472" i="6"/>
  <c r="R473" i="6"/>
  <c r="R474" i="6"/>
  <c r="R475" i="6"/>
  <c r="R476" i="6"/>
  <c r="R477" i="6"/>
  <c r="R478" i="6"/>
  <c r="R479" i="6"/>
  <c r="R480" i="6"/>
  <c r="R481" i="6"/>
  <c r="R482" i="6"/>
  <c r="R483" i="6"/>
  <c r="R484" i="6"/>
  <c r="R485" i="6"/>
  <c r="R486" i="6"/>
  <c r="R487" i="6"/>
  <c r="R488" i="6"/>
  <c r="R489" i="6"/>
  <c r="R490" i="6"/>
  <c r="R491" i="6"/>
  <c r="R492" i="6"/>
  <c r="R493" i="6"/>
  <c r="R494" i="6"/>
  <c r="R495" i="6"/>
  <c r="R496" i="6"/>
  <c r="R497" i="6"/>
  <c r="R498" i="6"/>
  <c r="R499" i="6"/>
  <c r="R500" i="6"/>
  <c r="R501" i="6"/>
  <c r="R502" i="6"/>
  <c r="R503" i="6"/>
  <c r="R504" i="6"/>
  <c r="R505" i="6"/>
  <c r="R506" i="6"/>
  <c r="R507" i="6"/>
  <c r="R508" i="6"/>
  <c r="R509" i="6"/>
  <c r="R510" i="6"/>
  <c r="R511" i="6"/>
  <c r="R512" i="6"/>
  <c r="R513" i="6"/>
  <c r="R514" i="6"/>
  <c r="R515" i="6"/>
  <c r="R516" i="6"/>
  <c r="R517" i="6"/>
  <c r="R518" i="6"/>
  <c r="R519" i="6"/>
  <c r="R520" i="6"/>
  <c r="R521" i="6"/>
  <c r="R522" i="6"/>
  <c r="R523" i="6"/>
  <c r="R524" i="6"/>
  <c r="R525" i="6"/>
  <c r="R526" i="6"/>
  <c r="R527" i="6"/>
  <c r="R528" i="6"/>
  <c r="R529" i="6"/>
  <c r="R530" i="6"/>
  <c r="R531" i="6"/>
  <c r="R532" i="6"/>
  <c r="R533" i="6"/>
  <c r="R534" i="6"/>
  <c r="R535" i="6"/>
  <c r="R536" i="6"/>
  <c r="R537" i="6"/>
  <c r="R538" i="6"/>
  <c r="R539" i="6"/>
  <c r="R540" i="6"/>
  <c r="R541" i="6"/>
  <c r="R542" i="6"/>
  <c r="R543" i="6"/>
  <c r="R544" i="6"/>
  <c r="R545" i="6"/>
  <c r="R546" i="6"/>
  <c r="R547" i="6"/>
  <c r="R548" i="6"/>
  <c r="R549" i="6"/>
  <c r="R550" i="6"/>
  <c r="R551" i="6"/>
  <c r="R552" i="6"/>
  <c r="R553" i="6"/>
  <c r="R554" i="6"/>
  <c r="R555" i="6"/>
  <c r="R556" i="6"/>
  <c r="R557" i="6"/>
  <c r="R558" i="6"/>
  <c r="R559" i="6"/>
  <c r="R560" i="6"/>
  <c r="R561" i="6"/>
  <c r="R562" i="6"/>
  <c r="R563" i="6"/>
  <c r="R564" i="6"/>
  <c r="R565" i="6"/>
  <c r="R566" i="6"/>
  <c r="R567" i="6"/>
  <c r="R568" i="6"/>
  <c r="R569" i="6"/>
  <c r="R570" i="6"/>
  <c r="R571" i="6"/>
  <c r="R572" i="6"/>
  <c r="R573" i="6"/>
  <c r="R574" i="6"/>
  <c r="R575" i="6"/>
  <c r="R576" i="6"/>
  <c r="R577" i="6"/>
  <c r="R578" i="6"/>
  <c r="R579" i="6"/>
  <c r="R580" i="6"/>
  <c r="R581" i="6"/>
  <c r="R582" i="6"/>
  <c r="R583" i="6"/>
  <c r="R584" i="6"/>
  <c r="R585" i="6"/>
  <c r="R586" i="6"/>
  <c r="R587" i="6"/>
  <c r="R588" i="6"/>
  <c r="R589" i="6"/>
  <c r="R590" i="6"/>
  <c r="R591" i="6"/>
  <c r="R592" i="6"/>
  <c r="R593" i="6"/>
  <c r="R594" i="6"/>
  <c r="R595" i="6"/>
  <c r="R596" i="6"/>
  <c r="R597" i="6"/>
  <c r="R598" i="6"/>
  <c r="R599" i="6"/>
  <c r="R600" i="6"/>
  <c r="R601" i="6"/>
  <c r="R602" i="6"/>
  <c r="R603" i="6"/>
  <c r="R604" i="6"/>
  <c r="R605" i="6"/>
  <c r="R606" i="6"/>
  <c r="R607" i="6"/>
  <c r="R608" i="6"/>
  <c r="R609" i="6"/>
  <c r="R610" i="6"/>
  <c r="R611" i="6"/>
  <c r="R612" i="6"/>
  <c r="R613" i="6"/>
  <c r="R614" i="6"/>
  <c r="R615" i="6"/>
  <c r="R616" i="6"/>
  <c r="R617" i="6"/>
  <c r="R618" i="6"/>
  <c r="R619" i="6"/>
  <c r="R620" i="6"/>
  <c r="R621" i="6"/>
  <c r="R622" i="6"/>
  <c r="R623" i="6"/>
  <c r="R624" i="6"/>
  <c r="R625" i="6"/>
  <c r="R626" i="6"/>
  <c r="R627" i="6"/>
  <c r="R628" i="6"/>
  <c r="R629" i="6"/>
  <c r="R630" i="6"/>
  <c r="R631" i="6"/>
  <c r="R632" i="6"/>
  <c r="R633" i="6"/>
  <c r="R634" i="6"/>
  <c r="R635" i="6"/>
  <c r="R636" i="6"/>
  <c r="R637" i="6"/>
  <c r="R638" i="6"/>
  <c r="R639" i="6"/>
  <c r="R640" i="6"/>
  <c r="R641" i="6"/>
  <c r="R642" i="6"/>
  <c r="R643" i="6"/>
  <c r="R644" i="6"/>
  <c r="R645" i="6"/>
  <c r="R646" i="6"/>
  <c r="R647" i="6"/>
  <c r="R648" i="6"/>
  <c r="R649" i="6"/>
  <c r="R650" i="6"/>
  <c r="R651" i="6"/>
  <c r="R652" i="6"/>
  <c r="R653" i="6"/>
  <c r="R654" i="6"/>
  <c r="R655" i="6"/>
  <c r="R656" i="6"/>
  <c r="R657" i="6"/>
  <c r="R658" i="6"/>
  <c r="R659" i="6"/>
  <c r="R660" i="6"/>
  <c r="R661" i="6"/>
  <c r="R662" i="6"/>
  <c r="R663" i="6"/>
  <c r="R664" i="6"/>
  <c r="R665" i="6"/>
  <c r="R666" i="6"/>
  <c r="R667" i="6"/>
  <c r="R668" i="6"/>
  <c r="R669" i="6"/>
  <c r="R670" i="6"/>
  <c r="R671" i="6"/>
  <c r="R672" i="6"/>
  <c r="R673" i="6"/>
  <c r="R674" i="6"/>
  <c r="R675" i="6"/>
  <c r="R676" i="6"/>
  <c r="R677" i="6"/>
  <c r="R678" i="6"/>
  <c r="R679" i="6"/>
  <c r="R680" i="6"/>
  <c r="R681" i="6"/>
  <c r="R682" i="6"/>
  <c r="R683" i="6"/>
  <c r="R684" i="6"/>
  <c r="R685" i="6"/>
  <c r="R686" i="6"/>
  <c r="R687" i="6"/>
  <c r="R688" i="6"/>
  <c r="R689" i="6"/>
  <c r="R690" i="6"/>
  <c r="R691" i="6"/>
  <c r="R692" i="6"/>
  <c r="R693" i="6"/>
  <c r="R694" i="6"/>
  <c r="R695" i="6"/>
  <c r="R696" i="6"/>
  <c r="R697" i="6"/>
  <c r="R698" i="6"/>
  <c r="R699" i="6"/>
  <c r="R700" i="6"/>
  <c r="R701" i="6"/>
  <c r="R702" i="6"/>
  <c r="R703" i="6"/>
  <c r="R704" i="6"/>
  <c r="R705" i="6"/>
  <c r="R706" i="6"/>
  <c r="R707" i="6"/>
  <c r="R708" i="6"/>
  <c r="R709" i="6"/>
  <c r="R710" i="6"/>
  <c r="R711" i="6"/>
  <c r="R712" i="6"/>
  <c r="R713" i="6"/>
  <c r="R714" i="6"/>
  <c r="R715" i="6"/>
  <c r="R716" i="6"/>
  <c r="R717" i="6"/>
  <c r="R718" i="6"/>
  <c r="R719" i="6"/>
  <c r="R720" i="6"/>
  <c r="R721" i="6"/>
  <c r="R722" i="6"/>
  <c r="R723" i="6"/>
  <c r="R724" i="6"/>
  <c r="R725" i="6"/>
  <c r="R726" i="6"/>
  <c r="R727" i="6"/>
  <c r="R728" i="6"/>
  <c r="R729" i="6"/>
  <c r="R730" i="6"/>
  <c r="R731" i="6"/>
  <c r="R732" i="6"/>
  <c r="R733" i="6"/>
  <c r="R734" i="6"/>
  <c r="R735" i="6"/>
  <c r="R736" i="6"/>
  <c r="R737" i="6"/>
  <c r="R738" i="6"/>
  <c r="R739" i="6"/>
  <c r="R740" i="6"/>
  <c r="R741" i="6"/>
  <c r="R742" i="6"/>
  <c r="R743" i="6"/>
  <c r="R744" i="6"/>
  <c r="R745" i="6"/>
  <c r="R746" i="6"/>
  <c r="R747" i="6"/>
  <c r="R748" i="6"/>
  <c r="R749" i="6"/>
  <c r="R750" i="6"/>
  <c r="R751" i="6"/>
  <c r="R752" i="6"/>
  <c r="R753" i="6"/>
  <c r="R754" i="6"/>
  <c r="R755" i="6"/>
  <c r="R756" i="6"/>
  <c r="R757" i="6"/>
  <c r="R758" i="6"/>
  <c r="R759" i="6"/>
  <c r="R760" i="6"/>
  <c r="R761" i="6"/>
  <c r="R762" i="6"/>
  <c r="R763" i="6"/>
  <c r="R764" i="6"/>
  <c r="R765" i="6"/>
  <c r="R766" i="6"/>
  <c r="R767" i="6"/>
  <c r="R768" i="6"/>
  <c r="R769" i="6"/>
  <c r="R770" i="6"/>
  <c r="R771" i="6"/>
  <c r="R772" i="6"/>
  <c r="R773" i="6"/>
  <c r="R774" i="6"/>
  <c r="R775" i="6"/>
  <c r="R776" i="6"/>
  <c r="R777" i="6"/>
  <c r="R778" i="6"/>
  <c r="R779" i="6"/>
  <c r="R780" i="6"/>
  <c r="R781" i="6"/>
  <c r="R782" i="6"/>
  <c r="R783" i="6"/>
  <c r="R784" i="6"/>
  <c r="R785" i="6"/>
  <c r="R786" i="6"/>
  <c r="R787" i="6"/>
  <c r="R788" i="6"/>
  <c r="R789" i="6"/>
  <c r="R790" i="6"/>
  <c r="R791" i="6"/>
  <c r="R792" i="6"/>
  <c r="R793" i="6"/>
  <c r="R794" i="6"/>
  <c r="R795" i="6"/>
  <c r="R796" i="6"/>
  <c r="R797" i="6"/>
  <c r="R798" i="6"/>
  <c r="R799" i="6"/>
  <c r="R800" i="6"/>
  <c r="R801" i="6"/>
  <c r="R802" i="6"/>
  <c r="R803" i="6"/>
  <c r="R804" i="6"/>
  <c r="R805" i="6"/>
  <c r="R806" i="6"/>
  <c r="R807" i="6"/>
  <c r="R808" i="6"/>
  <c r="R809" i="6"/>
  <c r="R810" i="6"/>
  <c r="R811" i="6"/>
  <c r="R812" i="6"/>
  <c r="R813" i="6"/>
  <c r="R814" i="6"/>
  <c r="R815" i="6"/>
  <c r="R816" i="6"/>
  <c r="R817" i="6"/>
  <c r="R818" i="6"/>
  <c r="R819" i="6"/>
  <c r="R820" i="6"/>
  <c r="R821" i="6"/>
  <c r="R822" i="6"/>
  <c r="R823" i="6"/>
  <c r="R824" i="6"/>
  <c r="R825" i="6"/>
  <c r="R826" i="6"/>
  <c r="R827" i="6"/>
  <c r="R828" i="6"/>
  <c r="R829" i="6"/>
  <c r="R830" i="6"/>
  <c r="R831" i="6"/>
  <c r="R832" i="6"/>
  <c r="R833" i="6"/>
  <c r="R834" i="6"/>
  <c r="R835" i="6"/>
  <c r="R836" i="6"/>
  <c r="R837" i="6"/>
  <c r="R838" i="6"/>
  <c r="R839" i="6"/>
  <c r="R840" i="6"/>
  <c r="R841" i="6"/>
  <c r="R842" i="6"/>
  <c r="R843" i="6"/>
  <c r="R844" i="6"/>
  <c r="R845" i="6"/>
  <c r="R846" i="6"/>
  <c r="R847" i="6"/>
  <c r="R848" i="6"/>
  <c r="R849" i="6"/>
  <c r="R850" i="6"/>
  <c r="R851" i="6"/>
  <c r="R852" i="6"/>
  <c r="R853" i="6"/>
  <c r="R854" i="6"/>
  <c r="R855" i="6"/>
  <c r="R856" i="6"/>
  <c r="R857" i="6"/>
  <c r="R858" i="6"/>
  <c r="R859" i="6"/>
  <c r="R860" i="6"/>
  <c r="R861" i="6"/>
  <c r="R862" i="6"/>
  <c r="R863" i="6"/>
  <c r="R864" i="6"/>
  <c r="R865" i="6"/>
  <c r="R866" i="6"/>
  <c r="R867" i="6"/>
  <c r="R868" i="6"/>
  <c r="R869" i="6"/>
  <c r="R870" i="6"/>
  <c r="R871" i="6"/>
  <c r="R872" i="6"/>
  <c r="R873" i="6"/>
  <c r="R874" i="6"/>
  <c r="R875" i="6"/>
  <c r="R876" i="6"/>
  <c r="R877" i="6"/>
  <c r="R878" i="6"/>
  <c r="R879" i="6"/>
  <c r="R880" i="6"/>
  <c r="R881" i="6"/>
  <c r="R882" i="6"/>
  <c r="R883" i="6"/>
  <c r="R884" i="6"/>
  <c r="R885" i="6"/>
  <c r="R886" i="6"/>
  <c r="R887" i="6"/>
  <c r="R888" i="6"/>
  <c r="R889" i="6"/>
  <c r="R890" i="6"/>
  <c r="R891" i="6"/>
  <c r="R892" i="6"/>
  <c r="R893" i="6"/>
  <c r="R894" i="6"/>
  <c r="R895" i="6"/>
  <c r="R896" i="6"/>
  <c r="R897" i="6"/>
  <c r="R898" i="6"/>
  <c r="R899" i="6"/>
  <c r="R900" i="6"/>
  <c r="R901" i="6"/>
  <c r="R902" i="6"/>
  <c r="R903" i="6"/>
  <c r="R904" i="6"/>
  <c r="R905" i="6"/>
  <c r="R906" i="6"/>
  <c r="R907" i="6"/>
  <c r="R908" i="6"/>
  <c r="R909" i="6"/>
  <c r="R910" i="6"/>
  <c r="R911" i="6"/>
  <c r="R912" i="6"/>
  <c r="R913" i="6"/>
  <c r="R914" i="6"/>
  <c r="R915" i="6"/>
  <c r="R916" i="6"/>
  <c r="R917" i="6"/>
  <c r="R918" i="6"/>
  <c r="R919" i="6"/>
  <c r="R920" i="6"/>
  <c r="R921" i="6"/>
  <c r="R922" i="6"/>
  <c r="R923" i="6"/>
  <c r="R924" i="6"/>
  <c r="R925" i="6"/>
  <c r="R926" i="6"/>
  <c r="R927" i="6"/>
  <c r="R928" i="6"/>
  <c r="R929" i="6"/>
  <c r="R930" i="6"/>
  <c r="R931" i="6"/>
  <c r="R932" i="6"/>
  <c r="R933" i="6"/>
  <c r="R934" i="6"/>
  <c r="R935" i="6"/>
  <c r="R936" i="6"/>
  <c r="R937" i="6"/>
  <c r="R938" i="6"/>
  <c r="R939" i="6"/>
  <c r="R940" i="6"/>
  <c r="R941" i="6"/>
  <c r="R942" i="6"/>
  <c r="R943" i="6"/>
  <c r="R944" i="6"/>
  <c r="R945" i="6"/>
  <c r="R946" i="6"/>
  <c r="R947" i="6"/>
  <c r="R948" i="6"/>
  <c r="R949" i="6"/>
  <c r="R950" i="6"/>
  <c r="R951" i="6"/>
  <c r="R952" i="6"/>
  <c r="R953" i="6"/>
  <c r="R954" i="6"/>
  <c r="R955" i="6"/>
  <c r="R956" i="6"/>
  <c r="R957" i="6"/>
  <c r="R958" i="6"/>
  <c r="R959" i="6"/>
  <c r="R960" i="6"/>
  <c r="R961" i="6"/>
  <c r="R962" i="6"/>
  <c r="R963" i="6"/>
  <c r="R964" i="6"/>
  <c r="R965" i="6"/>
  <c r="R966" i="6"/>
  <c r="R967" i="6"/>
  <c r="R968" i="6"/>
  <c r="R969" i="6"/>
  <c r="R970" i="6"/>
  <c r="R971" i="6"/>
  <c r="R972" i="6"/>
  <c r="R973" i="6"/>
  <c r="R974" i="6"/>
  <c r="R975" i="6"/>
  <c r="R976" i="6"/>
  <c r="R977" i="6"/>
  <c r="R978" i="6"/>
  <c r="R979" i="6"/>
  <c r="R980" i="6"/>
  <c r="R981" i="6"/>
  <c r="R982" i="6"/>
  <c r="R983" i="6"/>
  <c r="R984" i="6"/>
  <c r="R985" i="6"/>
  <c r="R986" i="6"/>
  <c r="R987" i="6"/>
  <c r="R988" i="6"/>
  <c r="R989" i="6"/>
  <c r="R990" i="6"/>
  <c r="R991" i="6"/>
  <c r="R992" i="6"/>
  <c r="R993" i="6"/>
  <c r="R994" i="6"/>
  <c r="R995" i="6"/>
  <c r="R996" i="6"/>
  <c r="R997" i="6"/>
  <c r="R998" i="6"/>
  <c r="R999" i="6"/>
  <c r="R1000" i="6"/>
  <c r="R1001" i="6"/>
  <c r="I71" i="6"/>
  <c r="I60" i="6"/>
  <c r="I50" i="6"/>
  <c r="I67" i="6" s="1"/>
  <c r="I45" i="6"/>
  <c r="I39" i="6"/>
  <c r="I34" i="6"/>
  <c r="I30" i="6"/>
  <c r="I25" i="6"/>
  <c r="I19" i="6"/>
  <c r="D27" i="7" l="1"/>
  <c r="D19" i="7"/>
  <c r="D25" i="7"/>
  <c r="D20" i="7"/>
  <c r="D26" i="7"/>
  <c r="D18" i="7"/>
  <c r="D17" i="7"/>
  <c r="D16" i="7"/>
  <c r="V975" i="6"/>
  <c r="W959" i="6" s="1"/>
  <c r="V971" i="6"/>
  <c r="W955" i="6" s="1"/>
  <c r="V967" i="6"/>
  <c r="W951" i="6" s="1"/>
  <c r="V963" i="6"/>
  <c r="W947" i="6" s="1"/>
  <c r="V959" i="6"/>
  <c r="W943" i="6" s="1"/>
  <c r="V955" i="6"/>
  <c r="W939" i="6" s="1"/>
  <c r="V951" i="6"/>
  <c r="W935" i="6" s="1"/>
  <c r="V947" i="6"/>
  <c r="W931" i="6" s="1"/>
  <c r="V943" i="6"/>
  <c r="W927" i="6" s="1"/>
  <c r="V939" i="6"/>
  <c r="W923" i="6" s="1"/>
  <c r="V935" i="6"/>
  <c r="W919" i="6" s="1"/>
  <c r="V931" i="6"/>
  <c r="W915" i="6" s="1"/>
  <c r="V927" i="6"/>
  <c r="W911" i="6" s="1"/>
  <c r="V923" i="6"/>
  <c r="W907" i="6" s="1"/>
  <c r="V919" i="6"/>
  <c r="W903" i="6" s="1"/>
  <c r="V915" i="6"/>
  <c r="W899" i="6" s="1"/>
  <c r="V911" i="6"/>
  <c r="W895" i="6" s="1"/>
  <c r="V907" i="6"/>
  <c r="W891" i="6" s="1"/>
  <c r="V903" i="6"/>
  <c r="W887" i="6" s="1"/>
  <c r="V899" i="6"/>
  <c r="W883" i="6" s="1"/>
  <c r="V895" i="6"/>
  <c r="W879" i="6" s="1"/>
  <c r="V891" i="6"/>
  <c r="W875" i="6" s="1"/>
  <c r="V887" i="6"/>
  <c r="W871" i="6" s="1"/>
  <c r="V883" i="6"/>
  <c r="W867" i="6" s="1"/>
  <c r="V879" i="6"/>
  <c r="W863" i="6" s="1"/>
  <c r="V875" i="6"/>
  <c r="W859" i="6" s="1"/>
  <c r="V871" i="6"/>
  <c r="W855" i="6" s="1"/>
  <c r="V867" i="6"/>
  <c r="W851" i="6" s="1"/>
  <c r="V863" i="6"/>
  <c r="W847" i="6" s="1"/>
  <c r="V859" i="6"/>
  <c r="W843" i="6" s="1"/>
  <c r="V855" i="6"/>
  <c r="W839" i="6" s="1"/>
  <c r="V851" i="6"/>
  <c r="W835" i="6" s="1"/>
  <c r="V847" i="6"/>
  <c r="W831" i="6" s="1"/>
  <c r="V843" i="6"/>
  <c r="W827" i="6" s="1"/>
  <c r="V839" i="6"/>
  <c r="W823" i="6" s="1"/>
  <c r="V835" i="6"/>
  <c r="W819" i="6" s="1"/>
  <c r="V831" i="6"/>
  <c r="W815" i="6" s="1"/>
  <c r="V827" i="6"/>
  <c r="W811" i="6" s="1"/>
  <c r="V823" i="6"/>
  <c r="W807" i="6" s="1"/>
  <c r="V819" i="6"/>
  <c r="W803" i="6" s="1"/>
  <c r="V815" i="6"/>
  <c r="W799" i="6" s="1"/>
  <c r="V811" i="6"/>
  <c r="W795" i="6" s="1"/>
  <c r="V807" i="6"/>
  <c r="W791" i="6" s="1"/>
  <c r="V803" i="6"/>
  <c r="W787" i="6" s="1"/>
  <c r="V799" i="6"/>
  <c r="W783" i="6" s="1"/>
  <c r="V795" i="6"/>
  <c r="W779" i="6" s="1"/>
  <c r="V791" i="6"/>
  <c r="W775" i="6" s="1"/>
  <c r="V787" i="6"/>
  <c r="W771" i="6" s="1"/>
  <c r="V783" i="6"/>
  <c r="W767" i="6" s="1"/>
  <c r="V779" i="6"/>
  <c r="W763" i="6" s="1"/>
  <c r="V775" i="6"/>
  <c r="W759" i="6" s="1"/>
  <c r="V771" i="6"/>
  <c r="W755" i="6" s="1"/>
  <c r="V767" i="6"/>
  <c r="W751" i="6" s="1"/>
  <c r="V763" i="6"/>
  <c r="W747" i="6" s="1"/>
  <c r="V759" i="6"/>
  <c r="W743" i="6" s="1"/>
  <c r="V755" i="6"/>
  <c r="W739" i="6" s="1"/>
  <c r="V751" i="6"/>
  <c r="W735" i="6" s="1"/>
  <c r="V747" i="6"/>
  <c r="W731" i="6" s="1"/>
  <c r="V743" i="6"/>
  <c r="W727" i="6" s="1"/>
  <c r="V739" i="6"/>
  <c r="W723" i="6" s="1"/>
  <c r="V735" i="6"/>
  <c r="W719" i="6" s="1"/>
  <c r="V731" i="6"/>
  <c r="W715" i="6" s="1"/>
  <c r="V727" i="6"/>
  <c r="W711" i="6" s="1"/>
  <c r="V723" i="6"/>
  <c r="W707" i="6" s="1"/>
  <c r="V719" i="6"/>
  <c r="W703" i="6" s="1"/>
  <c r="V715" i="6"/>
  <c r="W699" i="6" s="1"/>
  <c r="V711" i="6"/>
  <c r="W695" i="6" s="1"/>
  <c r="V707" i="6"/>
  <c r="W691" i="6" s="1"/>
  <c r="V703" i="6"/>
  <c r="W687" i="6" s="1"/>
  <c r="V699" i="6"/>
  <c r="W683" i="6" s="1"/>
  <c r="V695" i="6"/>
  <c r="W679" i="6" s="1"/>
  <c r="V691" i="6"/>
  <c r="W675" i="6" s="1"/>
  <c r="V687" i="6"/>
  <c r="W671" i="6" s="1"/>
  <c r="V683" i="6"/>
  <c r="W667" i="6" s="1"/>
  <c r="V679" i="6"/>
  <c r="W663" i="6" s="1"/>
  <c r="V675" i="6"/>
  <c r="W659" i="6" s="1"/>
  <c r="V671" i="6"/>
  <c r="W655" i="6" s="1"/>
  <c r="V667" i="6"/>
  <c r="W651" i="6" s="1"/>
  <c r="V663" i="6"/>
  <c r="W647" i="6" s="1"/>
  <c r="V659" i="6"/>
  <c r="W643" i="6" s="1"/>
  <c r="V655" i="6"/>
  <c r="W639" i="6" s="1"/>
  <c r="V651" i="6"/>
  <c r="W635" i="6" s="1"/>
  <c r="V647" i="6"/>
  <c r="W631" i="6" s="1"/>
  <c r="V643" i="6"/>
  <c r="W627" i="6" s="1"/>
  <c r="V639" i="6"/>
  <c r="W623" i="6" s="1"/>
  <c r="V635" i="6"/>
  <c r="W619" i="6" s="1"/>
  <c r="V631" i="6"/>
  <c r="W615" i="6" s="1"/>
  <c r="V627" i="6"/>
  <c r="W611" i="6" s="1"/>
  <c r="V623" i="6"/>
  <c r="W607" i="6" s="1"/>
  <c r="V619" i="6"/>
  <c r="W603" i="6" s="1"/>
  <c r="V615" i="6"/>
  <c r="W599" i="6" s="1"/>
  <c r="V611" i="6"/>
  <c r="W595" i="6" s="1"/>
  <c r="V607" i="6"/>
  <c r="W591" i="6" s="1"/>
  <c r="V603" i="6"/>
  <c r="W587" i="6" s="1"/>
  <c r="V599" i="6"/>
  <c r="W583" i="6" s="1"/>
  <c r="V595" i="6"/>
  <c r="W579" i="6" s="1"/>
  <c r="V591" i="6"/>
  <c r="W575" i="6" s="1"/>
  <c r="V587" i="6"/>
  <c r="W571" i="6" s="1"/>
  <c r="V583" i="6"/>
  <c r="W567" i="6" s="1"/>
  <c r="V579" i="6"/>
  <c r="W563" i="6" s="1"/>
  <c r="V575" i="6"/>
  <c r="W559" i="6" s="1"/>
  <c r="V571" i="6"/>
  <c r="W555" i="6" s="1"/>
  <c r="V567" i="6"/>
  <c r="W551" i="6" s="1"/>
  <c r="V563" i="6"/>
  <c r="W547" i="6" s="1"/>
  <c r="V559" i="6"/>
  <c r="W543" i="6" s="1"/>
  <c r="V555" i="6"/>
  <c r="W539" i="6" s="1"/>
  <c r="V551" i="6"/>
  <c r="W535" i="6" s="1"/>
  <c r="V547" i="6"/>
  <c r="W531" i="6" s="1"/>
  <c r="V543" i="6"/>
  <c r="W527" i="6" s="1"/>
  <c r="V539" i="6"/>
  <c r="W523" i="6" s="1"/>
  <c r="V535" i="6"/>
  <c r="W519" i="6" s="1"/>
  <c r="V531" i="6"/>
  <c r="W515" i="6" s="1"/>
  <c r="V527" i="6"/>
  <c r="W511" i="6" s="1"/>
  <c r="V523" i="6"/>
  <c r="W507" i="6" s="1"/>
  <c r="V519" i="6"/>
  <c r="W503" i="6" s="1"/>
  <c r="V515" i="6"/>
  <c r="W499" i="6" s="1"/>
  <c r="V511" i="6"/>
  <c r="W495" i="6" s="1"/>
  <c r="V507" i="6"/>
  <c r="W491" i="6" s="1"/>
  <c r="V503" i="6"/>
  <c r="W487" i="6" s="1"/>
  <c r="V499" i="6"/>
  <c r="W483" i="6" s="1"/>
  <c r="V495" i="6"/>
  <c r="W479" i="6" s="1"/>
  <c r="V491" i="6"/>
  <c r="W475" i="6" s="1"/>
  <c r="V487" i="6"/>
  <c r="W471" i="6" s="1"/>
  <c r="V483" i="6"/>
  <c r="W467" i="6" s="1"/>
  <c r="V479" i="6"/>
  <c r="W463" i="6" s="1"/>
  <c r="V475" i="6"/>
  <c r="W459" i="6" s="1"/>
  <c r="V471" i="6"/>
  <c r="W455" i="6" s="1"/>
  <c r="V467" i="6"/>
  <c r="W451" i="6" s="1"/>
  <c r="V463" i="6"/>
  <c r="W447" i="6" s="1"/>
  <c r="V459" i="6"/>
  <c r="W443" i="6" s="1"/>
  <c r="V455" i="6"/>
  <c r="W439" i="6" s="1"/>
  <c r="V451" i="6"/>
  <c r="W435" i="6" s="1"/>
  <c r="V447" i="6"/>
  <c r="W431" i="6" s="1"/>
  <c r="V443" i="6"/>
  <c r="W427" i="6" s="1"/>
  <c r="V439" i="6"/>
  <c r="W423" i="6" s="1"/>
  <c r="V435" i="6"/>
  <c r="W419" i="6" s="1"/>
  <c r="V431" i="6"/>
  <c r="W415" i="6" s="1"/>
  <c r="V427" i="6"/>
  <c r="W411" i="6" s="1"/>
  <c r="V423" i="6"/>
  <c r="W407" i="6" s="1"/>
  <c r="V419" i="6"/>
  <c r="W403" i="6" s="1"/>
  <c r="V415" i="6"/>
  <c r="W399" i="6" s="1"/>
  <c r="V411" i="6"/>
  <c r="W395" i="6" s="1"/>
  <c r="V407" i="6"/>
  <c r="W391" i="6" s="1"/>
  <c r="V403" i="6"/>
  <c r="W387" i="6" s="1"/>
  <c r="V399" i="6"/>
  <c r="W383" i="6" s="1"/>
  <c r="V395" i="6"/>
  <c r="W379" i="6" s="1"/>
  <c r="V391" i="6"/>
  <c r="W375" i="6" s="1"/>
  <c r="V387" i="6"/>
  <c r="W371" i="6" s="1"/>
  <c r="V383" i="6"/>
  <c r="W367" i="6" s="1"/>
  <c r="V379" i="6"/>
  <c r="W363" i="6" s="1"/>
  <c r="V375" i="6"/>
  <c r="W359" i="6" s="1"/>
  <c r="V371" i="6"/>
  <c r="W355" i="6" s="1"/>
  <c r="V367" i="6"/>
  <c r="W351" i="6" s="1"/>
  <c r="V363" i="6"/>
  <c r="W347" i="6" s="1"/>
  <c r="V359" i="6"/>
  <c r="W343" i="6" s="1"/>
  <c r="V355" i="6"/>
  <c r="W339" i="6" s="1"/>
  <c r="V351" i="6"/>
  <c r="W335" i="6" s="1"/>
  <c r="V347" i="6"/>
  <c r="W331" i="6" s="1"/>
  <c r="V343" i="6"/>
  <c r="W327" i="6" s="1"/>
  <c r="V339" i="6"/>
  <c r="W323" i="6" s="1"/>
  <c r="V335" i="6"/>
  <c r="W319" i="6" s="1"/>
  <c r="V331" i="6"/>
  <c r="W315" i="6" s="1"/>
  <c r="V327" i="6"/>
  <c r="W311" i="6" s="1"/>
  <c r="V323" i="6"/>
  <c r="W307" i="6" s="1"/>
  <c r="V319" i="6"/>
  <c r="W303" i="6" s="1"/>
  <c r="V315" i="6"/>
  <c r="W299" i="6" s="1"/>
  <c r="V311" i="6"/>
  <c r="W295" i="6" s="1"/>
  <c r="V307" i="6"/>
  <c r="W291" i="6" s="1"/>
  <c r="V303" i="6"/>
  <c r="W287" i="6" s="1"/>
  <c r="V299" i="6"/>
  <c r="W283" i="6" s="1"/>
  <c r="V295" i="6"/>
  <c r="W279" i="6" s="1"/>
  <c r="V291" i="6"/>
  <c r="W275" i="6" s="1"/>
  <c r="V287" i="6"/>
  <c r="W271" i="6" s="1"/>
  <c r="V283" i="6"/>
  <c r="W267" i="6" s="1"/>
  <c r="V279" i="6"/>
  <c r="W263" i="6" s="1"/>
  <c r="V275" i="6"/>
  <c r="W259" i="6" s="1"/>
  <c r="V271" i="6"/>
  <c r="W255" i="6" s="1"/>
  <c r="V267" i="6"/>
  <c r="W251" i="6" s="1"/>
  <c r="V263" i="6"/>
  <c r="W247" i="6" s="1"/>
  <c r="V259" i="6"/>
  <c r="W243" i="6" s="1"/>
  <c r="V255" i="6"/>
  <c r="W239" i="6" s="1"/>
  <c r="V251" i="6"/>
  <c r="W235" i="6" s="1"/>
  <c r="V247" i="6"/>
  <c r="W231" i="6" s="1"/>
  <c r="V243" i="6"/>
  <c r="W227" i="6" s="1"/>
  <c r="V239" i="6"/>
  <c r="W223" i="6" s="1"/>
  <c r="V235" i="6"/>
  <c r="W219" i="6" s="1"/>
  <c r="V231" i="6"/>
  <c r="W215" i="6" s="1"/>
  <c r="V227" i="6"/>
  <c r="W211" i="6" s="1"/>
  <c r="V223" i="6"/>
  <c r="W207" i="6" s="1"/>
  <c r="V219" i="6"/>
  <c r="W203" i="6" s="1"/>
  <c r="V215" i="6"/>
  <c r="W199" i="6" s="1"/>
  <c r="V211" i="6"/>
  <c r="W195" i="6" s="1"/>
  <c r="V207" i="6"/>
  <c r="W191" i="6" s="1"/>
  <c r="V203" i="6"/>
  <c r="W187" i="6" s="1"/>
  <c r="V199" i="6"/>
  <c r="W183" i="6" s="1"/>
  <c r="V195" i="6"/>
  <c r="W179" i="6" s="1"/>
  <c r="V191" i="6"/>
  <c r="W175" i="6" s="1"/>
  <c r="V187" i="6"/>
  <c r="W171" i="6" s="1"/>
  <c r="V183" i="6"/>
  <c r="W167" i="6" s="1"/>
  <c r="V179" i="6"/>
  <c r="W163" i="6" s="1"/>
  <c r="V175" i="6"/>
  <c r="W159" i="6" s="1"/>
  <c r="V171" i="6"/>
  <c r="W155" i="6" s="1"/>
  <c r="V167" i="6"/>
  <c r="W151" i="6" s="1"/>
  <c r="V163" i="6"/>
  <c r="W147" i="6" s="1"/>
  <c r="V159" i="6"/>
  <c r="W143" i="6" s="1"/>
  <c r="V155" i="6"/>
  <c r="W139" i="6" s="1"/>
  <c r="V151" i="6"/>
  <c r="W135" i="6" s="1"/>
  <c r="V147" i="6"/>
  <c r="W131" i="6" s="1"/>
  <c r="V143" i="6"/>
  <c r="W127" i="6" s="1"/>
  <c r="V139" i="6"/>
  <c r="W123" i="6" s="1"/>
  <c r="V135" i="6"/>
  <c r="W119" i="6" s="1"/>
  <c r="V131" i="6"/>
  <c r="W115" i="6" s="1"/>
  <c r="V127" i="6"/>
  <c r="W111" i="6" s="1"/>
  <c r="V123" i="6"/>
  <c r="W107" i="6" s="1"/>
  <c r="V119" i="6"/>
  <c r="W103" i="6" s="1"/>
  <c r="V115" i="6"/>
  <c r="W99" i="6" s="1"/>
  <c r="V111" i="6"/>
  <c r="W95" i="6" s="1"/>
  <c r="V107" i="6"/>
  <c r="W91" i="6" s="1"/>
  <c r="V103" i="6"/>
  <c r="W87" i="6" s="1"/>
  <c r="V99" i="6"/>
  <c r="W83" i="6" s="1"/>
  <c r="V95" i="6"/>
  <c r="W79" i="6" s="1"/>
  <c r="V91" i="6"/>
  <c r="W75" i="6" s="1"/>
  <c r="V87" i="6"/>
  <c r="W71" i="6" s="1"/>
  <c r="V83" i="6"/>
  <c r="W67" i="6" s="1"/>
  <c r="V79" i="6"/>
  <c r="W63" i="6" s="1"/>
  <c r="V75" i="6"/>
  <c r="W59" i="6" s="1"/>
  <c r="V71" i="6"/>
  <c r="W55" i="6" s="1"/>
  <c r="V67" i="6"/>
  <c r="W51" i="6" s="1"/>
  <c r="V63" i="6"/>
  <c r="W47" i="6" s="1"/>
  <c r="V59" i="6"/>
  <c r="W43" i="6" s="1"/>
  <c r="V55" i="6"/>
  <c r="W39" i="6" s="1"/>
  <c r="V51" i="6"/>
  <c r="W35" i="6" s="1"/>
  <c r="V47" i="6"/>
  <c r="W31" i="6" s="1"/>
  <c r="V43" i="6"/>
  <c r="W27" i="6" s="1"/>
  <c r="V39" i="6"/>
  <c r="W23" i="6" s="1"/>
  <c r="V35" i="6"/>
  <c r="W19" i="6" s="1"/>
  <c r="V31" i="6"/>
  <c r="W15" i="6" s="1"/>
  <c r="V27" i="6"/>
  <c r="W11" i="6" s="1"/>
  <c r="V23" i="6"/>
  <c r="W7" i="6" s="1"/>
  <c r="V19" i="6"/>
  <c r="W3" i="6" s="1"/>
  <c r="V15" i="6"/>
  <c r="V11" i="6"/>
  <c r="V7" i="6"/>
  <c r="V3" i="6"/>
  <c r="V306" i="6"/>
  <c r="W290" i="6" s="1"/>
  <c r="V302" i="6"/>
  <c r="W286" i="6" s="1"/>
  <c r="V294" i="6"/>
  <c r="W278" i="6" s="1"/>
  <c r="V290" i="6"/>
  <c r="W274" i="6" s="1"/>
  <c r="V274" i="6"/>
  <c r="W258" i="6" s="1"/>
  <c r="V258" i="6"/>
  <c r="W242" i="6" s="1"/>
  <c r="V242" i="6"/>
  <c r="W226" i="6" s="1"/>
  <c r="V234" i="6"/>
  <c r="W218" i="6" s="1"/>
  <c r="V226" i="6"/>
  <c r="W210" i="6" s="1"/>
  <c r="V210" i="6"/>
  <c r="W194" i="6" s="1"/>
  <c r="V194" i="6"/>
  <c r="W178" i="6" s="1"/>
  <c r="V178" i="6"/>
  <c r="W162" i="6" s="1"/>
  <c r="V170" i="6"/>
  <c r="W154" i="6" s="1"/>
  <c r="V162" i="6"/>
  <c r="W146" i="6" s="1"/>
  <c r="V146" i="6"/>
  <c r="W130" i="6" s="1"/>
  <c r="V130" i="6"/>
  <c r="W114" i="6" s="1"/>
  <c r="V114" i="6"/>
  <c r="W98" i="6" s="1"/>
  <c r="V98" i="6"/>
  <c r="W82" i="6" s="1"/>
  <c r="V82" i="6"/>
  <c r="W66" i="6" s="1"/>
  <c r="V66" i="6"/>
  <c r="W50" i="6" s="1"/>
  <c r="V50" i="6"/>
  <c r="W34" i="6" s="1"/>
  <c r="V42" i="6"/>
  <c r="W26" i="6" s="1"/>
  <c r="V34" i="6"/>
  <c r="W18" i="6" s="1"/>
  <c r="V18" i="6"/>
  <c r="W2" i="6" s="1"/>
  <c r="V2" i="6"/>
  <c r="V976" i="6"/>
  <c r="W960" i="6" s="1"/>
  <c r="V972" i="6"/>
  <c r="W956" i="6" s="1"/>
  <c r="V968" i="6"/>
  <c r="W952" i="6" s="1"/>
  <c r="V964" i="6"/>
  <c r="W948" i="6" s="1"/>
  <c r="V960" i="6"/>
  <c r="W944" i="6" s="1"/>
  <c r="V956" i="6"/>
  <c r="W940" i="6" s="1"/>
  <c r="V952" i="6"/>
  <c r="W936" i="6" s="1"/>
  <c r="V948" i="6"/>
  <c r="W932" i="6" s="1"/>
  <c r="V944" i="6"/>
  <c r="W928" i="6" s="1"/>
  <c r="V940" i="6"/>
  <c r="W924" i="6" s="1"/>
  <c r="V936" i="6"/>
  <c r="W920" i="6" s="1"/>
  <c r="V932" i="6"/>
  <c r="W916" i="6" s="1"/>
  <c r="V928" i="6"/>
  <c r="W912" i="6" s="1"/>
  <c r="V924" i="6"/>
  <c r="W908" i="6" s="1"/>
  <c r="V920" i="6"/>
  <c r="W904" i="6" s="1"/>
  <c r="V916" i="6"/>
  <c r="W900" i="6" s="1"/>
  <c r="V912" i="6"/>
  <c r="W896" i="6" s="1"/>
  <c r="V908" i="6"/>
  <c r="W892" i="6" s="1"/>
  <c r="V904" i="6"/>
  <c r="W888" i="6" s="1"/>
  <c r="V900" i="6"/>
  <c r="W884" i="6" s="1"/>
  <c r="V896" i="6"/>
  <c r="W880" i="6" s="1"/>
  <c r="V892" i="6"/>
  <c r="W876" i="6" s="1"/>
  <c r="V888" i="6"/>
  <c r="W872" i="6" s="1"/>
  <c r="V884" i="6"/>
  <c r="W868" i="6" s="1"/>
  <c r="V880" i="6"/>
  <c r="W864" i="6" s="1"/>
  <c r="V876" i="6"/>
  <c r="W860" i="6" s="1"/>
  <c r="V872" i="6"/>
  <c r="W856" i="6" s="1"/>
  <c r="V868" i="6"/>
  <c r="W852" i="6" s="1"/>
  <c r="V864" i="6"/>
  <c r="W848" i="6" s="1"/>
  <c r="V860" i="6"/>
  <c r="W844" i="6" s="1"/>
  <c r="V856" i="6"/>
  <c r="W840" i="6" s="1"/>
  <c r="V852" i="6"/>
  <c r="W836" i="6" s="1"/>
  <c r="V848" i="6"/>
  <c r="W832" i="6" s="1"/>
  <c r="V844" i="6"/>
  <c r="W828" i="6" s="1"/>
  <c r="V840" i="6"/>
  <c r="W824" i="6" s="1"/>
  <c r="V836" i="6"/>
  <c r="W820" i="6" s="1"/>
  <c r="V832" i="6"/>
  <c r="W816" i="6" s="1"/>
  <c r="V828" i="6"/>
  <c r="W812" i="6" s="1"/>
  <c r="V824" i="6"/>
  <c r="W808" i="6" s="1"/>
  <c r="V820" i="6"/>
  <c r="W804" i="6" s="1"/>
  <c r="V816" i="6"/>
  <c r="W800" i="6" s="1"/>
  <c r="V812" i="6"/>
  <c r="W796" i="6" s="1"/>
  <c r="V808" i="6"/>
  <c r="W792" i="6" s="1"/>
  <c r="V804" i="6"/>
  <c r="W788" i="6" s="1"/>
  <c r="V800" i="6"/>
  <c r="W784" i="6" s="1"/>
  <c r="V796" i="6"/>
  <c r="W780" i="6" s="1"/>
  <c r="V792" i="6"/>
  <c r="W776" i="6" s="1"/>
  <c r="V788" i="6"/>
  <c r="W772" i="6" s="1"/>
  <c r="V784" i="6"/>
  <c r="W768" i="6" s="1"/>
  <c r="V780" i="6"/>
  <c r="W764" i="6" s="1"/>
  <c r="V776" i="6"/>
  <c r="W760" i="6" s="1"/>
  <c r="V772" i="6"/>
  <c r="W756" i="6" s="1"/>
  <c r="V768" i="6"/>
  <c r="W752" i="6" s="1"/>
  <c r="V764" i="6"/>
  <c r="W748" i="6" s="1"/>
  <c r="V760" i="6"/>
  <c r="W744" i="6" s="1"/>
  <c r="V756" i="6"/>
  <c r="W740" i="6" s="1"/>
  <c r="V752" i="6"/>
  <c r="W736" i="6" s="1"/>
  <c r="V748" i="6"/>
  <c r="W732" i="6" s="1"/>
  <c r="V744" i="6"/>
  <c r="W728" i="6" s="1"/>
  <c r="V740" i="6"/>
  <c r="W724" i="6" s="1"/>
  <c r="V736" i="6"/>
  <c r="W720" i="6" s="1"/>
  <c r="V732" i="6"/>
  <c r="W716" i="6" s="1"/>
  <c r="V728" i="6"/>
  <c r="W712" i="6" s="1"/>
  <c r="V724" i="6"/>
  <c r="W708" i="6" s="1"/>
  <c r="V720" i="6"/>
  <c r="W704" i="6" s="1"/>
  <c r="V716" i="6"/>
  <c r="W700" i="6" s="1"/>
  <c r="V712" i="6"/>
  <c r="W696" i="6" s="1"/>
  <c r="V708" i="6"/>
  <c r="W692" i="6" s="1"/>
  <c r="V704" i="6"/>
  <c r="W688" i="6" s="1"/>
  <c r="V700" i="6"/>
  <c r="W684" i="6" s="1"/>
  <c r="V696" i="6"/>
  <c r="W680" i="6" s="1"/>
  <c r="V692" i="6"/>
  <c r="W676" i="6" s="1"/>
  <c r="V688" i="6"/>
  <c r="W672" i="6" s="1"/>
  <c r="V684" i="6"/>
  <c r="W668" i="6" s="1"/>
  <c r="V680" i="6"/>
  <c r="W664" i="6" s="1"/>
  <c r="V676" i="6"/>
  <c r="W660" i="6" s="1"/>
  <c r="V672" i="6"/>
  <c r="W656" i="6" s="1"/>
  <c r="V668" i="6"/>
  <c r="W652" i="6" s="1"/>
  <c r="V664" i="6"/>
  <c r="W648" i="6" s="1"/>
  <c r="V660" i="6"/>
  <c r="W644" i="6" s="1"/>
  <c r="V656" i="6"/>
  <c r="W640" i="6" s="1"/>
  <c r="V652" i="6"/>
  <c r="W636" i="6" s="1"/>
  <c r="V648" i="6"/>
  <c r="W632" i="6" s="1"/>
  <c r="V644" i="6"/>
  <c r="W628" i="6" s="1"/>
  <c r="V640" i="6"/>
  <c r="W624" i="6" s="1"/>
  <c r="V636" i="6"/>
  <c r="W620" i="6" s="1"/>
  <c r="V632" i="6"/>
  <c r="W616" i="6" s="1"/>
  <c r="V628" i="6"/>
  <c r="W612" i="6" s="1"/>
  <c r="V624" i="6"/>
  <c r="W608" i="6" s="1"/>
  <c r="V620" i="6"/>
  <c r="W604" i="6" s="1"/>
  <c r="V616" i="6"/>
  <c r="W600" i="6" s="1"/>
  <c r="V612" i="6"/>
  <c r="W596" i="6" s="1"/>
  <c r="V608" i="6"/>
  <c r="W592" i="6" s="1"/>
  <c r="V604" i="6"/>
  <c r="W588" i="6" s="1"/>
  <c r="V600" i="6"/>
  <c r="W584" i="6" s="1"/>
  <c r="V596" i="6"/>
  <c r="W580" i="6" s="1"/>
  <c r="V592" i="6"/>
  <c r="W576" i="6" s="1"/>
  <c r="V588" i="6"/>
  <c r="W572" i="6" s="1"/>
  <c r="V584" i="6"/>
  <c r="W568" i="6" s="1"/>
  <c r="V580" i="6"/>
  <c r="W564" i="6" s="1"/>
  <c r="V576" i="6"/>
  <c r="W560" i="6" s="1"/>
  <c r="V572" i="6"/>
  <c r="W556" i="6" s="1"/>
  <c r="V568" i="6"/>
  <c r="W552" i="6" s="1"/>
  <c r="V564" i="6"/>
  <c r="W548" i="6" s="1"/>
  <c r="V560" i="6"/>
  <c r="W544" i="6" s="1"/>
  <c r="V556" i="6"/>
  <c r="W540" i="6" s="1"/>
  <c r="V552" i="6"/>
  <c r="W536" i="6" s="1"/>
  <c r="V548" i="6"/>
  <c r="W532" i="6" s="1"/>
  <c r="V544" i="6"/>
  <c r="W528" i="6" s="1"/>
  <c r="V540" i="6"/>
  <c r="W524" i="6" s="1"/>
  <c r="V536" i="6"/>
  <c r="W520" i="6" s="1"/>
  <c r="V532" i="6"/>
  <c r="W516" i="6" s="1"/>
  <c r="V528" i="6"/>
  <c r="W512" i="6" s="1"/>
  <c r="V524" i="6"/>
  <c r="W508" i="6" s="1"/>
  <c r="V520" i="6"/>
  <c r="W504" i="6" s="1"/>
  <c r="V516" i="6"/>
  <c r="W500" i="6" s="1"/>
  <c r="V512" i="6"/>
  <c r="W496" i="6" s="1"/>
  <c r="V508" i="6"/>
  <c r="W492" i="6" s="1"/>
  <c r="V504" i="6"/>
  <c r="W488" i="6" s="1"/>
  <c r="V500" i="6"/>
  <c r="W484" i="6" s="1"/>
  <c r="V496" i="6"/>
  <c r="W480" i="6" s="1"/>
  <c r="V492" i="6"/>
  <c r="W476" i="6" s="1"/>
  <c r="V488" i="6"/>
  <c r="W472" i="6" s="1"/>
  <c r="V484" i="6"/>
  <c r="W468" i="6" s="1"/>
  <c r="V480" i="6"/>
  <c r="W464" i="6" s="1"/>
  <c r="V476" i="6"/>
  <c r="W460" i="6" s="1"/>
  <c r="V472" i="6"/>
  <c r="W456" i="6" s="1"/>
  <c r="V468" i="6"/>
  <c r="W452" i="6" s="1"/>
  <c r="V464" i="6"/>
  <c r="W448" i="6" s="1"/>
  <c r="V460" i="6"/>
  <c r="W444" i="6" s="1"/>
  <c r="V456" i="6"/>
  <c r="W440" i="6" s="1"/>
  <c r="V452" i="6"/>
  <c r="W436" i="6" s="1"/>
  <c r="V448" i="6"/>
  <c r="W432" i="6" s="1"/>
  <c r="V444" i="6"/>
  <c r="W428" i="6" s="1"/>
  <c r="V440" i="6"/>
  <c r="W424" i="6" s="1"/>
  <c r="V436" i="6"/>
  <c r="W420" i="6" s="1"/>
  <c r="V432" i="6"/>
  <c r="W416" i="6" s="1"/>
  <c r="V428" i="6"/>
  <c r="W412" i="6" s="1"/>
  <c r="V424" i="6"/>
  <c r="W408" i="6" s="1"/>
  <c r="V420" i="6"/>
  <c r="W404" i="6" s="1"/>
  <c r="V416" i="6"/>
  <c r="W400" i="6" s="1"/>
  <c r="V412" i="6"/>
  <c r="W396" i="6" s="1"/>
  <c r="V408" i="6"/>
  <c r="W392" i="6" s="1"/>
  <c r="V404" i="6"/>
  <c r="W388" i="6" s="1"/>
  <c r="V400" i="6"/>
  <c r="W384" i="6" s="1"/>
  <c r="V396" i="6"/>
  <c r="W380" i="6" s="1"/>
  <c r="V392" i="6"/>
  <c r="W376" i="6" s="1"/>
  <c r="V388" i="6"/>
  <c r="W372" i="6" s="1"/>
  <c r="V384" i="6"/>
  <c r="W368" i="6" s="1"/>
  <c r="V380" i="6"/>
  <c r="W364" i="6" s="1"/>
  <c r="V376" i="6"/>
  <c r="W360" i="6" s="1"/>
  <c r="V372" i="6"/>
  <c r="W356" i="6" s="1"/>
  <c r="V368" i="6"/>
  <c r="W352" i="6" s="1"/>
  <c r="V364" i="6"/>
  <c r="W348" i="6" s="1"/>
  <c r="V360" i="6"/>
  <c r="W344" i="6" s="1"/>
  <c r="V356" i="6"/>
  <c r="W340" i="6" s="1"/>
  <c r="V352" i="6"/>
  <c r="W336" i="6" s="1"/>
  <c r="V348" i="6"/>
  <c r="W332" i="6" s="1"/>
  <c r="V344" i="6"/>
  <c r="W328" i="6" s="1"/>
  <c r="V340" i="6"/>
  <c r="W324" i="6" s="1"/>
  <c r="V336" i="6"/>
  <c r="W320" i="6" s="1"/>
  <c r="V332" i="6"/>
  <c r="W316" i="6" s="1"/>
  <c r="V328" i="6"/>
  <c r="W312" i="6" s="1"/>
  <c r="V324" i="6"/>
  <c r="W308" i="6" s="1"/>
  <c r="V320" i="6"/>
  <c r="W304" i="6" s="1"/>
  <c r="V316" i="6"/>
  <c r="W300" i="6" s="1"/>
  <c r="V312" i="6"/>
  <c r="W296" i="6" s="1"/>
  <c r="V308" i="6"/>
  <c r="W292" i="6" s="1"/>
  <c r="V304" i="6"/>
  <c r="W288" i="6" s="1"/>
  <c r="V300" i="6"/>
  <c r="W284" i="6" s="1"/>
  <c r="V296" i="6"/>
  <c r="W280" i="6" s="1"/>
  <c r="V292" i="6"/>
  <c r="W276" i="6" s="1"/>
  <c r="V288" i="6"/>
  <c r="W272" i="6" s="1"/>
  <c r="V284" i="6"/>
  <c r="W268" i="6" s="1"/>
  <c r="V280" i="6"/>
  <c r="W264" i="6" s="1"/>
  <c r="V276" i="6"/>
  <c r="W260" i="6" s="1"/>
  <c r="V272" i="6"/>
  <c r="W256" i="6" s="1"/>
  <c r="V268" i="6"/>
  <c r="W252" i="6" s="1"/>
  <c r="V264" i="6"/>
  <c r="W248" i="6" s="1"/>
  <c r="V260" i="6"/>
  <c r="W244" i="6" s="1"/>
  <c r="V256" i="6"/>
  <c r="W240" i="6" s="1"/>
  <c r="V252" i="6"/>
  <c r="W236" i="6" s="1"/>
  <c r="V248" i="6"/>
  <c r="W232" i="6" s="1"/>
  <c r="V244" i="6"/>
  <c r="W228" i="6" s="1"/>
  <c r="V240" i="6"/>
  <c r="W224" i="6" s="1"/>
  <c r="V236" i="6"/>
  <c r="W220" i="6" s="1"/>
  <c r="V232" i="6"/>
  <c r="W216" i="6" s="1"/>
  <c r="V228" i="6"/>
  <c r="W212" i="6" s="1"/>
  <c r="V224" i="6"/>
  <c r="W208" i="6" s="1"/>
  <c r="V220" i="6"/>
  <c r="W204" i="6" s="1"/>
  <c r="V216" i="6"/>
  <c r="W200" i="6" s="1"/>
  <c r="V212" i="6"/>
  <c r="W196" i="6" s="1"/>
  <c r="V208" i="6"/>
  <c r="W192" i="6" s="1"/>
  <c r="V204" i="6"/>
  <c r="W188" i="6" s="1"/>
  <c r="V200" i="6"/>
  <c r="W184" i="6" s="1"/>
  <c r="V196" i="6"/>
  <c r="W180" i="6" s="1"/>
  <c r="V192" i="6"/>
  <c r="W176" i="6" s="1"/>
  <c r="V188" i="6"/>
  <c r="W172" i="6" s="1"/>
  <c r="V184" i="6"/>
  <c r="W168" i="6" s="1"/>
  <c r="V180" i="6"/>
  <c r="W164" i="6" s="1"/>
  <c r="V176" i="6"/>
  <c r="W160" i="6" s="1"/>
  <c r="V172" i="6"/>
  <c r="W156" i="6" s="1"/>
  <c r="V168" i="6"/>
  <c r="W152" i="6" s="1"/>
  <c r="V164" i="6"/>
  <c r="W148" i="6" s="1"/>
  <c r="V160" i="6"/>
  <c r="W144" i="6" s="1"/>
  <c r="V156" i="6"/>
  <c r="W140" i="6" s="1"/>
  <c r="V152" i="6"/>
  <c r="W136" i="6" s="1"/>
  <c r="V148" i="6"/>
  <c r="W132" i="6" s="1"/>
  <c r="V144" i="6"/>
  <c r="W128" i="6" s="1"/>
  <c r="V140" i="6"/>
  <c r="W124" i="6" s="1"/>
  <c r="V136" i="6"/>
  <c r="W120" i="6" s="1"/>
  <c r="V132" i="6"/>
  <c r="W116" i="6" s="1"/>
  <c r="V128" i="6"/>
  <c r="W112" i="6" s="1"/>
  <c r="V124" i="6"/>
  <c r="W108" i="6" s="1"/>
  <c r="V120" i="6"/>
  <c r="W104" i="6" s="1"/>
  <c r="V116" i="6"/>
  <c r="W100" i="6" s="1"/>
  <c r="V112" i="6"/>
  <c r="W96" i="6" s="1"/>
  <c r="V108" i="6"/>
  <c r="W92" i="6" s="1"/>
  <c r="V104" i="6"/>
  <c r="W88" i="6" s="1"/>
  <c r="V100" i="6"/>
  <c r="W84" i="6" s="1"/>
  <c r="V96" i="6"/>
  <c r="W80" i="6" s="1"/>
  <c r="V92" i="6"/>
  <c r="W76" i="6" s="1"/>
  <c r="V88" i="6"/>
  <c r="W72" i="6" s="1"/>
  <c r="V84" i="6"/>
  <c r="W68" i="6" s="1"/>
  <c r="V80" i="6"/>
  <c r="W64" i="6" s="1"/>
  <c r="V76" i="6"/>
  <c r="W60" i="6" s="1"/>
  <c r="V72" i="6"/>
  <c r="W56" i="6" s="1"/>
  <c r="V68" i="6"/>
  <c r="W52" i="6" s="1"/>
  <c r="V64" i="6"/>
  <c r="W48" i="6" s="1"/>
  <c r="V60" i="6"/>
  <c r="W44" i="6" s="1"/>
  <c r="V56" i="6"/>
  <c r="W40" i="6" s="1"/>
  <c r="V52" i="6"/>
  <c r="W36" i="6" s="1"/>
  <c r="V48" i="6"/>
  <c r="W32" i="6" s="1"/>
  <c r="V44" i="6"/>
  <c r="W28" i="6" s="1"/>
  <c r="V40" i="6"/>
  <c r="W24" i="6" s="1"/>
  <c r="V36" i="6"/>
  <c r="W20" i="6" s="1"/>
  <c r="V32" i="6"/>
  <c r="W16" i="6" s="1"/>
  <c r="V28" i="6"/>
  <c r="W12" i="6" s="1"/>
  <c r="V24" i="6"/>
  <c r="W8" i="6" s="1"/>
  <c r="V20" i="6"/>
  <c r="W4" i="6" s="1"/>
  <c r="V16" i="6"/>
  <c r="V12" i="6"/>
  <c r="V8" i="6"/>
  <c r="V4" i="6"/>
  <c r="V718" i="6"/>
  <c r="W702" i="6" s="1"/>
  <c r="V710" i="6"/>
  <c r="W694" i="6" s="1"/>
  <c r="V702" i="6"/>
  <c r="W686" i="6" s="1"/>
  <c r="V698" i="6"/>
  <c r="W682" i="6" s="1"/>
  <c r="V694" i="6"/>
  <c r="W678" i="6" s="1"/>
  <c r="V682" i="6"/>
  <c r="W666" i="6" s="1"/>
  <c r="V670" i="6"/>
  <c r="W654" i="6" s="1"/>
  <c r="V666" i="6"/>
  <c r="W650" i="6" s="1"/>
  <c r="V662" i="6"/>
  <c r="W646" i="6" s="1"/>
  <c r="V654" i="6"/>
  <c r="W638" i="6" s="1"/>
  <c r="V646" i="6"/>
  <c r="W630" i="6" s="1"/>
  <c r="V638" i="6"/>
  <c r="W622" i="6" s="1"/>
  <c r="V634" i="6"/>
  <c r="W618" i="6" s="1"/>
  <c r="V630" i="6"/>
  <c r="W614" i="6" s="1"/>
  <c r="V618" i="6"/>
  <c r="W602" i="6" s="1"/>
  <c r="V606" i="6"/>
  <c r="W590" i="6" s="1"/>
  <c r="V602" i="6"/>
  <c r="W586" i="6" s="1"/>
  <c r="V598" i="6"/>
  <c r="W582" i="6" s="1"/>
  <c r="V590" i="6"/>
  <c r="W574" i="6" s="1"/>
  <c r="V582" i="6"/>
  <c r="W566" i="6" s="1"/>
  <c r="V574" i="6"/>
  <c r="W558" i="6" s="1"/>
  <c r="V570" i="6"/>
  <c r="W554" i="6" s="1"/>
  <c r="V566" i="6"/>
  <c r="W550" i="6" s="1"/>
  <c r="V554" i="6"/>
  <c r="W538" i="6" s="1"/>
  <c r="V542" i="6"/>
  <c r="W526" i="6" s="1"/>
  <c r="V538" i="6"/>
  <c r="W522" i="6" s="1"/>
  <c r="V534" i="6"/>
  <c r="W518" i="6" s="1"/>
  <c r="V526" i="6"/>
  <c r="W510" i="6" s="1"/>
  <c r="V522" i="6"/>
  <c r="W506" i="6" s="1"/>
  <c r="V518" i="6"/>
  <c r="W502" i="6" s="1"/>
  <c r="V510" i="6"/>
  <c r="W494" i="6" s="1"/>
  <c r="V506" i="6"/>
  <c r="W490" i="6" s="1"/>
  <c r="V502" i="6"/>
  <c r="W486" i="6" s="1"/>
  <c r="V490" i="6"/>
  <c r="W474" i="6" s="1"/>
  <c r="V478" i="6"/>
  <c r="W462" i="6" s="1"/>
  <c r="V474" i="6"/>
  <c r="W458" i="6" s="1"/>
  <c r="V470" i="6"/>
  <c r="W454" i="6" s="1"/>
  <c r="V462" i="6"/>
  <c r="W446" i="6" s="1"/>
  <c r="V454" i="6"/>
  <c r="W438" i="6" s="1"/>
  <c r="V446" i="6"/>
  <c r="W430" i="6" s="1"/>
  <c r="V442" i="6"/>
  <c r="W426" i="6" s="1"/>
  <c r="V438" i="6"/>
  <c r="W422" i="6" s="1"/>
  <c r="V426" i="6"/>
  <c r="W410" i="6" s="1"/>
  <c r="V414" i="6"/>
  <c r="W398" i="6" s="1"/>
  <c r="V410" i="6"/>
  <c r="W394" i="6" s="1"/>
  <c r="V406" i="6"/>
  <c r="W390" i="6" s="1"/>
  <c r="V398" i="6"/>
  <c r="W382" i="6" s="1"/>
  <c r="V390" i="6"/>
  <c r="W374" i="6" s="1"/>
  <c r="V382" i="6"/>
  <c r="W366" i="6" s="1"/>
  <c r="V378" i="6"/>
  <c r="W362" i="6" s="1"/>
  <c r="V374" i="6"/>
  <c r="W358" i="6" s="1"/>
  <c r="V362" i="6"/>
  <c r="W346" i="6" s="1"/>
  <c r="V350" i="6"/>
  <c r="W334" i="6" s="1"/>
  <c r="V346" i="6"/>
  <c r="W330" i="6" s="1"/>
  <c r="V342" i="6"/>
  <c r="W326" i="6" s="1"/>
  <c r="V334" i="6"/>
  <c r="W318" i="6" s="1"/>
  <c r="V326" i="6"/>
  <c r="W310" i="6" s="1"/>
  <c r="V318" i="6"/>
  <c r="W302" i="6" s="1"/>
  <c r="V314" i="6"/>
  <c r="W298" i="6" s="1"/>
  <c r="V978" i="6"/>
  <c r="W962" i="6" s="1"/>
  <c r="V974" i="6"/>
  <c r="W958" i="6" s="1"/>
  <c r="V970" i="6"/>
  <c r="W954" i="6" s="1"/>
  <c r="V966" i="6"/>
  <c r="W950" i="6" s="1"/>
  <c r="V962" i="6"/>
  <c r="W946" i="6" s="1"/>
  <c r="V958" i="6"/>
  <c r="W942" i="6" s="1"/>
  <c r="V954" i="6"/>
  <c r="W938" i="6" s="1"/>
  <c r="V950" i="6"/>
  <c r="W934" i="6" s="1"/>
  <c r="V946" i="6"/>
  <c r="W930" i="6" s="1"/>
  <c r="V942" i="6"/>
  <c r="W926" i="6" s="1"/>
  <c r="V938" i="6"/>
  <c r="W922" i="6" s="1"/>
  <c r="V934" i="6"/>
  <c r="W918" i="6" s="1"/>
  <c r="V930" i="6"/>
  <c r="W914" i="6" s="1"/>
  <c r="V926" i="6"/>
  <c r="W910" i="6" s="1"/>
  <c r="V922" i="6"/>
  <c r="W906" i="6" s="1"/>
  <c r="V918" i="6"/>
  <c r="W902" i="6" s="1"/>
  <c r="V914" i="6"/>
  <c r="W898" i="6" s="1"/>
  <c r="V910" i="6"/>
  <c r="W894" i="6" s="1"/>
  <c r="V906" i="6"/>
  <c r="W890" i="6" s="1"/>
  <c r="V902" i="6"/>
  <c r="W886" i="6" s="1"/>
  <c r="V898" i="6"/>
  <c r="W882" i="6" s="1"/>
  <c r="V894" i="6"/>
  <c r="W878" i="6" s="1"/>
  <c r="V890" i="6"/>
  <c r="W874" i="6" s="1"/>
  <c r="V886" i="6"/>
  <c r="W870" i="6" s="1"/>
  <c r="V882" i="6"/>
  <c r="W866" i="6" s="1"/>
  <c r="V878" i="6"/>
  <c r="W862" i="6" s="1"/>
  <c r="V874" i="6"/>
  <c r="W858" i="6" s="1"/>
  <c r="V870" i="6"/>
  <c r="W854" i="6" s="1"/>
  <c r="V866" i="6"/>
  <c r="W850" i="6" s="1"/>
  <c r="V862" i="6"/>
  <c r="W846" i="6" s="1"/>
  <c r="V550" i="6"/>
  <c r="W534" i="6" s="1"/>
  <c r="V494" i="6"/>
  <c r="W478" i="6" s="1"/>
  <c r="V858" i="6"/>
  <c r="W842" i="6" s="1"/>
  <c r="V854" i="6"/>
  <c r="W838" i="6" s="1"/>
  <c r="V850" i="6"/>
  <c r="W834" i="6" s="1"/>
  <c r="V846" i="6"/>
  <c r="W830" i="6" s="1"/>
  <c r="V842" i="6"/>
  <c r="W826" i="6" s="1"/>
  <c r="V838" i="6"/>
  <c r="W822" i="6" s="1"/>
  <c r="V834" i="6"/>
  <c r="W818" i="6" s="1"/>
  <c r="V830" i="6"/>
  <c r="W814" i="6" s="1"/>
  <c r="V826" i="6"/>
  <c r="W810" i="6" s="1"/>
  <c r="V822" i="6"/>
  <c r="W806" i="6" s="1"/>
  <c r="V818" i="6"/>
  <c r="W802" i="6" s="1"/>
  <c r="V814" i="6"/>
  <c r="W798" i="6" s="1"/>
  <c r="V810" i="6"/>
  <c r="W794" i="6" s="1"/>
  <c r="V806" i="6"/>
  <c r="W790" i="6" s="1"/>
  <c r="V802" i="6"/>
  <c r="W786" i="6" s="1"/>
  <c r="V798" i="6"/>
  <c r="W782" i="6" s="1"/>
  <c r="V794" i="6"/>
  <c r="W778" i="6" s="1"/>
  <c r="V790" i="6"/>
  <c r="W774" i="6" s="1"/>
  <c r="V786" i="6"/>
  <c r="W770" i="6" s="1"/>
  <c r="V782" i="6"/>
  <c r="W766" i="6" s="1"/>
  <c r="V778" i="6"/>
  <c r="W762" i="6" s="1"/>
  <c r="V774" i="6"/>
  <c r="W758" i="6" s="1"/>
  <c r="V770" i="6"/>
  <c r="W754" i="6" s="1"/>
  <c r="V766" i="6"/>
  <c r="W750" i="6" s="1"/>
  <c r="V762" i="6"/>
  <c r="W746" i="6" s="1"/>
  <c r="V758" i="6"/>
  <c r="W742" i="6" s="1"/>
  <c r="V754" i="6"/>
  <c r="W738" i="6" s="1"/>
  <c r="V750" i="6"/>
  <c r="W734" i="6" s="1"/>
  <c r="V746" i="6"/>
  <c r="W730" i="6" s="1"/>
  <c r="V742" i="6"/>
  <c r="W726" i="6" s="1"/>
  <c r="V738" i="6"/>
  <c r="W722" i="6" s="1"/>
  <c r="V734" i="6"/>
  <c r="W718" i="6" s="1"/>
  <c r="V730" i="6"/>
  <c r="W714" i="6" s="1"/>
  <c r="V726" i="6"/>
  <c r="W710" i="6" s="1"/>
  <c r="V722" i="6"/>
  <c r="W706" i="6" s="1"/>
  <c r="V714" i="6"/>
  <c r="W698" i="6" s="1"/>
  <c r="V706" i="6"/>
  <c r="W690" i="6" s="1"/>
  <c r="V690" i="6"/>
  <c r="W674" i="6" s="1"/>
  <c r="V686" i="6"/>
  <c r="W670" i="6" s="1"/>
  <c r="V678" i="6"/>
  <c r="W662" i="6" s="1"/>
  <c r="V674" i="6"/>
  <c r="W658" i="6" s="1"/>
  <c r="V658" i="6"/>
  <c r="W642" i="6" s="1"/>
  <c r="V650" i="6"/>
  <c r="W634" i="6" s="1"/>
  <c r="V642" i="6"/>
  <c r="W626" i="6" s="1"/>
  <c r="V626" i="6"/>
  <c r="W610" i="6" s="1"/>
  <c r="V622" i="6"/>
  <c r="W606" i="6" s="1"/>
  <c r="V614" i="6"/>
  <c r="W598" i="6" s="1"/>
  <c r="V610" i="6"/>
  <c r="W594" i="6" s="1"/>
  <c r="V594" i="6"/>
  <c r="W578" i="6" s="1"/>
  <c r="V586" i="6"/>
  <c r="W570" i="6" s="1"/>
  <c r="V578" i="6"/>
  <c r="W562" i="6" s="1"/>
  <c r="V562" i="6"/>
  <c r="W546" i="6" s="1"/>
  <c r="V558" i="6"/>
  <c r="W542" i="6" s="1"/>
  <c r="V546" i="6"/>
  <c r="W530" i="6" s="1"/>
  <c r="V530" i="6"/>
  <c r="W514" i="6" s="1"/>
  <c r="V514" i="6"/>
  <c r="W498" i="6" s="1"/>
  <c r="V498" i="6"/>
  <c r="W482" i="6" s="1"/>
  <c r="V486" i="6"/>
  <c r="W470" i="6" s="1"/>
  <c r="V482" i="6"/>
  <c r="W466" i="6" s="1"/>
  <c r="V466" i="6"/>
  <c r="W450" i="6" s="1"/>
  <c r="V458" i="6"/>
  <c r="W442" i="6" s="1"/>
  <c r="V450" i="6"/>
  <c r="W434" i="6" s="1"/>
  <c r="V434" i="6"/>
  <c r="W418" i="6" s="1"/>
  <c r="V430" i="6"/>
  <c r="W414" i="6" s="1"/>
  <c r="V422" i="6"/>
  <c r="W406" i="6" s="1"/>
  <c r="V418" i="6"/>
  <c r="W402" i="6" s="1"/>
  <c r="V402" i="6"/>
  <c r="W386" i="6" s="1"/>
  <c r="V394" i="6"/>
  <c r="W378" i="6" s="1"/>
  <c r="V386" i="6"/>
  <c r="W370" i="6" s="1"/>
  <c r="V370" i="6"/>
  <c r="W354" i="6" s="1"/>
  <c r="V366" i="6"/>
  <c r="W350" i="6" s="1"/>
  <c r="V358" i="6"/>
  <c r="W342" i="6" s="1"/>
  <c r="V354" i="6"/>
  <c r="W338" i="6" s="1"/>
  <c r="V338" i="6"/>
  <c r="W322" i="6" s="1"/>
  <c r="V330" i="6"/>
  <c r="W314" i="6" s="1"/>
  <c r="V322" i="6"/>
  <c r="W306" i="6" s="1"/>
  <c r="V310" i="6"/>
  <c r="W294" i="6" s="1"/>
  <c r="V298" i="6"/>
  <c r="W282" i="6" s="1"/>
  <c r="V286" i="6"/>
  <c r="W270" i="6" s="1"/>
  <c r="V282" i="6"/>
  <c r="W266" i="6" s="1"/>
  <c r="V278" i="6"/>
  <c r="W262" i="6" s="1"/>
  <c r="V270" i="6"/>
  <c r="W254" i="6" s="1"/>
  <c r="V266" i="6"/>
  <c r="W250" i="6" s="1"/>
  <c r="V262" i="6"/>
  <c r="W246" i="6" s="1"/>
  <c r="V254" i="6"/>
  <c r="W238" i="6" s="1"/>
  <c r="V250" i="6"/>
  <c r="W234" i="6" s="1"/>
  <c r="V246" i="6"/>
  <c r="W230" i="6" s="1"/>
  <c r="V238" i="6"/>
  <c r="W222" i="6" s="1"/>
  <c r="V230" i="6"/>
  <c r="W214" i="6" s="1"/>
  <c r="V222" i="6"/>
  <c r="W206" i="6" s="1"/>
  <c r="V218" i="6"/>
  <c r="W202" i="6" s="1"/>
  <c r="V214" i="6"/>
  <c r="W198" i="6" s="1"/>
  <c r="V206" i="6"/>
  <c r="W190" i="6" s="1"/>
  <c r="V202" i="6"/>
  <c r="W186" i="6" s="1"/>
  <c r="V198" i="6"/>
  <c r="W182" i="6" s="1"/>
  <c r="V190" i="6"/>
  <c r="W174" i="6" s="1"/>
  <c r="V186" i="6"/>
  <c r="W170" i="6" s="1"/>
  <c r="V182" i="6"/>
  <c r="W166" i="6" s="1"/>
  <c r="V174" i="6"/>
  <c r="W158" i="6" s="1"/>
  <c r="V166" i="6"/>
  <c r="W150" i="6" s="1"/>
  <c r="V158" i="6"/>
  <c r="W142" i="6" s="1"/>
  <c r="V154" i="6"/>
  <c r="W138" i="6" s="1"/>
  <c r="V150" i="6"/>
  <c r="W134" i="6" s="1"/>
  <c r="V142" i="6"/>
  <c r="W126" i="6" s="1"/>
  <c r="V138" i="6"/>
  <c r="W122" i="6" s="1"/>
  <c r="V134" i="6"/>
  <c r="W118" i="6" s="1"/>
  <c r="V126" i="6"/>
  <c r="W110" i="6" s="1"/>
  <c r="V122" i="6"/>
  <c r="W106" i="6" s="1"/>
  <c r="V118" i="6"/>
  <c r="W102" i="6" s="1"/>
  <c r="V110" i="6"/>
  <c r="W94" i="6" s="1"/>
  <c r="V106" i="6"/>
  <c r="W90" i="6" s="1"/>
  <c r="V102" i="6"/>
  <c r="W86" i="6" s="1"/>
  <c r="V94" i="6"/>
  <c r="W78" i="6" s="1"/>
  <c r="V90" i="6"/>
  <c r="W74" i="6" s="1"/>
  <c r="V86" i="6"/>
  <c r="W70" i="6" s="1"/>
  <c r="V78" i="6"/>
  <c r="W62" i="6" s="1"/>
  <c r="V74" i="6"/>
  <c r="W58" i="6" s="1"/>
  <c r="V70" i="6"/>
  <c r="W54" i="6" s="1"/>
  <c r="V62" i="6"/>
  <c r="W46" i="6" s="1"/>
  <c r="V58" i="6"/>
  <c r="W42" i="6" s="1"/>
  <c r="V54" i="6"/>
  <c r="W38" i="6" s="1"/>
  <c r="V46" i="6"/>
  <c r="W30" i="6" s="1"/>
  <c r="V38" i="6"/>
  <c r="W22" i="6" s="1"/>
  <c r="V30" i="6"/>
  <c r="W14" i="6" s="1"/>
  <c r="V26" i="6"/>
  <c r="W10" i="6" s="1"/>
  <c r="V22" i="6"/>
  <c r="W6" i="6" s="1"/>
  <c r="V14" i="6"/>
  <c r="V10" i="6"/>
  <c r="V6" i="6"/>
  <c r="D32" i="7"/>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D02807BF-478E-4B56-A48F-AD095A32D722}" keepAlive="1" name="Query - Append1" description="Connection to the 'Append1' query in the workbook." type="5" refreshedVersion="8" background="1" saveData="1">
    <dbPr connection="Provider=Microsoft.Mashup.OleDb.1;Data Source=$Workbook$;Location=Append1;Extended Properties=&quot;&quot;" command="SELECT * FROM [Append1]"/>
  </connection>
  <connection id="2" xr16:uid="{0BA07F26-02F9-4700-A537-0F7CBB551AF1}" keepAlive="1" name="Query - Append2" description="Connection to the 'Append2' query in the workbook." type="5" refreshedVersion="8" background="1" saveData="1">
    <dbPr connection="Provider=Microsoft.Mashup.OleDb.1;Data Source=$Workbook$;Location=Append2;Extended Properties=&quot;&quot;" command="SELECT * FROM [Append2]"/>
  </connection>
  <connection id="3" xr16:uid="{6A541B70-D9AE-431B-83FB-F854B71B5645}" keepAlive="1" name="Query - Merge1" description="Connection to the 'Merge1' query in the workbook." type="5" refreshedVersion="8" background="1" saveData="1">
    <dbPr connection="Provider=Microsoft.Mashup.OleDb.1;Data Source=$Workbook$;Location=Merge1;Extended Properties=&quot;&quot;" command="SELECT * FROM [Merge1]"/>
  </connection>
  <connection id="4" xr16:uid="{1B2CBCAD-15FC-46BC-9C10-C4407146B08F}" keepAlive="1" name="Query - Table1" description="Connection to the 'Table1' query in the workbook." type="5" refreshedVersion="0" background="1">
    <dbPr connection="Provider=Microsoft.Mashup.OleDb.1;Data Source=$Workbook$;Location=Table1;Extended Properties=&quot;&quot;" command="SELECT * FROM [Table1]"/>
  </connection>
  <connection id="5" xr16:uid="{0D30B9AE-454A-4259-8091-66A549A939D3}" keepAlive="1" name="Query - Table2" description="Connection to the 'Table2' query in the workbook." type="5" refreshedVersion="0" background="1">
    <dbPr connection="Provider=Microsoft.Mashup.OleDb.1;Data Source=$Workbook$;Location=Table2;Extended Properties=&quot;&quot;" command="SELECT * FROM [Table2]"/>
  </connection>
  <connection id="6" xr16:uid="{8872E3B8-BF77-4503-B8F5-E862D2331253}" keepAlive="1" name="Query - Table3" description="Connection to the 'Table3' query in the workbook." type="5" refreshedVersion="0" background="1">
    <dbPr connection="Provider=Microsoft.Mashup.OleDb.1;Data Source=$Workbook$;Location=Table3;Extended Properties=&quot;&quot;" command="SELECT * FROM [Table3]"/>
  </connection>
</connections>
</file>

<file path=xl/sharedStrings.xml><?xml version="1.0" encoding="utf-8"?>
<sst xmlns="http://schemas.openxmlformats.org/spreadsheetml/2006/main" count="243" uniqueCount="151">
  <si>
    <t>instant</t>
  </si>
  <si>
    <t>dteday</t>
  </si>
  <si>
    <t>season</t>
  </si>
  <si>
    <t>yr</t>
  </si>
  <si>
    <t>mnth</t>
  </si>
  <si>
    <t>hr</t>
  </si>
  <si>
    <t>holiday</t>
  </si>
  <si>
    <t>weekday</t>
  </si>
  <si>
    <t>weathersit</t>
  </si>
  <si>
    <t>temp</t>
  </si>
  <si>
    <t>Unnamed: 0</t>
  </si>
  <si>
    <t>atemp</t>
  </si>
  <si>
    <t>hum</t>
  </si>
  <si>
    <t>windspeed</t>
  </si>
  <si>
    <t>casual</t>
  </si>
  <si>
    <t>registered</t>
  </si>
  <si>
    <t>cnt</t>
  </si>
  <si>
    <t>Time period</t>
  </si>
  <si>
    <t>weather_category</t>
  </si>
  <si>
    <t>Cold</t>
  </si>
  <si>
    <t>Mild</t>
  </si>
  <si>
    <t>Warm</t>
  </si>
  <si>
    <t>temp_cat</t>
  </si>
  <si>
    <t>week_type</t>
  </si>
  <si>
    <t>Total bike rentals on weekends</t>
  </si>
  <si>
    <t>Total bike rentals on weekdays</t>
  </si>
  <si>
    <t>Total rentals during Warm temperature</t>
  </si>
  <si>
    <t>Total rentals during cold temperature</t>
  </si>
  <si>
    <t>Total rentals during mild temperature</t>
  </si>
  <si>
    <t>sumif</t>
  </si>
  <si>
    <t>countif</t>
  </si>
  <si>
    <t xml:space="preserve"> total weekends Record</t>
  </si>
  <si>
    <t>total warm record</t>
  </si>
  <si>
    <t xml:space="preserve"> total cold record</t>
  </si>
  <si>
    <t xml:space="preserve"> total Mild record</t>
  </si>
  <si>
    <t>value</t>
  </si>
  <si>
    <t>Matric</t>
  </si>
  <si>
    <t>Correlation(cnt,temp)</t>
  </si>
  <si>
    <t>Correlation(cnt,atemp)</t>
  </si>
  <si>
    <t>Correlation(cnt,hum)</t>
  </si>
  <si>
    <t>Correlation(cnt,windspeed)</t>
  </si>
  <si>
    <t>Clear/Partly Cloudy</t>
  </si>
  <si>
    <t xml:space="preserve">Mist / cloudy </t>
  </si>
  <si>
    <t xml:space="preserve">Light Snow / Rain </t>
  </si>
  <si>
    <t xml:space="preserve">Heavy Rain </t>
  </si>
  <si>
    <t>Total Rentals (cnt)</t>
  </si>
  <si>
    <t>Avg of cnt</t>
  </si>
  <si>
    <t>coreel</t>
  </si>
  <si>
    <t>Formula</t>
  </si>
  <si>
    <t>Grand Total</t>
  </si>
  <si>
    <t>weather_Category</t>
  </si>
  <si>
    <t>Row Labels</t>
  </si>
  <si>
    <t xml:space="preserve"> Temp Category</t>
  </si>
  <si>
    <t>Min Temp °C</t>
  </si>
  <si>
    <t>Sum of casual</t>
  </si>
  <si>
    <t>Sum of registered</t>
  </si>
  <si>
    <t>Average of cnt</t>
  </si>
  <si>
    <t>rolling_mean_24h</t>
  </si>
  <si>
    <t>rolling_std_24h</t>
  </si>
  <si>
    <t>zscore_24h</t>
  </si>
  <si>
    <t>Anomaly_flag</t>
  </si>
  <si>
    <t>Week_days</t>
  </si>
  <si>
    <t>Friday</t>
  </si>
  <si>
    <t>Monday</t>
  </si>
  <si>
    <t>Saturday</t>
  </si>
  <si>
    <t>Sunday</t>
  </si>
  <si>
    <t>Thursday</t>
  </si>
  <si>
    <t>Tuesday</t>
  </si>
  <si>
    <t>Wednesday</t>
  </si>
  <si>
    <t>Mon</t>
  </si>
  <si>
    <t>Tue</t>
  </si>
  <si>
    <t>Wed</t>
  </si>
  <si>
    <t>Thur</t>
  </si>
  <si>
    <t>Fri</t>
  </si>
  <si>
    <t>Sat</t>
  </si>
  <si>
    <t xml:space="preserve"> hrs</t>
  </si>
  <si>
    <t>Sun</t>
  </si>
  <si>
    <t>Hrs</t>
  </si>
  <si>
    <t>sum_cnt</t>
  </si>
  <si>
    <t>4. Weekday demand is higher and more structured than weekends, while weekend usage is more evenly spread throughout the day</t>
  </si>
  <si>
    <t>3. Early morning hours (2–5 AM) show the lowest usage, identifying consistent off-peak periods.</t>
  </si>
  <si>
    <t>2. Friday is the busiest day, recording the highest demand in both morning and evening peak periods.</t>
  </si>
  <si>
    <t>1. Peak demand occurs during commuting hours (8–9 AM and 5–7 PM) across weekdays, showing clear work-travel patterns</t>
  </si>
  <si>
    <t>SUMMARY &amp; INSIGHTS</t>
  </si>
  <si>
    <t>I created an hour-by-weekday heatmap using SUM(cnt) with conditional formatting to highlight peak and off-peak demand,where green represents low demand, yellow indicates medium demand, and red highlights high demand. enabling clear comparison between weekday and weekend usage patterns.The heatmap excludes grand totals to maintain accurate color scaling and highlight true demand patterns</t>
  </si>
  <si>
    <t>A</t>
  </si>
  <si>
    <t>B</t>
  </si>
  <si>
    <t>Stage</t>
  </si>
  <si>
    <t>Value</t>
  </si>
  <si>
    <t>Total Users</t>
  </si>
  <si>
    <t>Registered Users</t>
  </si>
  <si>
    <t>Casual Users</t>
  </si>
  <si>
    <t>Afternoon</t>
  </si>
  <si>
    <t>Evening</t>
  </si>
  <si>
    <t>Morning</t>
  </si>
  <si>
    <t>Night</t>
  </si>
  <si>
    <t>Sum of reg</t>
  </si>
  <si>
    <t>TIME PERIOD WISE SUM OF CAUSALS &amp; REG</t>
  </si>
  <si>
    <t>TEMPURATURE CATEGORIES WISE SUM OF CASUAL AND REGESTRATION</t>
  </si>
  <si>
    <t>Temp_cat</t>
  </si>
  <si>
    <t>WEATHER CATEGORY WISE AVERAGE OF COUNT</t>
  </si>
  <si>
    <t>WEATHER CATEGORY WISE TOTAL CASUAL &amp; REGISTRATION USERS</t>
  </si>
  <si>
    <t>Sum of cnt</t>
  </si>
  <si>
    <t>HRS WISE SUM OF REGISTRATION &amp; CASUAL</t>
  </si>
  <si>
    <t>Jan</t>
  </si>
  <si>
    <t>Feb</t>
  </si>
  <si>
    <t>MONTH WISE TOTAL COUNT</t>
  </si>
  <si>
    <t>TOTAL STAGES BY VALUE</t>
  </si>
  <si>
    <t>StdDev of cnt</t>
  </si>
  <si>
    <t>Weekday</t>
  </si>
  <si>
    <t>Weekend</t>
  </si>
  <si>
    <t>Weekday vs Weekend Bike Rental Usage</t>
  </si>
  <si>
    <t>Total Rentals (casual)</t>
  </si>
  <si>
    <t>Total Rentals (Registration)</t>
  </si>
  <si>
    <t>Sum</t>
  </si>
  <si>
    <t>Avg</t>
  </si>
  <si>
    <t xml:space="preserve"> total weekdays Record</t>
  </si>
  <si>
    <t xml:space="preserve">              1. Conditional Formatting (Coloring Data)</t>
  </si>
  <si>
    <r>
      <t>weathersit = 3</t>
    </r>
    <r>
      <rPr>
        <b/>
        <sz val="11"/>
        <color theme="1"/>
        <rFont val="Arial"/>
        <family val="2"/>
        <scheme val="minor"/>
      </rPr>
      <t xml:space="preserve"> → Red color (bad weather)</t>
    </r>
  </si>
  <si>
    <r>
      <t xml:space="preserve">High </t>
    </r>
    <r>
      <rPr>
        <b/>
        <sz val="10"/>
        <color theme="1"/>
        <rFont val="Arial Unicode MS"/>
      </rPr>
      <t>temp</t>
    </r>
    <r>
      <rPr>
        <b/>
        <sz val="11"/>
        <color theme="1"/>
        <rFont val="Arial"/>
        <family val="2"/>
        <scheme val="minor"/>
      </rPr>
      <t xml:space="preserve"> → Red color </t>
    </r>
  </si>
  <si>
    <t xml:space="preserve"> shoreted by temp higest to lowsest to finding</t>
  </si>
  <si>
    <t xml:space="preserve">               2.       Basic Aggregations on temp </t>
  </si>
  <si>
    <t>COUNT</t>
  </si>
  <si>
    <t>COUNTIF( HOLIDAY TRUE)</t>
  </si>
  <si>
    <t>COUNTIF( HOLIDAY FALSE)</t>
  </si>
  <si>
    <t xml:space="preserve">                3. TEXT Functions on dteday</t>
  </si>
  <si>
    <t>Sample dteday</t>
  </si>
  <si>
    <t>LEFT(dteday,2) – Day</t>
  </si>
  <si>
    <t>RIGHT(dteday,4) – Year</t>
  </si>
  <si>
    <t>LEN(dteday) – Characters in date string</t>
  </si>
  <si>
    <t>mid(dtedy2,2)</t>
  </si>
  <si>
    <t xml:space="preserve">     Basic Aggregations </t>
  </si>
  <si>
    <t>SUM OF REGSTERED</t>
  </si>
  <si>
    <t>SUM OF CNT</t>
  </si>
  <si>
    <t>SUM OF CASUAL</t>
  </si>
  <si>
    <t>AVERGAE OF CNT</t>
  </si>
  <si>
    <t xml:space="preserve">   TEXT Functions on dteday</t>
  </si>
  <si>
    <t xml:space="preserve"> shoreted by cnt higest to lowsest to finding &amp; Top 15 with color</t>
  </si>
  <si>
    <t>check_cnt</t>
  </si>
  <si>
    <r>
      <t xml:space="preserve">windspeed Greater Than → </t>
    </r>
    <r>
      <rPr>
        <b/>
        <sz val="10"/>
        <color theme="1"/>
        <rFont val="Arial Unicode MS"/>
      </rPr>
      <t xml:space="preserve">0.4 </t>
    </r>
    <r>
      <rPr>
        <b/>
        <sz val="11"/>
        <color theme="1"/>
        <rFont val="Arial"/>
        <family val="2"/>
        <scheme val="minor"/>
      </rPr>
      <t>= Red colour fill</t>
    </r>
  </si>
  <si>
    <t>atemp  Above Average = Green colour</t>
  </si>
  <si>
    <t xml:space="preserve">hum- use colour scaler higest red colour </t>
  </si>
  <si>
    <t>check_cnt by adding casual &amp; registered</t>
  </si>
  <si>
    <t xml:space="preserve">               2.       Basic Aggregations on  count</t>
  </si>
  <si>
    <t>sum of cnt</t>
  </si>
  <si>
    <t>average of cnt</t>
  </si>
  <si>
    <t>count of cnt</t>
  </si>
  <si>
    <t xml:space="preserve">      Conditional Formatting (Coloring Data)</t>
  </si>
  <si>
    <r>
      <t>weathersit = 3</t>
    </r>
    <r>
      <rPr>
        <b/>
        <sz val="10"/>
        <color theme="1"/>
        <rFont val="Arial"/>
        <family val="2"/>
        <scheme val="minor"/>
      </rPr>
      <t xml:space="preserve"> → Red color (bad weather)</t>
    </r>
  </si>
  <si>
    <r>
      <t xml:space="preserve">High </t>
    </r>
    <r>
      <rPr>
        <b/>
        <sz val="10"/>
        <color theme="1"/>
        <rFont val="Arial Unicode MS"/>
      </rPr>
      <t>temp</t>
    </r>
    <r>
      <rPr>
        <b/>
        <sz val="10"/>
        <color theme="1"/>
        <rFont val="Arial"/>
        <family val="2"/>
        <scheme val="minor"/>
      </rPr>
      <t xml:space="preserve"> → Red color </t>
    </r>
  </si>
  <si>
    <t>cnt top 15 = Red colour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</si>
</sst>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dd\-mm\-yyyy"/>
    <numFmt numFmtId="165" formatCode="0.0"/>
    <numFmt numFmtId="166" formatCode="0.0%"/>
  </numFmts>
  <fonts count="17">
    <font>
      <sz val="10"/>
      <color rgb="FF000000"/>
      <name val="Arial"/>
      <scheme val="minor"/>
    </font>
    <font>
      <sz val="11"/>
      <color theme="1"/>
      <name val="Arial"/>
      <family val="2"/>
      <scheme val="minor"/>
    </font>
    <font>
      <sz val="10"/>
      <color theme="1"/>
      <name val="Arial"/>
      <family val="2"/>
      <scheme val="minor"/>
    </font>
    <font>
      <sz val="10"/>
      <color rgb="FF000000"/>
      <name val="Arial"/>
      <family val="2"/>
      <scheme val="minor"/>
    </font>
    <font>
      <sz val="8"/>
      <name val="Arial"/>
      <family val="2"/>
      <scheme val="minor"/>
    </font>
    <font>
      <b/>
      <sz val="10"/>
      <color rgb="FF000000"/>
      <name val="Arial"/>
      <family val="2"/>
      <scheme val="minor"/>
    </font>
    <font>
      <sz val="11"/>
      <color rgb="FF000000"/>
      <name val="Arial"/>
      <family val="2"/>
      <scheme val="minor"/>
    </font>
    <font>
      <b/>
      <sz val="14"/>
      <color rgb="FF000000"/>
      <name val="Arial"/>
      <family val="2"/>
      <scheme val="minor"/>
    </font>
    <font>
      <sz val="12"/>
      <color rgb="FF000000"/>
      <name val="Arial"/>
      <family val="2"/>
      <scheme val="minor"/>
    </font>
    <font>
      <b/>
      <sz val="12"/>
      <color rgb="FF000000"/>
      <name val="Arial"/>
      <family val="2"/>
      <scheme val="minor"/>
    </font>
    <font>
      <b/>
      <sz val="10"/>
      <color rgb="FFFF0000"/>
      <name val="Arial"/>
      <family val="2"/>
      <scheme val="minor"/>
    </font>
    <font>
      <sz val="9"/>
      <color rgb="FF000000"/>
      <name val="Arial"/>
      <family val="2"/>
      <scheme val="minor"/>
    </font>
    <font>
      <b/>
      <sz val="11"/>
      <color theme="1"/>
      <name val="Arial"/>
      <family val="2"/>
      <scheme val="minor"/>
    </font>
    <font>
      <b/>
      <sz val="10"/>
      <color theme="1"/>
      <name val="Arial"/>
      <family val="2"/>
      <scheme val="minor"/>
    </font>
    <font>
      <b/>
      <sz val="14"/>
      <color theme="1"/>
      <name val="Arial"/>
      <family val="2"/>
      <scheme val="minor"/>
    </font>
    <font>
      <sz val="14"/>
      <color theme="1"/>
      <name val="Arial"/>
      <family val="2"/>
      <scheme val="minor"/>
    </font>
    <font>
      <b/>
      <sz val="10"/>
      <color theme="1"/>
      <name val="Arial Unicode MS"/>
    </font>
  </fonts>
  <fills count="9">
    <fill>
      <patternFill patternType="none"/>
    </fill>
    <fill>
      <patternFill patternType="gray125"/>
    </fill>
    <fill>
      <patternFill patternType="solid">
        <fgColor rgb="FFFFFF00"/>
        <bgColor indexed="64"/>
      </patternFill>
    </fill>
    <fill>
      <patternFill patternType="solid">
        <fgColor theme="5" tint="0.79998168889431442"/>
        <bgColor indexed="64"/>
      </patternFill>
    </fill>
    <fill>
      <patternFill patternType="solid">
        <fgColor theme="4" tint="0.79998168889431442"/>
        <bgColor indexed="64"/>
      </patternFill>
    </fill>
    <fill>
      <patternFill patternType="solid">
        <fgColor theme="2" tint="-4.9989318521683403E-2"/>
        <bgColor indexed="64"/>
      </patternFill>
    </fill>
    <fill>
      <patternFill patternType="solid">
        <fgColor theme="7" tint="0.59999389629810485"/>
        <bgColor indexed="64"/>
      </patternFill>
    </fill>
    <fill>
      <patternFill patternType="solid">
        <fgColor theme="4" tint="0.59999389629810485"/>
        <bgColor indexed="64"/>
      </patternFill>
    </fill>
    <fill>
      <patternFill patternType="solid">
        <fgColor theme="5" tint="0.59999389629810485"/>
        <bgColor indexed="64"/>
      </patternFill>
    </fill>
  </fills>
  <borders count="17">
    <border>
      <left/>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top/>
      <bottom/>
      <diagonal/>
    </border>
    <border>
      <left/>
      <right style="thin">
        <color indexed="64"/>
      </right>
      <top/>
      <bottom/>
      <diagonal/>
    </border>
    <border>
      <left style="thin">
        <color indexed="64"/>
      </left>
      <right style="thin">
        <color indexed="64"/>
      </right>
      <top/>
      <bottom/>
      <diagonal/>
    </border>
    <border>
      <left/>
      <right style="thin">
        <color indexed="64"/>
      </right>
      <top style="thin">
        <color theme="4" tint="0.39997558519241921"/>
      </top>
      <bottom style="thin">
        <color theme="4" tint="0.39997558519241921"/>
      </bottom>
      <diagonal/>
    </border>
  </borders>
  <cellStyleXfs count="1">
    <xf numFmtId="0" fontId="0" fillId="0" borderId="0"/>
  </cellStyleXfs>
  <cellXfs count="138">
    <xf numFmtId="0" fontId="0" fillId="0" borderId="0" xfId="0"/>
    <xf numFmtId="14" fontId="0" fillId="0" borderId="0" xfId="0" applyNumberFormat="1" applyAlignment="1">
      <alignment horizontal="center" vertical="center"/>
    </xf>
    <xf numFmtId="0" fontId="0" fillId="0" borderId="0" xfId="0" applyAlignment="1">
      <alignment horizontal="center" vertical="center"/>
    </xf>
    <xf numFmtId="0" fontId="0" fillId="0" borderId="0" xfId="0" applyAlignment="1">
      <alignment horizontal="center" vertical="center" wrapText="1"/>
    </xf>
    <xf numFmtId="0" fontId="5" fillId="0" borderId="0" xfId="0" applyFont="1" applyAlignment="1">
      <alignment vertical="center" wrapText="1"/>
    </xf>
    <xf numFmtId="0" fontId="0" fillId="0" borderId="0" xfId="0" applyAlignment="1">
      <alignment wrapText="1"/>
    </xf>
    <xf numFmtId="0" fontId="3" fillId="0" borderId="0" xfId="0" applyFont="1" applyAlignment="1">
      <alignment horizontal="center" vertical="center"/>
    </xf>
    <xf numFmtId="0" fontId="3" fillId="0" borderId="0" xfId="0" applyFont="1" applyAlignment="1">
      <alignment vertical="center" wrapText="1"/>
    </xf>
    <xf numFmtId="0" fontId="3" fillId="0" borderId="0" xfId="0" applyFont="1"/>
    <xf numFmtId="0" fontId="3" fillId="0" borderId="1" xfId="0" applyFont="1" applyBorder="1" applyAlignment="1">
      <alignment horizontal="center" vertical="center"/>
    </xf>
    <xf numFmtId="0" fontId="3" fillId="0" borderId="1" xfId="0" applyFont="1" applyBorder="1"/>
    <xf numFmtId="0" fontId="3" fillId="0" borderId="6" xfId="0" applyFont="1" applyBorder="1" applyAlignment="1">
      <alignment horizontal="center" vertical="center"/>
    </xf>
    <xf numFmtId="0" fontId="0" fillId="0" borderId="2" xfId="0" applyBorder="1" applyAlignment="1">
      <alignment horizontal="center" vertical="center"/>
    </xf>
    <xf numFmtId="0" fontId="3" fillId="0" borderId="2" xfId="0" applyFont="1" applyBorder="1" applyAlignment="1">
      <alignment horizontal="center" vertical="center"/>
    </xf>
    <xf numFmtId="0" fontId="0" fillId="0" borderId="10" xfId="0" applyBorder="1" applyAlignment="1">
      <alignment horizontal="center" vertical="center" wrapText="1"/>
    </xf>
    <xf numFmtId="0" fontId="0" fillId="0" borderId="5" xfId="0" applyBorder="1" applyAlignment="1">
      <alignment horizontal="center" vertical="center" wrapText="1"/>
    </xf>
    <xf numFmtId="0" fontId="0" fillId="0" borderId="5" xfId="0" applyBorder="1" applyAlignment="1">
      <alignment horizontal="center" vertical="center"/>
    </xf>
    <xf numFmtId="0" fontId="0" fillId="0" borderId="2" xfId="0" pivotButton="1" applyBorder="1" applyAlignment="1">
      <alignment horizontal="center" vertical="center"/>
    </xf>
    <xf numFmtId="0" fontId="5" fillId="0" borderId="7" xfId="0" applyFont="1" applyBorder="1" applyAlignment="1">
      <alignment horizontal="center" vertical="center" wrapText="1"/>
    </xf>
    <xf numFmtId="0" fontId="5" fillId="0" borderId="6" xfId="0" applyFont="1" applyBorder="1" applyAlignment="1">
      <alignment horizontal="center" vertical="center" wrapText="1"/>
    </xf>
    <xf numFmtId="0" fontId="0" fillId="0" borderId="8" xfId="0" applyBorder="1" applyAlignment="1">
      <alignment horizontal="center" vertical="center" wrapText="1"/>
    </xf>
    <xf numFmtId="0" fontId="0" fillId="0" borderId="3" xfId="0" applyBorder="1" applyAlignment="1">
      <alignment horizontal="center" vertical="center" wrapText="1"/>
    </xf>
    <xf numFmtId="0" fontId="3" fillId="0" borderId="7" xfId="0" applyFont="1" applyBorder="1" applyAlignment="1">
      <alignment horizontal="center" vertical="center"/>
    </xf>
    <xf numFmtId="14" fontId="0" fillId="0" borderId="12" xfId="0" applyNumberFormat="1" applyBorder="1" applyAlignment="1">
      <alignment horizontal="center" vertical="center"/>
    </xf>
    <xf numFmtId="0" fontId="0" fillId="0" borderId="12" xfId="0" applyBorder="1" applyAlignment="1">
      <alignment horizontal="center" vertical="center"/>
    </xf>
    <xf numFmtId="0" fontId="3" fillId="0" borderId="12" xfId="0" applyFont="1" applyBorder="1" applyAlignment="1">
      <alignment horizontal="center" vertical="center"/>
    </xf>
    <xf numFmtId="0" fontId="0" fillId="0" borderId="10" xfId="0" applyBorder="1" applyAlignment="1">
      <alignment horizontal="center" vertical="center"/>
    </xf>
    <xf numFmtId="14" fontId="0" fillId="0" borderId="2" xfId="0" applyNumberFormat="1" applyBorder="1" applyAlignment="1">
      <alignment horizontal="center" vertical="center"/>
    </xf>
    <xf numFmtId="0" fontId="0" fillId="0" borderId="8" xfId="0" applyBorder="1" applyAlignment="1">
      <alignment horizontal="center" vertical="center"/>
    </xf>
    <xf numFmtId="14" fontId="0" fillId="0" borderId="11" xfId="0" applyNumberFormat="1" applyBorder="1" applyAlignment="1">
      <alignment horizontal="center" vertical="center"/>
    </xf>
    <xf numFmtId="0" fontId="0" fillId="0" borderId="11" xfId="0" applyBorder="1" applyAlignment="1">
      <alignment horizontal="center" vertical="center"/>
    </xf>
    <xf numFmtId="0" fontId="0" fillId="0" borderId="3" xfId="0" applyBorder="1" applyAlignment="1">
      <alignment horizontal="center" vertical="center"/>
    </xf>
    <xf numFmtId="2" fontId="0" fillId="0" borderId="12" xfId="0" applyNumberFormat="1" applyBorder="1" applyAlignment="1">
      <alignment horizontal="center" vertical="center"/>
    </xf>
    <xf numFmtId="2" fontId="0" fillId="0" borderId="2" xfId="0" applyNumberFormat="1" applyBorder="1" applyAlignment="1">
      <alignment horizontal="center" vertical="center"/>
    </xf>
    <xf numFmtId="2" fontId="0" fillId="0" borderId="11" xfId="0" applyNumberFormat="1" applyBorder="1" applyAlignment="1">
      <alignment horizontal="center" vertical="center"/>
    </xf>
    <xf numFmtId="0" fontId="0" fillId="0" borderId="12" xfId="0" applyBorder="1" applyAlignment="1">
      <alignment horizontal="left" vertical="center"/>
    </xf>
    <xf numFmtId="0" fontId="3" fillId="0" borderId="0" xfId="0" applyFont="1" applyAlignment="1">
      <alignment horizontal="center"/>
    </xf>
    <xf numFmtId="0" fontId="0" fillId="0" borderId="9" xfId="0" applyBorder="1" applyAlignment="1">
      <alignment horizontal="center" vertical="center"/>
    </xf>
    <xf numFmtId="0" fontId="0" fillId="0" borderId="15" xfId="0" applyBorder="1" applyAlignment="1">
      <alignment horizontal="center" vertical="center"/>
    </xf>
    <xf numFmtId="0" fontId="6" fillId="0" borderId="0" xfId="0" applyFont="1" applyAlignment="1">
      <alignment horizontal="center" vertical="center"/>
    </xf>
    <xf numFmtId="0" fontId="5" fillId="0" borderId="0" xfId="0" applyFont="1" applyAlignment="1">
      <alignment horizontal="center" vertical="center" wrapText="1"/>
    </xf>
    <xf numFmtId="0" fontId="0" fillId="0" borderId="0" xfId="0" pivotButton="1" applyAlignment="1">
      <alignment horizontal="center" vertical="center"/>
    </xf>
    <xf numFmtId="0" fontId="0" fillId="0" borderId="11" xfId="0" applyBorder="1" applyAlignment="1">
      <alignment horizontal="center"/>
    </xf>
    <xf numFmtId="0" fontId="0" fillId="0" borderId="15" xfId="0" applyBorder="1" applyAlignment="1">
      <alignment horizontal="center"/>
    </xf>
    <xf numFmtId="0" fontId="0" fillId="0" borderId="12" xfId="0" applyBorder="1" applyAlignment="1">
      <alignment horizontal="center"/>
    </xf>
    <xf numFmtId="2" fontId="0" fillId="0" borderId="15" xfId="0" applyNumberFormat="1" applyBorder="1" applyAlignment="1">
      <alignment horizontal="center" vertical="center"/>
    </xf>
    <xf numFmtId="0" fontId="0" fillId="0" borderId="2" xfId="0" pivotButton="1" applyBorder="1" applyAlignment="1">
      <alignment horizontal="center"/>
    </xf>
    <xf numFmtId="0" fontId="0" fillId="0" borderId="2" xfId="0" applyBorder="1" applyAlignment="1">
      <alignment horizontal="center"/>
    </xf>
    <xf numFmtId="0" fontId="0" fillId="0" borderId="8" xfId="0" applyBorder="1" applyAlignment="1">
      <alignment horizontal="center"/>
    </xf>
    <xf numFmtId="0" fontId="3" fillId="0" borderId="3" xfId="0" applyFont="1" applyBorder="1" applyAlignment="1">
      <alignment vertical="center" wrapText="1"/>
    </xf>
    <xf numFmtId="0" fontId="3" fillId="0" borderId="13" xfId="0" applyFont="1" applyBorder="1" applyAlignment="1">
      <alignment vertical="center" wrapText="1"/>
    </xf>
    <xf numFmtId="0" fontId="3" fillId="0" borderId="6" xfId="0" applyFont="1" applyBorder="1" applyAlignment="1">
      <alignment vertical="center" wrapText="1"/>
    </xf>
    <xf numFmtId="0" fontId="3" fillId="0" borderId="11" xfId="0" applyFont="1" applyBorder="1" applyAlignment="1">
      <alignment vertical="center" wrapText="1"/>
    </xf>
    <xf numFmtId="0" fontId="3" fillId="0" borderId="15" xfId="0" applyFont="1" applyBorder="1" applyAlignment="1">
      <alignment vertical="center" wrapText="1"/>
    </xf>
    <xf numFmtId="0" fontId="3" fillId="0" borderId="12" xfId="0" applyFont="1" applyBorder="1" applyAlignment="1">
      <alignment vertical="center" wrapText="1"/>
    </xf>
    <xf numFmtId="0" fontId="0" fillId="0" borderId="2" xfId="0" pivotButton="1" applyBorder="1"/>
    <xf numFmtId="0" fontId="0" fillId="0" borderId="11" xfId="0" applyBorder="1" applyAlignment="1">
      <alignment horizontal="left"/>
    </xf>
    <xf numFmtId="0" fontId="0" fillId="0" borderId="12" xfId="0" applyBorder="1" applyAlignment="1">
      <alignment horizontal="left"/>
    </xf>
    <xf numFmtId="0" fontId="0" fillId="0" borderId="2" xfId="0" applyBorder="1" applyAlignment="1">
      <alignment horizontal="left"/>
    </xf>
    <xf numFmtId="0" fontId="0" fillId="0" borderId="2" xfId="0" applyBorder="1"/>
    <xf numFmtId="0" fontId="0" fillId="0" borderId="8" xfId="0" applyBorder="1"/>
    <xf numFmtId="0" fontId="3" fillId="0" borderId="8" xfId="0" applyFont="1" applyBorder="1" applyAlignment="1">
      <alignment horizontal="center" vertical="center" wrapText="1"/>
    </xf>
    <xf numFmtId="0" fontId="3" fillId="0" borderId="3" xfId="0" applyFont="1" applyBorder="1" applyAlignment="1">
      <alignment horizontal="center" vertical="center"/>
    </xf>
    <xf numFmtId="0" fontId="3" fillId="0" borderId="2" xfId="0" applyFont="1" applyBorder="1" applyAlignment="1">
      <alignment horizontal="center" vertical="center" wrapText="1"/>
    </xf>
    <xf numFmtId="0" fontId="3" fillId="0" borderId="11" xfId="0" applyFont="1" applyBorder="1" applyAlignment="1">
      <alignment horizontal="center" vertical="center" wrapText="1"/>
    </xf>
    <xf numFmtId="0" fontId="0" fillId="0" borderId="0" xfId="0" applyAlignment="1">
      <alignment vertical="center"/>
    </xf>
    <xf numFmtId="0" fontId="0" fillId="0" borderId="1" xfId="0" applyBorder="1" applyAlignment="1">
      <alignment horizontal="center" vertical="center"/>
    </xf>
    <xf numFmtId="0" fontId="0" fillId="0" borderId="7" xfId="0" applyBorder="1" applyAlignment="1">
      <alignment horizontal="center" vertical="center"/>
    </xf>
    <xf numFmtId="0" fontId="0" fillId="0" borderId="14" xfId="0" applyBorder="1" applyAlignment="1">
      <alignment horizontal="center" vertical="center"/>
    </xf>
    <xf numFmtId="0" fontId="0" fillId="0" borderId="6" xfId="0" applyBorder="1" applyAlignment="1">
      <alignment horizontal="center" vertical="center"/>
    </xf>
    <xf numFmtId="0" fontId="0" fillId="0" borderId="11" xfId="0" applyBorder="1"/>
    <xf numFmtId="0" fontId="0" fillId="0" borderId="15" xfId="0" applyBorder="1"/>
    <xf numFmtId="0" fontId="0" fillId="0" borderId="12" xfId="0" applyBorder="1"/>
    <xf numFmtId="0" fontId="0" fillId="0" borderId="3" xfId="0" applyBorder="1" applyAlignment="1">
      <alignment horizontal="center"/>
    </xf>
    <xf numFmtId="0" fontId="0" fillId="0" borderId="13" xfId="0" applyBorder="1" applyAlignment="1">
      <alignment horizontal="center"/>
    </xf>
    <xf numFmtId="0" fontId="0" fillId="0" borderId="6" xfId="0" applyBorder="1" applyAlignment="1">
      <alignment horizontal="center"/>
    </xf>
    <xf numFmtId="0" fontId="0" fillId="0" borderId="13" xfId="0" applyBorder="1" applyAlignment="1">
      <alignment horizontal="center" vertical="center"/>
    </xf>
    <xf numFmtId="0" fontId="0" fillId="0" borderId="4" xfId="0" applyBorder="1" applyAlignment="1">
      <alignment horizontal="center" vertical="center"/>
    </xf>
    <xf numFmtId="0" fontId="3" fillId="0" borderId="5" xfId="0" applyFont="1" applyBorder="1" applyAlignment="1">
      <alignment horizontal="center" vertical="center"/>
    </xf>
    <xf numFmtId="0" fontId="0" fillId="0" borderId="2" xfId="0" applyBorder="1" applyAlignment="1">
      <alignment horizontal="center" vertical="center" wrapText="1"/>
    </xf>
    <xf numFmtId="0" fontId="3" fillId="0" borderId="10" xfId="0" applyFont="1" applyBorder="1" applyAlignment="1">
      <alignment horizontal="center" vertical="center"/>
    </xf>
    <xf numFmtId="0" fontId="3" fillId="0" borderId="8" xfId="0" applyFont="1" applyBorder="1" applyAlignment="1">
      <alignment horizontal="center" vertical="center"/>
    </xf>
    <xf numFmtId="0" fontId="5" fillId="0" borderId="12" xfId="0" applyFont="1" applyBorder="1" applyAlignment="1">
      <alignment horizontal="center" vertical="center" wrapText="1"/>
    </xf>
    <xf numFmtId="0" fontId="3" fillId="0" borderId="10" xfId="0" applyFont="1" applyBorder="1" applyAlignment="1">
      <alignment horizontal="center" vertical="center" wrapText="1"/>
    </xf>
    <xf numFmtId="0" fontId="2" fillId="0" borderId="7" xfId="0" applyFont="1" applyBorder="1" applyAlignment="1">
      <alignment horizontal="center" vertical="center"/>
    </xf>
    <xf numFmtId="0" fontId="2" fillId="0" borderId="12" xfId="0" applyFont="1" applyBorder="1" applyAlignment="1">
      <alignment horizontal="center" vertical="center"/>
    </xf>
    <xf numFmtId="0" fontId="2" fillId="0" borderId="6" xfId="0" applyFont="1" applyBorder="1" applyAlignment="1">
      <alignment horizontal="center" vertical="center"/>
    </xf>
    <xf numFmtId="0" fontId="2" fillId="0" borderId="10" xfId="0" applyFont="1" applyBorder="1" applyAlignment="1">
      <alignment horizontal="center" vertical="center"/>
    </xf>
    <xf numFmtId="164" fontId="2" fillId="0" borderId="2" xfId="0" applyNumberFormat="1" applyFont="1" applyBorder="1" applyAlignment="1">
      <alignment horizontal="center" vertical="center"/>
    </xf>
    <xf numFmtId="0" fontId="2" fillId="0" borderId="2" xfId="0" applyFont="1" applyBorder="1" applyAlignment="1">
      <alignment horizontal="center" vertical="center"/>
    </xf>
    <xf numFmtId="0" fontId="2" fillId="0" borderId="8" xfId="0" applyFont="1" applyBorder="1" applyAlignment="1">
      <alignment horizontal="center" vertical="center"/>
    </xf>
    <xf numFmtId="0" fontId="14" fillId="0" borderId="0" xfId="0" applyFont="1"/>
    <xf numFmtId="0" fontId="15" fillId="0" borderId="0" xfId="0" applyFont="1"/>
    <xf numFmtId="0" fontId="12" fillId="0" borderId="0" xfId="0" applyFont="1"/>
    <xf numFmtId="0" fontId="12" fillId="0" borderId="0" xfId="0" applyFont="1" applyAlignment="1">
      <alignment horizontal="center" vertical="center"/>
    </xf>
    <xf numFmtId="0" fontId="12" fillId="0" borderId="0" xfId="0" applyFont="1" applyAlignment="1">
      <alignment horizontal="left" vertical="center"/>
    </xf>
    <xf numFmtId="0" fontId="0" fillId="0" borderId="0" xfId="0" applyAlignment="1">
      <alignment horizontal="left" vertical="center" indent="1"/>
    </xf>
    <xf numFmtId="0" fontId="2" fillId="0" borderId="5" xfId="0" applyFont="1" applyBorder="1" applyAlignment="1">
      <alignment horizontal="center" vertical="center"/>
    </xf>
    <xf numFmtId="164" fontId="2" fillId="0" borderId="11" xfId="0" applyNumberFormat="1" applyFont="1" applyBorder="1" applyAlignment="1">
      <alignment horizontal="center" vertical="center"/>
    </xf>
    <xf numFmtId="0" fontId="2" fillId="0" borderId="11" xfId="0" applyFont="1" applyBorder="1" applyAlignment="1">
      <alignment horizontal="center" vertical="center"/>
    </xf>
    <xf numFmtId="0" fontId="2" fillId="0" borderId="3" xfId="0" applyFont="1" applyBorder="1" applyAlignment="1">
      <alignment horizontal="center" vertical="center"/>
    </xf>
    <xf numFmtId="0" fontId="5" fillId="0" borderId="0" xfId="0" applyFont="1"/>
    <xf numFmtId="0" fontId="5" fillId="0" borderId="0" xfId="0" applyFont="1" applyAlignment="1">
      <alignment horizontal="center" vertical="center"/>
    </xf>
    <xf numFmtId="0" fontId="1" fillId="0" borderId="7" xfId="0" applyFont="1" applyBorder="1" applyAlignment="1">
      <alignment horizontal="center"/>
    </xf>
    <xf numFmtId="0" fontId="1" fillId="0" borderId="12" xfId="0" applyFont="1" applyBorder="1" applyAlignment="1">
      <alignment horizontal="center"/>
    </xf>
    <xf numFmtId="0" fontId="1" fillId="0" borderId="6" xfId="0" applyFont="1" applyBorder="1" applyAlignment="1">
      <alignment horizontal="center"/>
    </xf>
    <xf numFmtId="0" fontId="1" fillId="0" borderId="10" xfId="0" applyFont="1" applyBorder="1" applyAlignment="1">
      <alignment horizontal="center"/>
    </xf>
    <xf numFmtId="0" fontId="1" fillId="0" borderId="2" xfId="0" applyFont="1" applyBorder="1" applyAlignment="1">
      <alignment horizontal="center"/>
    </xf>
    <xf numFmtId="0" fontId="1" fillId="0" borderId="8" xfId="0" applyFont="1" applyBorder="1" applyAlignment="1">
      <alignment horizontal="center"/>
    </xf>
    <xf numFmtId="165" fontId="1" fillId="0" borderId="16" xfId="0" applyNumberFormat="1" applyFont="1" applyBorder="1" applyAlignment="1">
      <alignment horizontal="center"/>
    </xf>
    <xf numFmtId="166" fontId="0" fillId="0" borderId="0" xfId="0" applyNumberFormat="1"/>
    <xf numFmtId="0" fontId="1" fillId="0" borderId="11" xfId="0" applyFont="1" applyBorder="1" applyAlignment="1">
      <alignment horizontal="center"/>
    </xf>
    <xf numFmtId="0" fontId="1" fillId="0" borderId="3" xfId="0" applyFont="1" applyBorder="1" applyAlignment="1">
      <alignment horizontal="center"/>
    </xf>
    <xf numFmtId="0" fontId="1" fillId="0" borderId="0" xfId="0" applyFont="1" applyAlignment="1">
      <alignment horizontal="center"/>
    </xf>
    <xf numFmtId="0" fontId="13" fillId="0" borderId="0" xfId="0" applyFont="1"/>
    <xf numFmtId="0" fontId="13" fillId="0" borderId="0" xfId="0" applyFont="1" applyAlignment="1">
      <alignment horizontal="left" vertical="center"/>
    </xf>
    <xf numFmtId="0" fontId="12" fillId="0" borderId="0" xfId="0" applyFont="1" applyAlignment="1">
      <alignment horizontal="left" vertical="center" wrapText="1"/>
    </xf>
    <xf numFmtId="0" fontId="12" fillId="0" borderId="0" xfId="0" applyFont="1" applyAlignment="1">
      <alignment wrapText="1"/>
    </xf>
    <xf numFmtId="0" fontId="16" fillId="0" borderId="0" xfId="0" applyFont="1" applyAlignment="1">
      <alignment horizontal="left" vertical="center" wrapText="1"/>
    </xf>
    <xf numFmtId="0" fontId="0" fillId="0" borderId="0" xfId="0" applyAlignment="1">
      <alignment wrapText="1"/>
    </xf>
    <xf numFmtId="0" fontId="13" fillId="0" borderId="0" xfId="0" applyFont="1" applyAlignment="1">
      <alignment wrapText="1"/>
    </xf>
    <xf numFmtId="0" fontId="13" fillId="0" borderId="0" xfId="0" applyFont="1" applyAlignment="1">
      <alignment horizontal="left" vertical="center" wrapText="1"/>
    </xf>
    <xf numFmtId="0" fontId="5" fillId="0" borderId="0" xfId="0" applyFont="1" applyAlignment="1">
      <alignment horizontal="left" vertical="center" wrapText="1"/>
    </xf>
    <xf numFmtId="0" fontId="12" fillId="0" borderId="0" xfId="0" applyFont="1" applyAlignment="1">
      <alignment horizontal="left" vertical="top" wrapText="1"/>
    </xf>
    <xf numFmtId="0" fontId="10" fillId="0" borderId="0" xfId="0" applyFont="1" applyAlignment="1">
      <alignment horizontal="center" vertical="center"/>
    </xf>
    <xf numFmtId="0" fontId="11" fillId="0" borderId="0" xfId="0" applyFont="1" applyAlignment="1">
      <alignment horizontal="center" vertical="center" wrapText="1"/>
    </xf>
    <xf numFmtId="0" fontId="3" fillId="0" borderId="0" xfId="0" applyFont="1" applyAlignment="1">
      <alignment wrapText="1"/>
    </xf>
    <xf numFmtId="0" fontId="5" fillId="3" borderId="0" xfId="0" applyFont="1" applyFill="1" applyAlignment="1">
      <alignment horizontal="center" vertical="center" wrapText="1"/>
    </xf>
    <xf numFmtId="0" fontId="9" fillId="7" borderId="0" xfId="0" applyFont="1" applyFill="1" applyAlignment="1">
      <alignment horizontal="center" vertical="center" wrapText="1"/>
    </xf>
    <xf numFmtId="0" fontId="8" fillId="6" borderId="0" xfId="0" applyFont="1" applyFill="1" applyAlignment="1">
      <alignment horizontal="center" vertical="center" wrapText="1"/>
    </xf>
    <xf numFmtId="0" fontId="7" fillId="8" borderId="0" xfId="0" applyFont="1" applyFill="1" applyAlignment="1">
      <alignment horizontal="center" vertical="center" wrapText="1"/>
    </xf>
    <xf numFmtId="0" fontId="7" fillId="5" borderId="0" xfId="0" applyFont="1" applyFill="1" applyAlignment="1">
      <alignment horizontal="center" vertical="center" wrapText="1"/>
    </xf>
    <xf numFmtId="0" fontId="7" fillId="4" borderId="0" xfId="0" applyFont="1" applyFill="1" applyAlignment="1">
      <alignment horizontal="center" vertical="center" wrapText="1"/>
    </xf>
    <xf numFmtId="0" fontId="0" fillId="4" borderId="0" xfId="0" applyFill="1" applyAlignment="1">
      <alignment horizontal="center" vertical="center" wrapText="1"/>
    </xf>
    <xf numFmtId="0" fontId="6" fillId="3" borderId="0" xfId="0" applyFont="1" applyFill="1" applyAlignment="1">
      <alignment horizontal="center" vertical="center" wrapText="1"/>
    </xf>
    <xf numFmtId="0" fontId="7" fillId="2" borderId="0" xfId="0" applyFont="1" applyFill="1" applyAlignment="1">
      <alignment horizontal="center" vertical="center" wrapText="1"/>
    </xf>
    <xf numFmtId="0" fontId="6" fillId="0" borderId="0" xfId="0" applyFont="1" applyAlignment="1">
      <alignment horizontal="center" vertical="center" wrapText="1"/>
    </xf>
    <xf numFmtId="0" fontId="0" fillId="0" borderId="0" xfId="0" applyAlignment="1">
      <alignment horizontal="center" vertical="center" wrapText="1"/>
    </xf>
  </cellXfs>
  <cellStyles count="1">
    <cellStyle name="Normal" xfId="0" builtinId="0"/>
  </cellStyles>
  <dxfs count="307">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b val="0"/>
        <i val="0"/>
        <strike val="0"/>
        <condense val="0"/>
        <extend val="0"/>
        <outline val="0"/>
        <shadow val="0"/>
        <u val="none"/>
        <vertAlign val="baseline"/>
        <sz val="11"/>
        <color theme="1"/>
        <name val="Arial"/>
        <family val="2"/>
        <scheme val="minor"/>
      </font>
      <numFmt numFmtId="0" formatCode="General"/>
      <alignment horizontal="center" vertical="bottom" textRotation="0" wrapText="0" indent="0" justifyLastLine="0" shrinkToFit="0" readingOrder="0"/>
      <border diagonalUp="0" diagonalDown="0">
        <left style="thin">
          <color indexed="64"/>
        </left>
        <right/>
        <top style="thin">
          <color indexed="64"/>
        </top>
        <bottom style="thin">
          <color indexed="64"/>
        </bottom>
        <vertical/>
        <horizontal/>
      </border>
    </dxf>
    <dxf>
      <font>
        <b val="0"/>
        <i val="0"/>
        <strike val="0"/>
        <condense val="0"/>
        <extend val="0"/>
        <outline val="0"/>
        <shadow val="0"/>
        <u val="none"/>
        <vertAlign val="baseline"/>
        <sz val="11"/>
        <color theme="1"/>
        <name val="Arial"/>
        <family val="2"/>
        <scheme val="minor"/>
      </font>
      <alignment horizontal="center" vertical="bottom" textRotation="0" wrapText="0" indent="0" justifyLastLine="0" shrinkToFit="0" readingOrder="0"/>
    </dxf>
    <dxf>
      <font>
        <b val="0"/>
        <i val="0"/>
        <strike val="0"/>
        <condense val="0"/>
        <extend val="0"/>
        <outline val="0"/>
        <shadow val="0"/>
        <u val="none"/>
        <vertAlign val="baseline"/>
        <sz val="11"/>
        <color theme="1"/>
        <name val="Arial"/>
        <family val="2"/>
        <scheme val="minor"/>
      </font>
      <alignment horizontal="center" vertical="bottom" textRotation="0" wrapText="0" indent="0" justifyLastLine="0" shrinkToFit="0" readingOrder="0"/>
    </dxf>
    <dxf>
      <font>
        <b val="0"/>
        <i val="0"/>
        <strike val="0"/>
        <condense val="0"/>
        <extend val="0"/>
        <outline val="0"/>
        <shadow val="0"/>
        <u val="none"/>
        <vertAlign val="baseline"/>
        <sz val="11"/>
        <color theme="1"/>
        <name val="Arial"/>
        <family val="2"/>
        <scheme val="minor"/>
      </font>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Arial"/>
        <family val="2"/>
        <scheme val="minor"/>
      </font>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Arial"/>
        <family val="2"/>
        <scheme val="minor"/>
      </font>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Arial"/>
        <family val="2"/>
        <scheme val="minor"/>
      </font>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Arial"/>
        <family val="2"/>
        <scheme val="minor"/>
      </font>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Arial"/>
        <family val="2"/>
        <scheme val="minor"/>
      </font>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Arial"/>
        <family val="2"/>
        <scheme val="minor"/>
      </font>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Arial"/>
        <family val="2"/>
        <scheme val="minor"/>
      </font>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border outline="0">
        <bottom style="thin">
          <color indexed="64"/>
        </bottom>
      </border>
    </dxf>
    <dxf>
      <border outline="0">
        <right style="thin">
          <color indexed="64"/>
        </right>
        <bottom style="thin">
          <color indexed="64"/>
        </bottom>
      </border>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bgColor rgb="FFFFC000"/>
        </patternFill>
      </fill>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alignment horizontal="center"/>
    </dxf>
    <dxf>
      <alignment vertic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border>
        <right style="thin">
          <color indexed="64"/>
        </right>
      </border>
    </dxf>
    <dxf>
      <border>
        <right style="thin">
          <color indexed="64"/>
        </right>
      </border>
    </dxf>
    <dxf>
      <border>
        <right style="thin">
          <color indexed="64"/>
        </right>
      </border>
    </dxf>
    <dxf>
      <border>
        <left style="thin">
          <color indexed="64"/>
        </left>
        <top style="thin">
          <color indexed="64"/>
        </top>
      </border>
    </dxf>
    <dxf>
      <border>
        <left style="thin">
          <color indexed="64"/>
        </left>
      </border>
    </dxf>
    <dxf>
      <border>
        <left style="thin">
          <color indexed="64"/>
        </left>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alignment horizontal="center"/>
    </dxf>
    <dxf>
      <alignment horizontal="center"/>
    </dxf>
    <dxf>
      <alignment horizontal="center"/>
    </dxf>
    <dxf>
      <alignment horizontal="center"/>
    </dxf>
    <dxf>
      <alignment horizontal="center"/>
    </dxf>
    <dxf>
      <alignment horizontal="center"/>
    </dxf>
    <dxf>
      <font>
        <b val="0"/>
        <i val="0"/>
        <strike val="0"/>
        <condense val="0"/>
        <extend val="0"/>
        <outline val="0"/>
        <shadow val="0"/>
        <u val="none"/>
        <vertAlign val="baseline"/>
        <sz val="10"/>
        <color rgb="FF000000"/>
        <name val="Arial"/>
        <family val="2"/>
        <scheme val="minor"/>
      </font>
      <alignment horizontal="general" vertical="center" textRotation="0" wrapText="1" indent="0" justifyLastLine="0" shrinkToFit="0" readingOrder="0"/>
    </dxf>
    <dxf>
      <font>
        <b val="0"/>
        <i val="0"/>
        <strike val="0"/>
        <condense val="0"/>
        <extend val="0"/>
        <outline val="0"/>
        <shadow val="0"/>
        <u val="none"/>
        <vertAlign val="baseline"/>
        <sz val="10"/>
        <color rgb="FF000000"/>
        <name val="Arial"/>
        <family val="2"/>
        <scheme val="minor"/>
      </font>
      <alignment horizontal="general" vertical="center" textRotation="0" wrapText="1" indent="0" justifyLastLine="0" shrinkToFit="0" readingOrder="0"/>
    </dxf>
    <dxf>
      <font>
        <b val="0"/>
        <i val="0"/>
        <strike val="0"/>
        <condense val="0"/>
        <extend val="0"/>
        <outline val="0"/>
        <shadow val="0"/>
        <u val="none"/>
        <vertAlign val="baseline"/>
        <sz val="10"/>
        <color rgb="FF000000"/>
        <name val="Arial"/>
        <family val="2"/>
        <scheme val="minor"/>
      </font>
      <alignment horizontal="general" vertical="center" textRotation="0" wrapText="1" indent="0" justifyLastLine="0" shrinkToFit="0" readingOrder="0"/>
    </dxf>
    <dxf>
      <font>
        <b val="0"/>
        <i val="0"/>
        <strike val="0"/>
        <condense val="0"/>
        <extend val="0"/>
        <outline val="0"/>
        <shadow val="0"/>
        <u val="none"/>
        <vertAlign val="baseline"/>
        <sz val="10"/>
        <color rgb="FF000000"/>
        <name val="Arial"/>
        <family val="2"/>
        <scheme val="minor"/>
      </font>
      <alignment horizontal="general" vertical="center" textRotation="0" wrapText="1" indent="0" justifyLastLine="0" shrinkToFit="0" readingOrder="0"/>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border>
        <left style="thin">
          <color indexed="64"/>
        </left>
      </border>
    </dxf>
    <dxf>
      <border>
        <left style="thin">
          <color indexed="64"/>
        </left>
      </border>
    </dxf>
    <dxf>
      <border>
        <left style="thin">
          <color indexed="64"/>
        </left>
      </border>
    </dxf>
    <dxf>
      <border>
        <left style="thin">
          <color indexed="64"/>
        </left>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border>
    </dxf>
    <dxf>
      <border>
        <left style="thin">
          <color indexed="64"/>
        </left>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numFmt numFmtId="2" formatCode="0.00"/>
    </dxf>
    <dxf>
      <numFmt numFmtId="2" formatCode="0.00"/>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border>
        <left style="thin">
          <color indexed="64"/>
        </left>
      </border>
    </dxf>
    <dxf>
      <border>
        <left style="thin">
          <color indexed="64"/>
        </left>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border>
        <right style="thin">
          <color indexed="64"/>
        </right>
        <top style="thin">
          <color indexed="64"/>
        </top>
        <bottom style="thin">
          <color indexed="64"/>
        </bottom>
      </border>
    </dxf>
    <dxf>
      <border>
        <right style="thin">
          <color indexed="64"/>
        </right>
        <top style="thin">
          <color indexed="64"/>
        </top>
        <bottom style="thin">
          <color indexed="64"/>
        </bottom>
      </border>
    </dxf>
    <dxf>
      <border>
        <right style="thin">
          <color indexed="64"/>
        </right>
        <top style="thin">
          <color indexed="64"/>
        </top>
        <bottom style="thin">
          <color indexed="64"/>
        </bottom>
      </border>
    </dxf>
    <dxf>
      <border>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top style="thin">
          <color indexed="64"/>
        </top>
      </border>
    </dxf>
    <dxf>
      <border>
        <top style="thin">
          <color indexed="64"/>
        </top>
      </border>
    </dxf>
    <dxf>
      <border>
        <bottom style="thin">
          <color indexed="64"/>
        </bottom>
      </border>
    </dxf>
    <dxf>
      <border>
        <bottom style="thin">
          <color indexed="64"/>
        </bottom>
      </border>
    </dxf>
    <dxf>
      <border>
        <right style="thin">
          <color indexed="64"/>
        </right>
      </border>
    </dxf>
    <dxf>
      <border>
        <right style="thin">
          <color indexed="64"/>
        </right>
      </border>
    </dxf>
    <dxf>
      <border>
        <right style="thin">
          <color indexed="64"/>
        </right>
      </border>
    </dxf>
    <dxf>
      <border>
        <left style="thin">
          <color indexed="64"/>
        </left>
      </border>
    </dxf>
    <dxf>
      <border>
        <left style="thin">
          <color indexed="64"/>
        </left>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horizontal="center"/>
    </dxf>
    <dxf>
      <alignment vertical="center"/>
    </dxf>
    <dxf>
      <border>
        <left style="thin">
          <color indexed="64"/>
        </left>
        <top style="thin">
          <color indexed="64"/>
        </top>
      </border>
    </dxf>
    <dxf>
      <border>
        <left style="thin">
          <color indexed="64"/>
        </left>
      </border>
    </dxf>
    <dxf>
      <border>
        <left style="thin">
          <color indexed="64"/>
        </left>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rgb="FF000000"/>
        <name val="Arial"/>
        <family val="2"/>
        <scheme val="minor"/>
      </font>
      <alignment horizontal="center" vertical="center" textRotation="0" wrapText="0" indent="0" justifyLastLine="0" shrinkToFit="0" readingOrder="0"/>
      <border diagonalUp="0" diagonalDown="0">
        <left style="thin">
          <color indexed="64"/>
        </left>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0"/>
        <color rgb="FF000000"/>
        <name val="Arial"/>
        <family val="2"/>
        <scheme val="minor"/>
      </font>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0"/>
        <color rgb="FF000000"/>
        <name val="Arial"/>
        <family val="2"/>
        <scheme val="minor"/>
      </font>
      <alignment horizontal="center" vertical="center" textRotation="0" wrapText="0" indent="0" justifyLastLine="0" shrinkToFit="0" readingOrder="0"/>
      <border diagonalUp="0" diagonalDown="0">
        <left/>
        <right style="thin">
          <color indexed="64"/>
        </right>
        <top style="thin">
          <color indexed="64"/>
        </top>
        <bottom style="thin">
          <color indexed="64"/>
        </bottom>
        <vertical style="thin">
          <color indexed="64"/>
        </vertical>
        <horizontal style="thin">
          <color indexed="64"/>
        </horizontal>
      </border>
    </dxf>
    <dxf>
      <border>
        <top style="thin">
          <color indexed="64"/>
        </top>
      </border>
    </dxf>
    <dxf>
      <border diagonalUp="0" diagonalDown="0">
        <left style="thin">
          <color indexed="64"/>
        </left>
        <right style="thin">
          <color indexed="64"/>
        </right>
        <top style="thin">
          <color indexed="64"/>
        </top>
        <bottom style="thin">
          <color indexed="64"/>
        </bottom>
      </border>
    </dxf>
    <dxf>
      <border>
        <bottom style="thin">
          <color indexed="64"/>
        </bottom>
      </border>
    </dxf>
    <dxf>
      <alignment horizontal="center" vertical="center" textRotation="0" wrapText="1" indent="0" justifyLastLine="0" shrinkToFit="0" readingOrder="0"/>
      <border diagonalUp="0" diagonalDown="0">
        <left style="thin">
          <color indexed="64"/>
        </left>
        <right style="thin">
          <color indexed="64"/>
        </right>
        <top/>
        <bottom/>
        <vertical style="thin">
          <color indexed="64"/>
        </vertical>
        <horizontal style="thin">
          <color indexed="64"/>
        </horizontal>
      </border>
    </dxf>
    <dxf>
      <alignment horizontal="center" vertical="center" textRotation="0" wrapText="1" indent="0" justifyLastLine="0" shrinkToFit="0" readingOrder="0"/>
      <border diagonalUp="0" diagonalDown="0">
        <left style="thin">
          <color indexed="64"/>
        </left>
        <right/>
        <top style="thin">
          <color indexed="64"/>
        </top>
        <bottom style="thin">
          <color indexed="64"/>
        </bottom>
        <vertical style="thin">
          <color indexed="64"/>
        </vertical>
        <horizontal style="thin">
          <color indexed="64"/>
        </horizontal>
      </border>
    </dxf>
    <dxf>
      <alignment horizontal="center" vertical="center" textRotation="0" wrapText="1" indent="0" justifyLastLine="0" shrinkToFit="0" readingOrder="0"/>
      <border diagonalUp="0" diagonalDown="0">
        <left/>
        <right style="thin">
          <color indexed="64"/>
        </right>
        <top style="thin">
          <color indexed="64"/>
        </top>
        <bottom style="thin">
          <color indexed="64"/>
        </bottom>
        <vertical style="thin">
          <color indexed="64"/>
        </vertical>
        <horizontal style="thin">
          <color indexed="64"/>
        </horizontal>
      </border>
    </dxf>
    <dxf>
      <border>
        <top style="thin">
          <color indexed="64"/>
        </top>
      </border>
    </dxf>
    <dxf>
      <border diagonalUp="0" diagonalDown="0">
        <left style="thin">
          <color indexed="64"/>
        </left>
        <right style="thin">
          <color indexed="64"/>
        </right>
        <top style="thin">
          <color indexed="64"/>
        </top>
        <bottom style="thin">
          <color indexed="64"/>
        </bottom>
      </border>
    </dxf>
    <dxf>
      <alignment horizontal="center" vertical="center" textRotation="0" wrapText="1" indent="0" justifyLastLine="0" shrinkToFit="0" readingOrder="0"/>
    </dxf>
    <dxf>
      <border>
        <bottom style="thin">
          <color indexed="64"/>
        </bottom>
      </border>
    </dxf>
    <dxf>
      <font>
        <b/>
        <i val="0"/>
        <strike val="0"/>
        <condense val="0"/>
        <extend val="0"/>
        <outline val="0"/>
        <shadow val="0"/>
        <u val="none"/>
        <vertAlign val="baseline"/>
        <sz val="10"/>
        <color rgb="FF000000"/>
        <name val="Arial"/>
        <scheme val="minor"/>
      </font>
      <alignment horizontal="center" vertical="center" textRotation="0" wrapText="1" indent="0" justifyLastLine="0" shrinkToFit="0" readingOrder="0"/>
      <border diagonalUp="0" diagonalDown="0">
        <left style="thin">
          <color indexed="64"/>
        </left>
        <right style="thin">
          <color indexed="64"/>
        </right>
        <top/>
        <bottom/>
        <vertical style="thin">
          <color indexed="64"/>
        </vertical>
        <horizontal style="thin">
          <color indexed="64"/>
        </horizontal>
      </border>
    </dxf>
    <dxf>
      <alignment horizontal="center" vertical="center" textRotation="0" wrapText="1" indent="0" justifyLastLine="0" shrinkToFit="0" readingOrder="0"/>
      <border diagonalUp="0" diagonalDown="0">
        <left style="thin">
          <color indexed="64"/>
        </left>
        <right/>
        <top style="thin">
          <color indexed="64"/>
        </top>
        <bottom style="thin">
          <color indexed="64"/>
        </bottom>
        <vertical style="thin">
          <color indexed="64"/>
        </vertical>
        <horizontal style="thin">
          <color indexed="64"/>
        </horizontal>
      </border>
    </dxf>
    <dxf>
      <alignment horizontal="center" vertical="center" textRotation="0" wrapText="1" indent="0" justifyLastLine="0" shrinkToFit="0" readingOrder="0"/>
      <border diagonalUp="0" diagonalDown="0">
        <left/>
        <right style="thin">
          <color indexed="64"/>
        </right>
        <top style="thin">
          <color indexed="64"/>
        </top>
        <bottom style="thin">
          <color indexed="64"/>
        </bottom>
        <vertical style="thin">
          <color indexed="64"/>
        </vertical>
        <horizontal style="thin">
          <color indexed="64"/>
        </horizontal>
      </border>
    </dxf>
    <dxf>
      <border>
        <top style="thin">
          <color indexed="64"/>
        </top>
      </border>
    </dxf>
    <dxf>
      <border diagonalUp="0" diagonalDown="0">
        <left style="thin">
          <color indexed="64"/>
        </left>
        <right style="thin">
          <color indexed="64"/>
        </right>
        <top style="thin">
          <color indexed="64"/>
        </top>
        <bottom style="thin">
          <color indexed="64"/>
        </bottom>
      </border>
    </dxf>
    <dxf>
      <alignment horizontal="center" vertical="center" textRotation="0" wrapText="1" indent="0" justifyLastLine="0" shrinkToFit="0" readingOrder="0"/>
    </dxf>
    <dxf>
      <border>
        <bottom style="thin">
          <color indexed="64"/>
        </bottom>
      </border>
    </dxf>
    <dxf>
      <font>
        <b/>
        <i val="0"/>
        <strike val="0"/>
        <condense val="0"/>
        <extend val="0"/>
        <outline val="0"/>
        <shadow val="0"/>
        <u val="none"/>
        <vertAlign val="baseline"/>
        <sz val="10"/>
        <color rgb="FF000000"/>
        <name val="Arial"/>
        <scheme val="minor"/>
      </font>
      <alignment horizontal="center" vertical="center" textRotation="0" wrapText="1" indent="0" justifyLastLine="0" shrinkToFit="0" readingOrder="0"/>
      <border diagonalUp="0" diagonalDown="0">
        <left style="thin">
          <color indexed="64"/>
        </left>
        <right style="thin">
          <color indexed="64"/>
        </right>
        <top/>
        <bottom/>
        <vertical style="thin">
          <color indexed="64"/>
        </vertical>
        <horizontal style="thin">
          <color indexed="64"/>
        </horizontal>
      </border>
    </dxf>
    <dxf>
      <border>
        <vertical style="thin">
          <color indexed="64"/>
        </vertical>
        <horizontal style="thin">
          <color indexed="64"/>
        </horizontal>
      </border>
    </dxf>
    <dxf>
      <border>
        <vertical style="thin">
          <color indexed="64"/>
        </vertical>
        <horizontal style="thin">
          <color indexed="64"/>
        </horizontal>
      </border>
    </dxf>
    <dxf>
      <border>
        <vertical style="thin">
          <color indexed="64"/>
        </vertical>
        <horizontal style="thin">
          <color indexed="64"/>
        </horizontal>
      </border>
    </dxf>
    <dxf>
      <border>
        <vertical style="thin">
          <color indexed="64"/>
        </vertical>
        <horizontal style="thin">
          <color indexed="64"/>
        </horizontal>
      </border>
    </dxf>
    <dxf>
      <border>
        <vertical style="thin">
          <color indexed="64"/>
        </vertical>
        <horizontal style="thin">
          <color indexed="64"/>
        </horizontal>
      </border>
    </dxf>
    <dxf>
      <border>
        <vertical style="thin">
          <color indexed="64"/>
        </vertical>
        <horizontal style="thin">
          <color indexed="64"/>
        </horizontal>
      </border>
    </dxf>
    <dxf>
      <border>
        <left style="thin">
          <color indexed="64"/>
        </left>
      </border>
    </dxf>
    <dxf>
      <border>
        <left style="thin">
          <color indexed="64"/>
        </left>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numFmt numFmtId="2" formatCode="0.00"/>
    </dxf>
    <dxf>
      <numFmt numFmtId="0" formatCode="Genera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border>
    </dxf>
    <dxf>
      <numFmt numFmtId="2" formatCode="0.00"/>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numFmt numFmtId="2" formatCode="0.00"/>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numFmt numFmtId="2" formatCode="0.00"/>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numFmt numFmtId="0" formatCode="Genera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numFmt numFmtId="0" formatCode="Genera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0" formatCode="Genera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0" formatCode="Genera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numFmt numFmtId="0" formatCode="Genera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19" formatCode="dd/mm/yy"/>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vertical="center" textRotation="0" wrapText="0" indent="0" justifyLastLine="0" shrinkToFit="0" readingOrder="0"/>
      <border diagonalUp="0" diagonalDown="0">
        <left/>
        <right style="thin">
          <color indexed="64"/>
        </right>
        <top style="thin">
          <color indexed="64"/>
        </top>
        <bottom style="thin">
          <color indexed="64"/>
        </bottom>
        <vertical style="thin">
          <color indexed="64"/>
        </vertical>
        <horizontal style="thin">
          <color indexed="64"/>
        </horizontal>
      </border>
    </dxf>
    <dxf>
      <border>
        <top style="thin">
          <color indexed="64"/>
        </top>
      </border>
    </dxf>
    <dxf>
      <border diagonalUp="0" diagonalDown="0">
        <left style="thin">
          <color indexed="64"/>
        </left>
        <right style="thin">
          <color indexed="64"/>
        </right>
        <top style="thin">
          <color indexed="64"/>
        </top>
        <bottom style="thin">
          <color indexed="64"/>
        </bottom>
      </border>
    </dxf>
    <dxf>
      <alignment horizontal="center" vertical="center" textRotation="0" wrapText="0" indent="0" justifyLastLine="0" shrinkToFit="0" readingOrder="0"/>
    </dxf>
    <dxf>
      <border>
        <bottom style="thin">
          <color indexed="64"/>
        </bottom>
      </border>
    </dxf>
    <dxf>
      <alignment horizontal="center" vertical="center" textRotation="0" wrapText="0" indent="0" justifyLastLine="0" shrinkToFit="0" readingOrder="0"/>
      <border diagonalUp="0" diagonalDown="0">
        <left style="thin">
          <color indexed="64"/>
        </left>
        <right style="thin">
          <color indexed="64"/>
        </right>
        <top/>
        <bottom/>
        <vertical style="thin">
          <color indexed="64"/>
        </vertical>
        <horizontal style="thin">
          <color indexed="64"/>
        </horizontal>
      </border>
    </dxf>
    <dxf>
      <font>
        <b val="0"/>
        <i val="0"/>
        <strike val="0"/>
        <condense val="0"/>
        <extend val="0"/>
        <outline val="0"/>
        <shadow val="0"/>
        <u val="none"/>
        <vertAlign val="baseline"/>
        <sz val="10"/>
        <color theme="1"/>
        <name val="Arial"/>
        <family val="2"/>
        <scheme val="minor"/>
      </font>
      <alignment horizontal="center" vertical="center" textRotation="0" wrapText="0" indent="0" justifyLastLine="0" shrinkToFit="0" readingOrder="0"/>
      <border diagonalUp="0" diagonalDown="0">
        <left style="thin">
          <color indexed="64"/>
        </left>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0"/>
        <color theme="1"/>
        <name val="Arial"/>
        <family val="2"/>
        <scheme val="minor"/>
      </font>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0"/>
        <color theme="1"/>
        <name val="Arial"/>
        <family val="2"/>
        <scheme val="minor"/>
      </font>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0"/>
        <color theme="1"/>
        <name val="Arial"/>
        <family val="2"/>
        <scheme val="minor"/>
      </font>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0"/>
        <color theme="1"/>
        <name val="Arial"/>
        <family val="2"/>
        <scheme val="minor"/>
      </font>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0"/>
        <color theme="1"/>
        <name val="Arial"/>
        <family val="2"/>
        <scheme val="minor"/>
      </font>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0"/>
        <color theme="1"/>
        <name val="Arial"/>
        <family val="2"/>
        <scheme val="minor"/>
      </font>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0"/>
        <color theme="1"/>
        <name val="Arial"/>
        <family val="2"/>
        <scheme val="minor"/>
      </font>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0"/>
        <color theme="1"/>
        <name val="Arial"/>
        <family val="2"/>
        <scheme val="minor"/>
      </font>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0"/>
        <color theme="1"/>
        <name val="Arial"/>
        <family val="2"/>
        <scheme val="minor"/>
      </font>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0"/>
        <color theme="1"/>
        <name val="Arial"/>
        <family val="2"/>
        <scheme val="minor"/>
      </font>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0"/>
        <color theme="1"/>
        <name val="Arial"/>
        <family val="2"/>
        <scheme val="minor"/>
      </font>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0"/>
        <color theme="1"/>
        <name val="Arial"/>
        <family val="2"/>
        <scheme val="minor"/>
      </font>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0"/>
        <color theme="1"/>
        <name val="Arial"/>
        <family val="2"/>
        <scheme val="minor"/>
      </font>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0"/>
        <color theme="1"/>
        <name val="Arial"/>
        <family val="2"/>
        <scheme val="minor"/>
      </font>
      <numFmt numFmtId="164" formatCode="dd\-mm\-yyyy"/>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0"/>
        <color theme="1"/>
        <name val="Arial"/>
        <family val="2"/>
        <scheme val="minor"/>
      </font>
      <alignment horizontal="center" vertical="center" textRotation="0" wrapText="0" indent="0" justifyLastLine="0" shrinkToFit="0" readingOrder="0"/>
      <border diagonalUp="0" diagonalDown="0">
        <left/>
        <right style="thin">
          <color indexed="64"/>
        </right>
        <top style="thin">
          <color indexed="64"/>
        </top>
        <bottom style="thin">
          <color indexed="64"/>
        </bottom>
        <vertical style="thin">
          <color indexed="64"/>
        </vertical>
        <horizontal style="thin">
          <color indexed="64"/>
        </horizontal>
      </border>
    </dxf>
    <dxf>
      <border>
        <top style="thin">
          <color indexed="64"/>
        </top>
      </border>
    </dxf>
    <dxf>
      <border diagonalUp="0" diagonalDown="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theme="1"/>
        <name val="Arial"/>
        <family val="2"/>
        <scheme val="minor"/>
      </font>
      <alignment horizontal="center" vertical="center" textRotation="0" wrapText="0" indent="0" justifyLastLine="0" shrinkToFit="0" readingOrder="0"/>
    </dxf>
    <dxf>
      <border>
        <bottom style="thin">
          <color indexed="64"/>
        </bottom>
      </border>
    </dxf>
    <dxf>
      <font>
        <b val="0"/>
        <i val="0"/>
        <strike val="0"/>
        <condense val="0"/>
        <extend val="0"/>
        <outline val="0"/>
        <shadow val="0"/>
        <u val="none"/>
        <vertAlign val="baseline"/>
        <sz val="10"/>
        <color theme="1"/>
        <name val="Arial"/>
        <family val="2"/>
        <scheme val="minor"/>
      </font>
      <alignment horizontal="center" vertical="center" textRotation="0" wrapText="0" indent="0" justifyLastLine="0" shrinkToFit="0" readingOrder="0"/>
      <border diagonalUp="0" diagonalDown="0">
        <left style="thin">
          <color indexed="64"/>
        </left>
        <right style="thin">
          <color indexed="64"/>
        </right>
        <top/>
        <bottom/>
        <vertical style="thin">
          <color indexed="64"/>
        </vertical>
        <horizontal style="thin">
          <color indexed="64"/>
        </horizontal>
      </border>
    </dxf>
    <dxf>
      <font>
        <b val="0"/>
        <i val="0"/>
        <strike val="0"/>
        <condense val="0"/>
        <extend val="0"/>
        <outline val="0"/>
        <shadow val="0"/>
        <u val="none"/>
        <vertAlign val="baseline"/>
        <sz val="10"/>
        <color theme="1"/>
        <name val="Arial"/>
        <scheme val="minor"/>
      </font>
      <alignment horizontal="center" vertical="center" textRotation="0" wrapText="0" indent="0" justifyLastLine="0" shrinkToFit="0" readingOrder="0"/>
      <border diagonalUp="0" diagonalDown="0">
        <left style="thin">
          <color indexed="64"/>
        </left>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0"/>
        <color theme="1"/>
        <name val="Arial"/>
        <scheme val="minor"/>
      </font>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0"/>
        <color theme="1"/>
        <name val="Arial"/>
        <scheme val="minor"/>
      </font>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0"/>
        <color theme="1"/>
        <name val="Arial"/>
        <scheme val="minor"/>
      </font>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0"/>
        <color theme="1"/>
        <name val="Arial"/>
        <scheme val="minor"/>
      </font>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0"/>
        <color theme="1"/>
        <name val="Arial"/>
        <scheme val="minor"/>
      </font>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0"/>
        <color theme="1"/>
        <name val="Arial"/>
        <scheme val="minor"/>
      </font>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0"/>
        <color theme="1"/>
        <name val="Arial"/>
        <scheme val="minor"/>
      </font>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0"/>
        <color theme="1"/>
        <name val="Arial"/>
        <scheme val="minor"/>
      </font>
      <numFmt numFmtId="164" formatCode="dd\-mm\-yyyy"/>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0"/>
        <color theme="1"/>
        <name val="Arial"/>
        <scheme val="minor"/>
      </font>
      <alignment horizontal="center" vertical="center" textRotation="0" wrapText="0" indent="0" justifyLastLine="0" shrinkToFit="0" readingOrder="0"/>
      <border diagonalUp="0" diagonalDown="0">
        <left/>
        <right style="thin">
          <color indexed="64"/>
        </right>
        <top style="thin">
          <color indexed="64"/>
        </top>
        <bottom style="thin">
          <color indexed="64"/>
        </bottom>
        <vertical style="thin">
          <color indexed="64"/>
        </vertical>
        <horizontal style="thin">
          <color indexed="64"/>
        </horizontal>
      </border>
    </dxf>
    <dxf>
      <border>
        <top style="thin">
          <color indexed="64"/>
        </top>
      </border>
    </dxf>
    <dxf>
      <border diagonalUp="0" diagonalDown="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theme="1"/>
        <name val="Arial"/>
        <scheme val="minor"/>
      </font>
      <alignment horizontal="center" vertical="center" textRotation="0" wrapText="0" indent="0" justifyLastLine="0" shrinkToFit="0" readingOrder="0"/>
    </dxf>
    <dxf>
      <border>
        <bottom style="thin">
          <color indexed="64"/>
        </bottom>
      </border>
    </dxf>
    <dxf>
      <font>
        <b val="0"/>
        <i val="0"/>
        <strike val="0"/>
        <condense val="0"/>
        <extend val="0"/>
        <outline val="0"/>
        <shadow val="0"/>
        <u val="none"/>
        <vertAlign val="baseline"/>
        <sz val="10"/>
        <color theme="1"/>
        <name val="Arial"/>
        <scheme val="minor"/>
      </font>
      <alignment horizontal="center" vertical="center" textRotation="0" wrapText="0" indent="0" justifyLastLine="0" shrinkToFit="0" readingOrder="0"/>
      <border diagonalUp="0" diagonalDown="0">
        <left style="thin">
          <color indexed="64"/>
        </left>
        <right style="thin">
          <color indexed="64"/>
        </right>
        <top/>
        <bottom/>
        <vertical style="thin">
          <color indexed="64"/>
        </vertical>
        <horizontal style="thin">
          <color indexed="64"/>
        </horizontal>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microsoft.com/office/2007/relationships/slicerCache" Target="slicerCaches/slicerCache1.xml"/><Relationship Id="rId26" Type="http://schemas.openxmlformats.org/officeDocument/2006/relationships/connections" Target="connections.xml"/><Relationship Id="rId3" Type="http://schemas.openxmlformats.org/officeDocument/2006/relationships/worksheet" Target="worksheets/sheet3.xml"/><Relationship Id="rId21" Type="http://schemas.microsoft.com/office/2007/relationships/slicerCache" Target="slicerCaches/slicerCache4.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pivotCacheDefinition" Target="pivotCache/pivotCacheDefinition1.xml"/><Relationship Id="rId25"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worksheet" Target="worksheets/sheet16.xml"/><Relationship Id="rId20" Type="http://schemas.microsoft.com/office/2007/relationships/slicerCache" Target="slicerCaches/slicerCache3.xml"/><Relationship Id="rId29"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microsoft.com/office/2007/relationships/slicerCache" Target="slicerCaches/slicerCache7.xml"/><Relationship Id="rId5" Type="http://schemas.openxmlformats.org/officeDocument/2006/relationships/worksheet" Target="worksheets/sheet5.xml"/><Relationship Id="rId15" Type="http://schemas.openxmlformats.org/officeDocument/2006/relationships/worksheet" Target="worksheets/sheet15.xml"/><Relationship Id="rId23" Type="http://schemas.microsoft.com/office/2007/relationships/slicerCache" Target="slicerCaches/slicerCache6.xml"/><Relationship Id="rId28" Type="http://schemas.openxmlformats.org/officeDocument/2006/relationships/sharedStrings" Target="sharedStrings.xml"/><Relationship Id="rId10" Type="http://schemas.openxmlformats.org/officeDocument/2006/relationships/worksheet" Target="worksheets/sheet10.xml"/><Relationship Id="rId19" Type="http://schemas.microsoft.com/office/2007/relationships/slicerCache" Target="slicerCaches/slicerCache2.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microsoft.com/office/2007/relationships/slicerCache" Target="slicerCaches/slicerCache5.xml"/><Relationship Id="rId27" Type="http://schemas.openxmlformats.org/officeDocument/2006/relationships/styles" Target="styles.xml"/><Relationship Id="rId30" Type="http://schemas.openxmlformats.org/officeDocument/2006/relationships/customXml" Target="../customXml/item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8.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9.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0.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1.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2.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3.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4.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5.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16.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_rels/chartEx1.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Ex2.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[project.xlsx]Hrs wise count!PivotTable5</c:name>
    <c:fmtId val="9"/>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IN" b="1"/>
              <a:t>Hrs</a:t>
            </a:r>
            <a:r>
              <a:rPr lang="en-IN" b="1" baseline="0"/>
              <a:t> wise count</a:t>
            </a:r>
            <a:endParaRPr lang="en-IN" b="1"/>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solidFill>
              <a:srgbClr val="00B050"/>
            </a:solidFill>
          </a:ln>
          <a:effectLst>
            <a:outerShdw blurRad="50800" dist="38100" dir="2700000" algn="tl" rotWithShape="0">
              <a:prstClr val="black">
                <a:alpha val="40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solidFill>
              <a:srgbClr val="00B050"/>
            </a:solidFill>
          </a:ln>
          <a:effectLst>
            <a:outerShdw blurRad="50800" dist="38100" dir="2700000" algn="tl" rotWithShape="0">
              <a:prstClr val="black">
                <a:alpha val="40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solidFill>
              <a:srgbClr val="00B050"/>
            </a:solidFill>
          </a:ln>
          <a:effectLst>
            <a:outerShdw blurRad="50800" dist="38100" dir="2700000" algn="tl" rotWithShape="0">
              <a:prstClr val="black">
                <a:alpha val="40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'Hrs wise count'!$C$5</c:f>
              <c:strCache>
                <c:ptCount val="1"/>
                <c:pt idx="0">
                  <c:v>Sum of registered</c:v>
                </c:pt>
              </c:strCache>
            </c:strRef>
          </c:tx>
          <c:spPr>
            <a:solidFill>
              <a:schemeClr val="accent1"/>
            </a:solidFill>
            <a:ln>
              <a:solidFill>
                <a:srgbClr val="00B050"/>
              </a:solidFill>
            </a:ln>
            <a:effectLst>
              <a:outerShdw blurRad="50800" dist="38100" dir="2700000" algn="tl" rotWithShape="0">
                <a:prstClr val="black">
                  <a:alpha val="40000"/>
                </a:prstClr>
              </a:outerShdw>
            </a:effectLst>
          </c:spPr>
          <c:invertIfNegative val="0"/>
          <c:cat>
            <c:strRef>
              <c:f>'Hrs wise count'!$B$6:$B$30</c:f>
              <c:strCache>
                <c:ptCount val="24"/>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20</c:v>
                </c:pt>
                <c:pt idx="21">
                  <c:v>21</c:v>
                </c:pt>
                <c:pt idx="22">
                  <c:v>22</c:v>
                </c:pt>
                <c:pt idx="23">
                  <c:v>23</c:v>
                </c:pt>
              </c:strCache>
            </c:strRef>
          </c:cat>
          <c:val>
            <c:numRef>
              <c:f>'Hrs wise count'!$C$6:$C$30</c:f>
              <c:numCache>
                <c:formatCode>General</c:formatCode>
                <c:ptCount val="24"/>
                <c:pt idx="0">
                  <c:v>629</c:v>
                </c:pt>
                <c:pt idx="1">
                  <c:v>412</c:v>
                </c:pt>
                <c:pt idx="2">
                  <c:v>261</c:v>
                </c:pt>
                <c:pt idx="3">
                  <c:v>117</c:v>
                </c:pt>
                <c:pt idx="4">
                  <c:v>62</c:v>
                </c:pt>
                <c:pt idx="5">
                  <c:v>161</c:v>
                </c:pt>
                <c:pt idx="6">
                  <c:v>801</c:v>
                </c:pt>
                <c:pt idx="7">
                  <c:v>2275</c:v>
                </c:pt>
                <c:pt idx="8">
                  <c:v>5261</c:v>
                </c:pt>
                <c:pt idx="9">
                  <c:v>3500</c:v>
                </c:pt>
                <c:pt idx="10">
                  <c:v>2037</c:v>
                </c:pt>
                <c:pt idx="11">
                  <c:v>2127</c:v>
                </c:pt>
                <c:pt idx="12">
                  <c:v>2801</c:v>
                </c:pt>
                <c:pt idx="13">
                  <c:v>2863</c:v>
                </c:pt>
                <c:pt idx="14">
                  <c:v>2734</c:v>
                </c:pt>
                <c:pt idx="15">
                  <c:v>2816</c:v>
                </c:pt>
                <c:pt idx="16">
                  <c:v>3435</c:v>
                </c:pt>
                <c:pt idx="17">
                  <c:v>5774</c:v>
                </c:pt>
                <c:pt idx="18">
                  <c:v>5061</c:v>
                </c:pt>
                <c:pt idx="19">
                  <c:v>3474</c:v>
                </c:pt>
                <c:pt idx="20">
                  <c:v>2516</c:v>
                </c:pt>
                <c:pt idx="21">
                  <c:v>1879</c:v>
                </c:pt>
                <c:pt idx="22">
                  <c:v>1405</c:v>
                </c:pt>
                <c:pt idx="23">
                  <c:v>982</c:v>
                </c:pt>
              </c:numCache>
            </c:numRef>
          </c:val>
          <c:extLst>
            <c:ext xmlns:c16="http://schemas.microsoft.com/office/drawing/2014/chart" uri="{C3380CC4-5D6E-409C-BE32-E72D297353CC}">
              <c16:uniqueId val="{00000000-1A0B-44A4-9DAB-82787EFB8C4F}"/>
            </c:ext>
          </c:extLst>
        </c:ser>
        <c:ser>
          <c:idx val="1"/>
          <c:order val="1"/>
          <c:tx>
            <c:strRef>
              <c:f>'Hrs wise count'!$D$5</c:f>
              <c:strCache>
                <c:ptCount val="1"/>
                <c:pt idx="0">
                  <c:v>Sum of casual</c:v>
                </c:pt>
              </c:strCache>
            </c:strRef>
          </c:tx>
          <c:spPr>
            <a:solidFill>
              <a:schemeClr val="accent2"/>
            </a:solidFill>
            <a:ln>
              <a:noFill/>
            </a:ln>
            <a:effectLst/>
          </c:spPr>
          <c:invertIfNegative val="0"/>
          <c:cat>
            <c:strRef>
              <c:f>'Hrs wise count'!$B$6:$B$30</c:f>
              <c:strCache>
                <c:ptCount val="24"/>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20</c:v>
                </c:pt>
                <c:pt idx="21">
                  <c:v>21</c:v>
                </c:pt>
                <c:pt idx="22">
                  <c:v>22</c:v>
                </c:pt>
                <c:pt idx="23">
                  <c:v>23</c:v>
                </c:pt>
              </c:strCache>
            </c:strRef>
          </c:cat>
          <c:val>
            <c:numRef>
              <c:f>'Hrs wise count'!$D$6:$D$30</c:f>
              <c:numCache>
                <c:formatCode>General</c:formatCode>
                <c:ptCount val="24"/>
                <c:pt idx="0">
                  <c:v>74</c:v>
                </c:pt>
                <c:pt idx="1">
                  <c:v>48</c:v>
                </c:pt>
                <c:pt idx="2">
                  <c:v>33</c:v>
                </c:pt>
                <c:pt idx="3">
                  <c:v>34</c:v>
                </c:pt>
                <c:pt idx="4">
                  <c:v>7</c:v>
                </c:pt>
                <c:pt idx="5">
                  <c:v>3</c:v>
                </c:pt>
                <c:pt idx="6">
                  <c:v>21</c:v>
                </c:pt>
                <c:pt idx="7">
                  <c:v>64</c:v>
                </c:pt>
                <c:pt idx="8">
                  <c:v>127</c:v>
                </c:pt>
                <c:pt idx="9">
                  <c:v>172</c:v>
                </c:pt>
                <c:pt idx="10">
                  <c:v>216</c:v>
                </c:pt>
                <c:pt idx="11">
                  <c:v>367</c:v>
                </c:pt>
                <c:pt idx="12">
                  <c:v>482</c:v>
                </c:pt>
                <c:pt idx="13">
                  <c:v>513</c:v>
                </c:pt>
                <c:pt idx="14">
                  <c:v>466</c:v>
                </c:pt>
                <c:pt idx="15">
                  <c:v>536</c:v>
                </c:pt>
                <c:pt idx="16">
                  <c:v>493</c:v>
                </c:pt>
                <c:pt idx="17">
                  <c:v>395</c:v>
                </c:pt>
                <c:pt idx="18">
                  <c:v>222</c:v>
                </c:pt>
                <c:pt idx="19">
                  <c:v>187</c:v>
                </c:pt>
                <c:pt idx="20">
                  <c:v>140</c:v>
                </c:pt>
                <c:pt idx="21">
                  <c:v>117</c:v>
                </c:pt>
                <c:pt idx="22">
                  <c:v>103</c:v>
                </c:pt>
                <c:pt idx="23">
                  <c:v>101</c:v>
                </c:pt>
              </c:numCache>
            </c:numRef>
          </c:val>
          <c:extLst>
            <c:ext xmlns:c16="http://schemas.microsoft.com/office/drawing/2014/chart" uri="{C3380CC4-5D6E-409C-BE32-E72D297353CC}">
              <c16:uniqueId val="{00000001-1A0B-44A4-9DAB-82787EFB8C4F}"/>
            </c:ext>
          </c:extLst>
        </c:ser>
        <c:dLbls>
          <c:showLegendKey val="0"/>
          <c:showVal val="0"/>
          <c:showCatName val="0"/>
          <c:showSerName val="0"/>
          <c:showPercent val="0"/>
          <c:showBubbleSize val="0"/>
        </c:dLbls>
        <c:gapWidth val="144"/>
        <c:overlap val="-15"/>
        <c:axId val="488140576"/>
        <c:axId val="488149216"/>
      </c:barChart>
      <c:catAx>
        <c:axId val="4881405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88149216"/>
        <c:crosses val="autoZero"/>
        <c:auto val="1"/>
        <c:lblAlgn val="ctr"/>
        <c:lblOffset val="100"/>
        <c:noMultiLvlLbl val="0"/>
      </c:catAx>
      <c:valAx>
        <c:axId val="48814921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88140576"/>
        <c:crosses val="autoZero"/>
        <c:crossBetween val="between"/>
      </c:valAx>
      <c:spPr>
        <a:noFill/>
        <a:ln cmpd="sng">
          <a:noFill/>
        </a:ln>
        <a:effectLst>
          <a:outerShdw blurRad="571500" dist="50800" dir="5400000" sx="1000" sy="1000" algn="ctr" rotWithShape="0">
            <a:srgbClr val="000000"/>
          </a:outerShdw>
        </a:effectLst>
      </c:spPr>
    </c:plotArea>
    <c:legend>
      <c:legendPos val="b"/>
      <c:overlay val="0"/>
      <c:spPr>
        <a:noFill/>
        <a:ln>
          <a:noFill/>
        </a:ln>
        <a:effectLst/>
      </c:spPr>
      <c:txPr>
        <a:bodyPr rot="0" spcFirstLastPara="1" vertOverflow="ellipsis" vert="horz" wrap="square" anchor="ctr" anchorCtr="1"/>
        <a:lstStyle/>
        <a:p>
          <a:pPr>
            <a:defRPr sz="1100" b="1"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[project.xlsx]weth_cat wise users!PivotTable6</c:name>
    <c:fmtId val="8"/>
  </c:pivotSource>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en-IN"/>
              <a:t>Weather</a:t>
            </a:r>
            <a:r>
              <a:rPr lang="en-IN" baseline="0"/>
              <a:t> wise users</a:t>
            </a:r>
            <a:endParaRPr lang="en-IN"/>
          </a:p>
        </c:rich>
      </c:tx>
      <c:layout>
        <c:manualLayout>
          <c:xMode val="edge"/>
          <c:yMode val="edge"/>
          <c:x val="0.32524960499340566"/>
          <c:y val="0.10336209686118"/>
        </c:manualLayout>
      </c:layout>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IN"/>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11740325459317588"/>
          <c:y val="0.23418079012823137"/>
          <c:w val="0.86037445319335082"/>
          <c:h val="0.49621172353455817"/>
        </c:manualLayout>
      </c:layout>
      <c:bar3DChart>
        <c:barDir val="col"/>
        <c:grouping val="clustered"/>
        <c:varyColors val="0"/>
        <c:ser>
          <c:idx val="0"/>
          <c:order val="0"/>
          <c:tx>
            <c:strRef>
              <c:f>'weth_cat wise users'!$C$12</c:f>
              <c:strCache>
                <c:ptCount val="1"/>
                <c:pt idx="0">
                  <c:v>Sum of casual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2">
                          <a:lumMod val="35000"/>
                          <a:lumOff val="65000"/>
                        </a:schemeClr>
                      </a:solidFill>
                    </a:ln>
                    <a:effectLst/>
                  </c:spPr>
                </c15:leaderLines>
              </c:ext>
            </c:extLst>
          </c:dLbls>
          <c:cat>
            <c:strRef>
              <c:f>'weth_cat wise users'!$B$13:$B$17</c:f>
              <c:strCache>
                <c:ptCount val="4"/>
                <c:pt idx="0">
                  <c:v>Clear/Partly Cloudy</c:v>
                </c:pt>
                <c:pt idx="1">
                  <c:v>Heavy Rain </c:v>
                </c:pt>
                <c:pt idx="2">
                  <c:v>Light Snow / Rain </c:v>
                </c:pt>
                <c:pt idx="3">
                  <c:v>Mist / cloudy </c:v>
                </c:pt>
              </c:strCache>
            </c:strRef>
          </c:cat>
          <c:val>
            <c:numRef>
              <c:f>'weth_cat wise users'!$C$13:$C$17</c:f>
              <c:numCache>
                <c:formatCode>General</c:formatCode>
                <c:ptCount val="4"/>
                <c:pt idx="0">
                  <c:v>3211</c:v>
                </c:pt>
                <c:pt idx="1">
                  <c:v>1</c:v>
                </c:pt>
                <c:pt idx="2">
                  <c:v>171</c:v>
                </c:pt>
                <c:pt idx="3">
                  <c:v>1538</c:v>
                </c:pt>
              </c:numCache>
            </c:numRef>
          </c:val>
          <c:extLst>
            <c:ext xmlns:c16="http://schemas.microsoft.com/office/drawing/2014/chart" uri="{C3380CC4-5D6E-409C-BE32-E72D297353CC}">
              <c16:uniqueId val="{00000000-5C1C-4C58-9C4B-56C1BBF2711E}"/>
            </c:ext>
          </c:extLst>
        </c:ser>
        <c:ser>
          <c:idx val="1"/>
          <c:order val="1"/>
          <c:tx>
            <c:strRef>
              <c:f>'weth_cat wise users'!$D$12</c:f>
              <c:strCache>
                <c:ptCount val="1"/>
                <c:pt idx="0">
                  <c:v>Sum of registered</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2">
                          <a:lumMod val="35000"/>
                          <a:lumOff val="65000"/>
                        </a:schemeClr>
                      </a:solidFill>
                    </a:ln>
                    <a:effectLst/>
                  </c:spPr>
                </c15:leaderLines>
              </c:ext>
            </c:extLst>
          </c:dLbls>
          <c:cat>
            <c:strRef>
              <c:f>'weth_cat wise users'!$B$13:$B$17</c:f>
              <c:strCache>
                <c:ptCount val="4"/>
                <c:pt idx="0">
                  <c:v>Clear/Partly Cloudy</c:v>
                </c:pt>
                <c:pt idx="1">
                  <c:v>Heavy Rain </c:v>
                </c:pt>
                <c:pt idx="2">
                  <c:v>Light Snow / Rain </c:v>
                </c:pt>
                <c:pt idx="3">
                  <c:v>Mist / cloudy </c:v>
                </c:pt>
              </c:strCache>
            </c:strRef>
          </c:cat>
          <c:val>
            <c:numRef>
              <c:f>'weth_cat wise users'!$D$13:$D$17</c:f>
              <c:numCache>
                <c:formatCode>General</c:formatCode>
                <c:ptCount val="4"/>
                <c:pt idx="0">
                  <c:v>34162</c:v>
                </c:pt>
                <c:pt idx="1">
                  <c:v>35</c:v>
                </c:pt>
                <c:pt idx="2">
                  <c:v>2618</c:v>
                </c:pt>
                <c:pt idx="3">
                  <c:v>16568</c:v>
                </c:pt>
              </c:numCache>
            </c:numRef>
          </c:val>
          <c:extLst>
            <c:ext xmlns:c16="http://schemas.microsoft.com/office/drawing/2014/chart" uri="{C3380CC4-5D6E-409C-BE32-E72D297353CC}">
              <c16:uniqueId val="{00000001-5C1C-4C58-9C4B-56C1BBF2711E}"/>
            </c:ext>
          </c:extLst>
        </c:ser>
        <c:dLbls>
          <c:showLegendKey val="0"/>
          <c:showVal val="1"/>
          <c:showCatName val="0"/>
          <c:showSerName val="0"/>
          <c:showPercent val="0"/>
          <c:showBubbleSize val="0"/>
        </c:dLbls>
        <c:gapWidth val="150"/>
        <c:shape val="box"/>
        <c:axId val="1875574272"/>
        <c:axId val="1875572832"/>
        <c:axId val="0"/>
      </c:bar3DChart>
      <c:catAx>
        <c:axId val="1875574272"/>
        <c:scaling>
          <c:orientation val="minMax"/>
        </c:scaling>
        <c:delete val="0"/>
        <c:axPos val="b"/>
        <c:numFmt formatCode="General" sourceLinked="1"/>
        <c:majorTickMark val="none"/>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1100" b="1" i="0" u="none" strike="noStrike" kern="1200" baseline="0">
                <a:solidFill>
                  <a:schemeClr val="tx2"/>
                </a:solidFill>
                <a:latin typeface="+mn-lt"/>
                <a:ea typeface="+mn-ea"/>
                <a:cs typeface="+mn-cs"/>
              </a:defRPr>
            </a:pPr>
            <a:endParaRPr lang="en-US"/>
          </a:p>
        </c:txPr>
        <c:crossAx val="1875572832"/>
        <c:crosses val="autoZero"/>
        <c:auto val="1"/>
        <c:lblAlgn val="ctr"/>
        <c:lblOffset val="100"/>
        <c:noMultiLvlLbl val="0"/>
      </c:catAx>
      <c:valAx>
        <c:axId val="1875572832"/>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187557427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[project.xlsx]time_prd combo!PivotTable1</c:name>
    <c:fmtId val="4"/>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IN" b="1"/>
              <a:t>Time</a:t>
            </a:r>
            <a:r>
              <a:rPr lang="en-IN" b="1" baseline="0"/>
              <a:t> period wise </a:t>
            </a:r>
            <a:endParaRPr lang="en-IN" b="1"/>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layout>
            <c:manualLayout>
              <c:x val="-4.1666666666666664E-2"/>
              <c:y val="7.4074074074073987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2"/>
            </a:solidFill>
            <a:round/>
          </a:ln>
          <a:effectLst/>
        </c:spPr>
        <c:marker>
          <c:symbol val="none"/>
        </c:marker>
        <c:dLbl>
          <c:idx val="0"/>
          <c:layout>
            <c:manualLayout>
              <c:x val="-4.1666666666666664E-2"/>
              <c:y val="7.4074074074073987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ln w="28575" cap="rnd">
            <a:solidFill>
              <a:schemeClr val="accent2"/>
            </a:solidFill>
            <a:round/>
          </a:ln>
          <a:effectLst/>
        </c:spPr>
        <c:marker>
          <c:symbol val="none"/>
        </c:marker>
        <c:dLbl>
          <c:idx val="0"/>
          <c:layout>
            <c:manualLayout>
              <c:x val="-4.1666666666666664E-2"/>
              <c:y val="7.4074074074073987E-2"/>
            </c:manualLayout>
          </c:layout>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'time_prd combo'!$C$10</c:f>
              <c:strCache>
                <c:ptCount val="1"/>
                <c:pt idx="0">
                  <c:v>Sum of casual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'time_prd combo'!$B$11:$B$14</c:f>
              <c:strCache>
                <c:ptCount val="4"/>
                <c:pt idx="0">
                  <c:v>Afternoon</c:v>
                </c:pt>
                <c:pt idx="1">
                  <c:v>Evening</c:v>
                </c:pt>
                <c:pt idx="2">
                  <c:v>Morning</c:v>
                </c:pt>
                <c:pt idx="3">
                  <c:v>Night</c:v>
                </c:pt>
              </c:strCache>
            </c:strRef>
          </c:cat>
          <c:val>
            <c:numRef>
              <c:f>'time_prd combo'!$C$11:$C$14</c:f>
              <c:numCache>
                <c:formatCode>General</c:formatCode>
                <c:ptCount val="4"/>
                <c:pt idx="0">
                  <c:v>2490</c:v>
                </c:pt>
                <c:pt idx="1">
                  <c:v>944</c:v>
                </c:pt>
                <c:pt idx="2">
                  <c:v>967</c:v>
                </c:pt>
                <c:pt idx="3">
                  <c:v>520</c:v>
                </c:pt>
              </c:numCache>
            </c:numRef>
          </c:val>
          <c:extLst>
            <c:ext xmlns:c16="http://schemas.microsoft.com/office/drawing/2014/chart" uri="{C3380CC4-5D6E-409C-BE32-E72D297353CC}">
              <c16:uniqueId val="{00000000-9590-4274-B2C4-1D9367BFE25C}"/>
            </c:ext>
          </c:extLst>
        </c:ser>
        <c:dLbls>
          <c:showLegendKey val="0"/>
          <c:showVal val="1"/>
          <c:showCatName val="0"/>
          <c:showSerName val="0"/>
          <c:showPercent val="0"/>
          <c:showBubbleSize val="0"/>
        </c:dLbls>
        <c:gapWidth val="219"/>
        <c:axId val="488189536"/>
        <c:axId val="488188576"/>
      </c:barChart>
      <c:lineChart>
        <c:grouping val="standard"/>
        <c:varyColors val="0"/>
        <c:ser>
          <c:idx val="1"/>
          <c:order val="1"/>
          <c:tx>
            <c:strRef>
              <c:f>'time_prd combo'!$D$10</c:f>
              <c:strCache>
                <c:ptCount val="1"/>
                <c:pt idx="0">
                  <c:v>Sum of reg</c:v>
                </c:pt>
              </c:strCache>
            </c:strRef>
          </c:tx>
          <c:spPr>
            <a:ln w="28575" cap="rnd">
              <a:solidFill>
                <a:schemeClr val="accent2"/>
              </a:solidFill>
              <a:round/>
            </a:ln>
            <a:effectLst/>
          </c:spPr>
          <c:marker>
            <c:symbol val="none"/>
          </c:marker>
          <c:dPt>
            <c:idx val="3"/>
            <c:marker>
              <c:symbol val="none"/>
            </c:marker>
            <c:bubble3D val="0"/>
            <c:spPr>
              <a:ln w="28575" cap="rnd">
                <a:solidFill>
                  <a:schemeClr val="accent2"/>
                </a:solidFill>
                <a:round/>
              </a:ln>
              <a:effectLst/>
            </c:spPr>
            <c:extLst>
              <c:ext xmlns:c16="http://schemas.microsoft.com/office/drawing/2014/chart" uri="{C3380CC4-5D6E-409C-BE32-E72D297353CC}">
                <c16:uniqueId val="{00000002-9590-4274-B2C4-1D9367BFE25C}"/>
              </c:ext>
            </c:extLst>
          </c:dPt>
          <c:dLbls>
            <c:dLbl>
              <c:idx val="3"/>
              <c:layout>
                <c:manualLayout>
                  <c:x val="-4.1666666666666664E-2"/>
                  <c:y val="7.4074074074073987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9590-4274-B2C4-1D9367BFE25C}"/>
                </c:ext>
              </c:extLst>
            </c:dLbl>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'time_prd combo'!$B$11:$B$14</c:f>
              <c:strCache>
                <c:ptCount val="4"/>
                <c:pt idx="0">
                  <c:v>Afternoon</c:v>
                </c:pt>
                <c:pt idx="1">
                  <c:v>Evening</c:v>
                </c:pt>
                <c:pt idx="2">
                  <c:v>Morning</c:v>
                </c:pt>
                <c:pt idx="3">
                  <c:v>Night</c:v>
                </c:pt>
              </c:strCache>
            </c:strRef>
          </c:cat>
          <c:val>
            <c:numRef>
              <c:f>'time_prd combo'!$D$11:$D$14</c:f>
              <c:numCache>
                <c:formatCode>General</c:formatCode>
                <c:ptCount val="4"/>
                <c:pt idx="0">
                  <c:v>14649</c:v>
                </c:pt>
                <c:pt idx="1">
                  <c:v>16825</c:v>
                </c:pt>
                <c:pt idx="2">
                  <c:v>16001</c:v>
                </c:pt>
                <c:pt idx="3">
                  <c:v>5908</c:v>
                </c:pt>
              </c:numCache>
            </c:numRef>
          </c:val>
          <c:smooth val="0"/>
          <c:extLst>
            <c:ext xmlns:c16="http://schemas.microsoft.com/office/drawing/2014/chart" uri="{C3380CC4-5D6E-409C-BE32-E72D297353CC}">
              <c16:uniqueId val="{00000003-9590-4274-B2C4-1D9367BFE25C}"/>
            </c:ext>
          </c:extLst>
        </c:ser>
        <c:dLbls>
          <c:showLegendKey val="0"/>
          <c:showVal val="1"/>
          <c:showCatName val="0"/>
          <c:showSerName val="0"/>
          <c:showPercent val="0"/>
          <c:showBubbleSize val="0"/>
        </c:dLbls>
        <c:marker val="1"/>
        <c:smooth val="0"/>
        <c:axId val="488154016"/>
        <c:axId val="488131456"/>
      </c:lineChart>
      <c:catAx>
        <c:axId val="48818953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200" b="1" i="0" u="none" strike="noStrike" kern="1200" baseline="0">
                <a:solidFill>
                  <a:schemeClr val="tx1">
                    <a:lumMod val="65000"/>
                    <a:lumOff val="35000"/>
                  </a:schemeClr>
                </a:solidFill>
                <a:latin typeface="+mn-lt"/>
                <a:ea typeface="+mn-ea"/>
                <a:cs typeface="+mn-cs"/>
              </a:defRPr>
            </a:pPr>
            <a:endParaRPr lang="en-US"/>
          </a:p>
        </c:txPr>
        <c:crossAx val="488188576"/>
        <c:crosses val="autoZero"/>
        <c:auto val="1"/>
        <c:lblAlgn val="ctr"/>
        <c:lblOffset val="100"/>
        <c:noMultiLvlLbl val="0"/>
      </c:catAx>
      <c:valAx>
        <c:axId val="48818857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88189536"/>
        <c:crosses val="autoZero"/>
        <c:crossBetween val="between"/>
      </c:valAx>
      <c:valAx>
        <c:axId val="488131456"/>
        <c:scaling>
          <c:orientation val="minMax"/>
        </c:scaling>
        <c:delete val="0"/>
        <c:axPos val="r"/>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88154016"/>
        <c:crosses val="max"/>
        <c:crossBetween val="between"/>
      </c:valAx>
      <c:catAx>
        <c:axId val="488154016"/>
        <c:scaling>
          <c:orientation val="minMax"/>
        </c:scaling>
        <c:delete val="1"/>
        <c:axPos val="b"/>
        <c:numFmt formatCode="General" sourceLinked="1"/>
        <c:majorTickMark val="out"/>
        <c:minorTickMark val="none"/>
        <c:tickLblPos val="nextTo"/>
        <c:crossAx val="488131456"/>
        <c:crosses val="autoZero"/>
        <c:auto val="1"/>
        <c:lblAlgn val="ctr"/>
        <c:lblOffset val="100"/>
        <c:noMultiLvlLbl val="0"/>
      </c:catAx>
      <c:spPr>
        <a:noFill/>
        <a:ln>
          <a:noFill/>
        </a:ln>
        <a:effectLst/>
      </c:spPr>
    </c:plotArea>
    <c:legend>
      <c:legendPos val="b"/>
      <c:overlay val="0"/>
      <c:spPr>
        <a:noFill/>
        <a:ln>
          <a:noFill/>
        </a:ln>
        <a:effectLst/>
      </c:spPr>
      <c:txPr>
        <a:bodyPr rot="0" spcFirstLastPara="1" vertOverflow="ellipsis" vert="horz" wrap="square" anchor="ctr" anchorCtr="1"/>
        <a:lstStyle/>
        <a:p>
          <a:pPr>
            <a:defRPr sz="1200" b="1"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[project.xlsx]monwise count!PivotTable3</c:name>
    <c:fmtId val="4"/>
  </c:pivotSource>
  <c:chart>
    <c:title>
      <c:tx>
        <c:rich>
          <a:bodyPr rot="0" spcFirstLastPara="1" vertOverflow="ellipsis" vert="horz" wrap="square" anchor="ctr" anchorCtr="1"/>
          <a:lstStyle/>
          <a:p>
            <a:pPr>
              <a:defRPr sz="1200" b="1" i="0" u="none" strike="noStrike" kern="1200" cap="all" spc="50" baseline="0">
                <a:solidFill>
                  <a:schemeClr val="tx1">
                    <a:lumMod val="65000"/>
                    <a:lumOff val="35000"/>
                  </a:schemeClr>
                </a:solidFill>
                <a:latin typeface="+mn-lt"/>
                <a:ea typeface="+mn-ea"/>
                <a:cs typeface="+mn-cs"/>
              </a:defRPr>
            </a:pPr>
            <a:r>
              <a:rPr lang="en-US" sz="1200" b="1"/>
              <a:t>Month</a:t>
            </a:r>
            <a:r>
              <a:rPr lang="en-US" sz="1200" b="1" baseline="0"/>
              <a:t> wise total count</a:t>
            </a:r>
            <a:endParaRPr lang="en-US" sz="1200" b="1"/>
          </a:p>
        </c:rich>
      </c:tx>
      <c:overlay val="0"/>
      <c:spPr>
        <a:noFill/>
        <a:ln>
          <a:noFill/>
        </a:ln>
        <a:effectLst/>
      </c:spPr>
      <c:txPr>
        <a:bodyPr rot="0" spcFirstLastPara="1" vertOverflow="ellipsis" vert="horz" wrap="square" anchor="ctr" anchorCtr="1"/>
        <a:lstStyle/>
        <a:p>
          <a:pPr>
            <a:defRPr sz="1200" b="1" i="0" u="none" strike="noStrike" kern="1200" cap="all" spc="5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2"/>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3"/>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4"/>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5"/>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6"/>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7"/>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8"/>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s>
    <c:plotArea>
      <c:layout>
        <c:manualLayout>
          <c:layoutTarget val="inner"/>
          <c:xMode val="edge"/>
          <c:yMode val="edge"/>
          <c:x val="6.3579074674489214E-2"/>
          <c:y val="0.22308801183133842"/>
          <c:w val="0.56627116463383254"/>
          <c:h val="0.71528989216905159"/>
        </c:manualLayout>
      </c:layout>
      <c:doughnutChart>
        <c:varyColors val="1"/>
        <c:ser>
          <c:idx val="0"/>
          <c:order val="0"/>
          <c:tx>
            <c:strRef>
              <c:f>'monwise count'!$C$9</c:f>
              <c:strCache>
                <c:ptCount val="1"/>
                <c:pt idx="0">
                  <c:v>Total</c:v>
                </c:pt>
              </c:strCache>
            </c:strRef>
          </c:tx>
          <c:dPt>
            <c:idx val="0"/>
            <c:bubble3D val="0"/>
            <c:spPr>
              <a:solidFill>
                <a:schemeClr val="accent1"/>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1-32B0-4B51-9E6E-656726BF44EC}"/>
              </c:ext>
            </c:extLst>
          </c:dPt>
          <c:dPt>
            <c:idx val="1"/>
            <c:bubble3D val="0"/>
            <c:spPr>
              <a:solidFill>
                <a:schemeClr val="accent2"/>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3-32B0-4B51-9E6E-656726BF44EC}"/>
              </c:ext>
            </c:extLst>
          </c:dPt>
          <c:dLbls>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'monwise count'!$B$10:$B$12</c:f>
              <c:strCache>
                <c:ptCount val="2"/>
                <c:pt idx="0">
                  <c:v>Jan</c:v>
                </c:pt>
                <c:pt idx="1">
                  <c:v>Feb</c:v>
                </c:pt>
              </c:strCache>
            </c:strRef>
          </c:cat>
          <c:val>
            <c:numRef>
              <c:f>'monwise count'!$C$10:$C$12</c:f>
              <c:numCache>
                <c:formatCode>General</c:formatCode>
                <c:ptCount val="2"/>
                <c:pt idx="0">
                  <c:v>38189</c:v>
                </c:pt>
                <c:pt idx="1">
                  <c:v>20115</c:v>
                </c:pt>
              </c:numCache>
            </c:numRef>
          </c:val>
          <c:extLst>
            <c:ext xmlns:c16="http://schemas.microsoft.com/office/drawing/2014/chart" uri="{C3380CC4-5D6E-409C-BE32-E72D297353CC}">
              <c16:uniqueId val="{00000004-32B0-4B51-9E6E-656726BF44EC}"/>
            </c:ext>
          </c:extLst>
        </c:ser>
        <c:dLbls>
          <c:showLegendKey val="0"/>
          <c:showVal val="0"/>
          <c:showCatName val="0"/>
          <c:showSerName val="0"/>
          <c:showPercent val="1"/>
          <c:showBubbleSize val="0"/>
          <c:showLeaderLines val="1"/>
        </c:dLbls>
        <c:firstSliceAng val="0"/>
        <c:holeSize val="50"/>
      </c:doughnutChart>
      <c:spPr>
        <a:noFill/>
        <a:ln>
          <a:noFill/>
        </a:ln>
        <a:effectLst/>
      </c:spPr>
    </c:plotArea>
    <c:legend>
      <c:legendPos val="r"/>
      <c:layout>
        <c:manualLayout>
          <c:xMode val="edge"/>
          <c:yMode val="edge"/>
          <c:x val="0.73039215686274506"/>
          <c:y val="0.39197581726432801"/>
          <c:w val="0.25"/>
          <c:h val="0.30954649244695803"/>
        </c:manualLayout>
      </c:layout>
      <c:overlay val="0"/>
      <c:spPr>
        <a:noFill/>
        <a:ln>
          <a:noFill/>
        </a:ln>
        <a:effectLst>
          <a:glow rad="139700">
            <a:schemeClr val="accent5">
              <a:satMod val="175000"/>
              <a:alpha val="40000"/>
            </a:schemeClr>
          </a:glow>
          <a:softEdge rad="533400"/>
        </a:effectLst>
      </c:spPr>
      <c:txPr>
        <a:bodyPr rot="0" spcFirstLastPara="1" vertOverflow="ellipsis" vert="horz" wrap="square" anchor="ctr" anchorCtr="1"/>
        <a:lstStyle/>
        <a:p>
          <a:pPr>
            <a:defRPr sz="1400" b="1"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[project.xlsx]Temp_catg!PivotTable7</c:name>
    <c:fmtId val="9"/>
  </c:pivotSource>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en-IN"/>
              <a:t>Weekday wise count</a:t>
            </a:r>
          </a:p>
        </c:rich>
      </c:tx>
      <c:layout>
        <c:manualLayout>
          <c:xMode val="edge"/>
          <c:yMode val="edge"/>
          <c:x val="0.34969444444444442"/>
          <c:y val="0.10083114610673666"/>
        </c:manualLayout>
      </c:layout>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1750" cap="rnd">
            <a:solidFill>
              <a:schemeClr val="accent1"/>
            </a:solidFill>
            <a:round/>
          </a:ln>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2700">
              <a:solidFill>
                <a:schemeClr val="l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1750" cap="rnd">
            <a:solidFill>
              <a:schemeClr val="accent1"/>
            </a:solidFill>
            <a:round/>
          </a:ln>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12700">
              <a:solidFill>
                <a:schemeClr val="l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1750" cap="rnd">
            <a:solidFill>
              <a:schemeClr val="accent1"/>
            </a:solidFill>
            <a:round/>
          </a:ln>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2700">
              <a:solidFill>
                <a:schemeClr val="l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1750" cap="rnd">
            <a:solidFill>
              <a:schemeClr val="accent1"/>
            </a:solidFill>
            <a:round/>
          </a:ln>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12700">
              <a:solidFill>
                <a:schemeClr val="l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4"/>
        <c:spPr>
          <a:ln w="31750" cap="rnd">
            <a:solidFill>
              <a:schemeClr val="accent1"/>
            </a:solidFill>
            <a:round/>
          </a:ln>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2700">
              <a:solidFill>
                <a:schemeClr val="l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tx2"/>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5"/>
        <c:spPr>
          <a:ln w="31750" cap="rnd">
            <a:solidFill>
              <a:schemeClr val="accent1"/>
            </a:solidFill>
            <a:round/>
          </a:ln>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12700">
              <a:solidFill>
                <a:schemeClr val="l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tx2"/>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0115815021030321"/>
          <c:y val="0.20666489722492554"/>
          <c:w val="0.85979024588453645"/>
          <c:h val="0.51085817924444843"/>
        </c:manualLayout>
      </c:layout>
      <c:lineChart>
        <c:grouping val="stacked"/>
        <c:varyColors val="0"/>
        <c:ser>
          <c:idx val="0"/>
          <c:order val="0"/>
          <c:tx>
            <c:strRef>
              <c:f>Temp_catg!$C$12</c:f>
              <c:strCache>
                <c:ptCount val="1"/>
                <c:pt idx="0">
                  <c:v>Sum of casual</c:v>
                </c:pt>
              </c:strCache>
            </c:strRef>
          </c:tx>
          <c:spPr>
            <a:ln w="31750" cap="rnd">
              <a:solidFill>
                <a:schemeClr val="accent1"/>
              </a:solidFill>
              <a:round/>
            </a:ln>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2700">
                <a:solidFill>
                  <a:schemeClr val="lt2"/>
                </a:solidFill>
                <a:round/>
              </a:ln>
              <a:effectLst/>
            </c:spPr>
          </c:marker>
          <c:dLbls>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tx2"/>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2">
                          <a:lumMod val="35000"/>
                          <a:lumOff val="65000"/>
                        </a:schemeClr>
                      </a:solidFill>
                    </a:ln>
                    <a:effectLst/>
                  </c:spPr>
                </c15:leaderLines>
              </c:ext>
            </c:extLst>
          </c:dLbls>
          <c:cat>
            <c:strRef>
              <c:f>Temp_catg!$B$13:$B$20</c:f>
              <c:strCache>
                <c:ptCount val="7"/>
                <c:pt idx="0">
                  <c:v>Sunday</c:v>
                </c:pt>
                <c:pt idx="1">
                  <c:v>Monday</c:v>
                </c:pt>
                <c:pt idx="2">
                  <c:v>Tuesday</c:v>
                </c:pt>
                <c:pt idx="3">
                  <c:v>Wednesday</c:v>
                </c:pt>
                <c:pt idx="4">
                  <c:v>Thursday</c:v>
                </c:pt>
                <c:pt idx="5">
                  <c:v>Friday</c:v>
                </c:pt>
                <c:pt idx="6">
                  <c:v>Saturday</c:v>
                </c:pt>
              </c:strCache>
            </c:strRef>
          </c:cat>
          <c:val>
            <c:numRef>
              <c:f>Temp_catg!$C$13:$C$20</c:f>
              <c:numCache>
                <c:formatCode>General</c:formatCode>
                <c:ptCount val="7"/>
                <c:pt idx="0">
                  <c:v>1477</c:v>
                </c:pt>
                <c:pt idx="1">
                  <c:v>534</c:v>
                </c:pt>
                <c:pt idx="2">
                  <c:v>457</c:v>
                </c:pt>
                <c:pt idx="3">
                  <c:v>344</c:v>
                </c:pt>
                <c:pt idx="4">
                  <c:v>332</c:v>
                </c:pt>
                <c:pt idx="5">
                  <c:v>552</c:v>
                </c:pt>
                <c:pt idx="6">
                  <c:v>1225</c:v>
                </c:pt>
              </c:numCache>
            </c:numRef>
          </c:val>
          <c:smooth val="0"/>
          <c:extLst>
            <c:ext xmlns:c16="http://schemas.microsoft.com/office/drawing/2014/chart" uri="{C3380CC4-5D6E-409C-BE32-E72D297353CC}">
              <c16:uniqueId val="{00000000-502C-4046-A263-73FF12094B3D}"/>
            </c:ext>
          </c:extLst>
        </c:ser>
        <c:ser>
          <c:idx val="1"/>
          <c:order val="1"/>
          <c:tx>
            <c:strRef>
              <c:f>Temp_catg!$D$12</c:f>
              <c:strCache>
                <c:ptCount val="1"/>
                <c:pt idx="0">
                  <c:v>Sum of registered</c:v>
                </c:pt>
              </c:strCache>
            </c:strRef>
          </c:tx>
          <c:spPr>
            <a:ln w="31750" cap="rnd">
              <a:solidFill>
                <a:schemeClr val="accent2"/>
              </a:solidFill>
              <a:round/>
            </a:ln>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12700">
                <a:solidFill>
                  <a:schemeClr val="lt2"/>
                </a:solidFill>
                <a:round/>
              </a:ln>
              <a:effectLst/>
            </c:spPr>
          </c:marker>
          <c:dLbls>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tx2"/>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2">
                          <a:lumMod val="35000"/>
                          <a:lumOff val="65000"/>
                        </a:schemeClr>
                      </a:solidFill>
                    </a:ln>
                    <a:effectLst/>
                  </c:spPr>
                </c15:leaderLines>
              </c:ext>
            </c:extLst>
          </c:dLbls>
          <c:cat>
            <c:strRef>
              <c:f>Temp_catg!$B$13:$B$20</c:f>
              <c:strCache>
                <c:ptCount val="7"/>
                <c:pt idx="0">
                  <c:v>Sunday</c:v>
                </c:pt>
                <c:pt idx="1">
                  <c:v>Monday</c:v>
                </c:pt>
                <c:pt idx="2">
                  <c:v>Tuesday</c:v>
                </c:pt>
                <c:pt idx="3">
                  <c:v>Wednesday</c:v>
                </c:pt>
                <c:pt idx="4">
                  <c:v>Thursday</c:v>
                </c:pt>
                <c:pt idx="5">
                  <c:v>Friday</c:v>
                </c:pt>
                <c:pt idx="6">
                  <c:v>Saturday</c:v>
                </c:pt>
              </c:strCache>
            </c:strRef>
          </c:cat>
          <c:val>
            <c:numRef>
              <c:f>Temp_catg!$D$13:$D$20</c:f>
              <c:numCache>
                <c:formatCode>General</c:formatCode>
                <c:ptCount val="7"/>
                <c:pt idx="0">
                  <c:v>6644</c:v>
                </c:pt>
                <c:pt idx="1">
                  <c:v>7916</c:v>
                </c:pt>
                <c:pt idx="2">
                  <c:v>7926</c:v>
                </c:pt>
                <c:pt idx="3">
                  <c:v>7705</c:v>
                </c:pt>
                <c:pt idx="4">
                  <c:v>8126</c:v>
                </c:pt>
                <c:pt idx="5">
                  <c:v>8543</c:v>
                </c:pt>
                <c:pt idx="6">
                  <c:v>6523</c:v>
                </c:pt>
              </c:numCache>
            </c:numRef>
          </c:val>
          <c:smooth val="0"/>
          <c:extLst>
            <c:ext xmlns:c16="http://schemas.microsoft.com/office/drawing/2014/chart" uri="{C3380CC4-5D6E-409C-BE32-E72D297353CC}">
              <c16:uniqueId val="{00000001-502C-4046-A263-73FF12094B3D}"/>
            </c:ext>
          </c:extLst>
        </c:ser>
        <c:dLbls>
          <c:dLblPos val="t"/>
          <c:showLegendKey val="0"/>
          <c:showVal val="1"/>
          <c:showCatName val="0"/>
          <c:showSerName val="0"/>
          <c:showPercent val="0"/>
          <c:showBubbleSize val="0"/>
        </c:dLbls>
        <c:marker val="1"/>
        <c:smooth val="0"/>
        <c:axId val="1782732992"/>
        <c:axId val="1782703712"/>
      </c:lineChart>
      <c:catAx>
        <c:axId val="1782732992"/>
        <c:scaling>
          <c:orientation val="minMax"/>
        </c:scaling>
        <c:delete val="0"/>
        <c:axPos val="b"/>
        <c:numFmt formatCode="General" sourceLinked="1"/>
        <c:majorTickMark val="out"/>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1200" b="1" i="0" u="none" strike="noStrike" kern="1200" baseline="0">
                <a:solidFill>
                  <a:schemeClr val="tx2"/>
                </a:solidFill>
                <a:latin typeface="+mn-lt"/>
                <a:ea typeface="+mn-ea"/>
                <a:cs typeface="+mn-cs"/>
              </a:defRPr>
            </a:pPr>
            <a:endParaRPr lang="en-US"/>
          </a:p>
        </c:txPr>
        <c:crossAx val="1782703712"/>
        <c:crosses val="autoZero"/>
        <c:auto val="1"/>
        <c:lblAlgn val="ctr"/>
        <c:lblOffset val="100"/>
        <c:noMultiLvlLbl val="0"/>
      </c:catAx>
      <c:valAx>
        <c:axId val="1782703712"/>
        <c:scaling>
          <c:orientation val="minMax"/>
        </c:scaling>
        <c:delete val="0"/>
        <c:axPos val="l"/>
        <c:majorGridlines>
          <c:spPr>
            <a:ln w="9525" cap="flat" cmpd="sng" algn="ctr">
              <a:solidFill>
                <a:schemeClr val="accent1">
                  <a:shade val="95000"/>
                  <a:satMod val="105000"/>
                  <a:alpha val="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1782732992"/>
        <c:crosses val="autoZero"/>
        <c:crossBetween val="between"/>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[project.xlsx]weth_cat Avg!PivotTable8</c:name>
    <c:fmtId val="19"/>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Weather_category</a:t>
            </a:r>
            <a:r>
              <a:rPr lang="en-US" b="1" baseline="0"/>
              <a:t> wise Avg of count</a:t>
            </a:r>
            <a:endParaRPr lang="en-US" b="1"/>
          </a:p>
        </c:rich>
      </c:tx>
      <c:layout>
        <c:manualLayout>
          <c:xMode val="edge"/>
          <c:yMode val="edge"/>
          <c:x val="0.14269503546099291"/>
          <c:y val="0.10588294297607703"/>
        </c:manualLayout>
      </c:layout>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circle"/>
          <c:size val="5"/>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1"/>
          </a:solidFill>
          <a:ln w="19050">
            <a:solidFill>
              <a:schemeClr val="lt1"/>
            </a:solidFill>
          </a:ln>
          <a:effectLst/>
        </c:spPr>
      </c:pivotFmt>
      <c:pivotFmt>
        <c:idx val="14"/>
        <c:spPr>
          <a:solidFill>
            <a:schemeClr val="accent1"/>
          </a:solidFill>
          <a:ln w="19050">
            <a:solidFill>
              <a:schemeClr val="lt1"/>
            </a:solidFill>
          </a:ln>
          <a:effectLst/>
        </c:spPr>
      </c:pivotFmt>
      <c:pivotFmt>
        <c:idx val="15"/>
        <c:spPr>
          <a:solidFill>
            <a:schemeClr val="accent1"/>
          </a:solidFill>
          <a:ln w="19050">
            <a:solidFill>
              <a:schemeClr val="lt1"/>
            </a:solidFill>
          </a:ln>
          <a:effectLst/>
        </c:spPr>
      </c:pivotFmt>
      <c:pivotFmt>
        <c:idx val="16"/>
        <c:spPr>
          <a:solidFill>
            <a:schemeClr val="accent1"/>
          </a:solidFill>
          <a:ln w="19050">
            <a:solidFill>
              <a:schemeClr val="lt1"/>
            </a:solidFill>
          </a:ln>
          <a:effectLst/>
        </c:spPr>
      </c:pivotFmt>
      <c:pivotFmt>
        <c:idx val="17"/>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8"/>
        <c:spPr>
          <a:solidFill>
            <a:schemeClr val="accent1"/>
          </a:solidFill>
          <a:ln w="19050">
            <a:solidFill>
              <a:schemeClr val="lt1"/>
            </a:solidFill>
          </a:ln>
          <a:effectLst/>
        </c:spPr>
        <c:dLbl>
          <c:idx val="0"/>
          <c:layout>
            <c:manualLayout>
              <c:x val="-0.14004345721884717"/>
              <c:y val="7.4933463121941657E-2"/>
            </c:manualLayout>
          </c:layout>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1"/>
          </a:solidFill>
          <a:ln w="19050">
            <a:solidFill>
              <a:schemeClr val="lt1"/>
            </a:solidFill>
          </a:ln>
          <a:effectLst/>
        </c:spPr>
        <c:dLbl>
          <c:idx val="0"/>
          <c:layout>
            <c:manualLayout>
              <c:x val="-8.0280463395585117E-2"/>
              <c:y val="-0.13929279359871263"/>
            </c:manualLayout>
          </c:layout>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1"/>
          </a:solidFill>
          <a:ln w="19050">
            <a:solidFill>
              <a:schemeClr val="lt1"/>
            </a:solidFill>
          </a:ln>
          <a:effectLst/>
        </c:spPr>
        <c:dLbl>
          <c:idx val="0"/>
          <c:layout>
            <c:manualLayout>
              <c:x val="9.4946474734067837E-2"/>
              <c:y val="-0.12811975323991384"/>
            </c:manualLayout>
          </c:layout>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1"/>
          </a:solidFill>
          <a:ln w="19050">
            <a:solidFill>
              <a:schemeClr val="lt1"/>
            </a:solidFill>
          </a:ln>
          <a:effectLst/>
        </c:spPr>
        <c:dLbl>
          <c:idx val="0"/>
          <c:layout>
            <c:manualLayout>
              <c:x val="0.11868285811686766"/>
              <c:y val="8.8435420564620879E-2"/>
            </c:manualLayout>
          </c:layout>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836097987751531"/>
          <c:y val="0.21099300087489065"/>
          <c:w val="0.41314041994750655"/>
          <c:h val="0.68856736657917761"/>
        </c:manualLayout>
      </c:layout>
      <c:pieChart>
        <c:varyColors val="1"/>
        <c:ser>
          <c:idx val="0"/>
          <c:order val="0"/>
          <c:tx>
            <c:strRef>
              <c:f>'weth_cat Avg'!$C$10</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A8CB-40AB-9C33-E293C0B503D5}"/>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A8CB-40AB-9C33-E293C0B503D5}"/>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A8CB-40AB-9C33-E293C0B503D5}"/>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A8CB-40AB-9C33-E293C0B503D5}"/>
              </c:ext>
            </c:extLst>
          </c:dPt>
          <c:dLbls>
            <c:dLbl>
              <c:idx val="0"/>
              <c:layout>
                <c:manualLayout>
                  <c:x val="-0.14004345721884717"/>
                  <c:y val="7.4933463121941657E-2"/>
                </c:manualLayout>
              </c:layout>
              <c:dLblPos val="bestFi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A8CB-40AB-9C33-E293C0B503D5}"/>
                </c:ext>
              </c:extLst>
            </c:dLbl>
            <c:dLbl>
              <c:idx val="1"/>
              <c:layout>
                <c:manualLayout>
                  <c:x val="-8.0280463395585117E-2"/>
                  <c:y val="-0.13929279359871263"/>
                </c:manualLayout>
              </c:layout>
              <c:dLblPos val="bestFi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A8CB-40AB-9C33-E293C0B503D5}"/>
                </c:ext>
              </c:extLst>
            </c:dLbl>
            <c:dLbl>
              <c:idx val="2"/>
              <c:layout>
                <c:manualLayout>
                  <c:x val="9.4946474734067837E-2"/>
                  <c:y val="-0.12811975323991384"/>
                </c:manualLayout>
              </c:layout>
              <c:dLblPos val="bestFi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A8CB-40AB-9C33-E293C0B503D5}"/>
                </c:ext>
              </c:extLst>
            </c:dLbl>
            <c:dLbl>
              <c:idx val="3"/>
              <c:layout>
                <c:manualLayout>
                  <c:x val="0.11868285811686766"/>
                  <c:y val="8.8435420564620879E-2"/>
                </c:manualLayout>
              </c:layout>
              <c:dLblPos val="bestFi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A8CB-40AB-9C33-E293C0B503D5}"/>
                </c:ext>
              </c:extLst>
            </c:dLbl>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'weth_cat Avg'!$B$11:$B$15</c:f>
              <c:strCache>
                <c:ptCount val="4"/>
                <c:pt idx="0">
                  <c:v>Clear/Partly Cloudy</c:v>
                </c:pt>
                <c:pt idx="1">
                  <c:v>Heavy Rain </c:v>
                </c:pt>
                <c:pt idx="2">
                  <c:v>Light Snow / Rain </c:v>
                </c:pt>
                <c:pt idx="3">
                  <c:v>Mist / cloudy </c:v>
                </c:pt>
              </c:strCache>
            </c:strRef>
          </c:cat>
          <c:val>
            <c:numRef>
              <c:f>'weth_cat Avg'!$C$11:$C$15</c:f>
              <c:numCache>
                <c:formatCode>0.00</c:formatCode>
                <c:ptCount val="4"/>
                <c:pt idx="0">
                  <c:v>61.671617161716171</c:v>
                </c:pt>
                <c:pt idx="1">
                  <c:v>36</c:v>
                </c:pt>
                <c:pt idx="2">
                  <c:v>33.202380952380949</c:v>
                </c:pt>
                <c:pt idx="3">
                  <c:v>58.595469255663431</c:v>
                </c:pt>
              </c:numCache>
            </c:numRef>
          </c:val>
          <c:extLst>
            <c:ext xmlns:c16="http://schemas.microsoft.com/office/drawing/2014/chart" uri="{C3380CC4-5D6E-409C-BE32-E72D297353CC}">
              <c16:uniqueId val="{00000008-A8CB-40AB-9C33-E293C0B503D5}"/>
            </c:ext>
          </c:extLst>
        </c:ser>
        <c:dLbls>
          <c:showLegendKey val="0"/>
          <c:showVal val="0"/>
          <c:showCatName val="0"/>
          <c:showSerName val="0"/>
          <c:showPercent val="0"/>
          <c:showBubbleSize val="0"/>
          <c:showLeaderLines val="1"/>
        </c:dLbls>
        <c:firstSliceAng val="0"/>
      </c:pieChart>
      <c:spPr>
        <a:noFill/>
        <a:ln>
          <a:noFill/>
        </a:ln>
        <a:effectLst/>
      </c:spPr>
    </c:plotArea>
    <c:legend>
      <c:legendPos val="r"/>
      <c:layout>
        <c:manualLayout>
          <c:xMode val="edge"/>
          <c:yMode val="edge"/>
          <c:x val="0.61562103699797566"/>
          <c:y val="0.30683289588801399"/>
          <c:w val="0.33100221976385175"/>
          <c:h val="0.49225758238553513"/>
        </c:manualLayout>
      </c:layout>
      <c:overlay val="0"/>
      <c:spPr>
        <a:noFill/>
        <a:ln>
          <a:noFill/>
        </a:ln>
        <a:effectLst/>
      </c:spPr>
      <c:txPr>
        <a:bodyPr rot="0" spcFirstLastPara="1" vertOverflow="ellipsis" vert="horz" wrap="square" anchor="ctr" anchorCtr="1"/>
        <a:lstStyle/>
        <a:p>
          <a:pPr>
            <a:defRPr sz="1100" b="1"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[project.xlsx]Temp_cat sum of casu &amp; reg!PivotTable10</c:name>
    <c:fmtId val="7"/>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IN" b="1"/>
              <a:t>Temp_categories wise</a:t>
            </a:r>
          </a:p>
        </c:rich>
      </c:tx>
      <c:layout>
        <c:manualLayout>
          <c:xMode val="edge"/>
          <c:yMode val="edge"/>
          <c:x val="0.33819420324065486"/>
          <c:y val="0.11290967811179736"/>
        </c:manualLayout>
      </c:layout>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4740281413281606"/>
          <c:y val="0.21681653313519511"/>
          <c:w val="0.48597544421124778"/>
          <c:h val="0.69789950677270973"/>
        </c:manualLayout>
      </c:layout>
      <c:barChart>
        <c:barDir val="bar"/>
        <c:grouping val="clustered"/>
        <c:varyColors val="0"/>
        <c:ser>
          <c:idx val="0"/>
          <c:order val="0"/>
          <c:tx>
            <c:strRef>
              <c:f>'Temp_cat sum of casu &amp; reg'!$C$9</c:f>
              <c:strCache>
                <c:ptCount val="1"/>
                <c:pt idx="0">
                  <c:v>Sum of casual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'Temp_cat sum of casu &amp; reg'!$B$10:$B$13</c:f>
              <c:strCache>
                <c:ptCount val="3"/>
                <c:pt idx="0">
                  <c:v>Cold</c:v>
                </c:pt>
                <c:pt idx="1">
                  <c:v>Mild</c:v>
                </c:pt>
                <c:pt idx="2">
                  <c:v>Warm</c:v>
                </c:pt>
              </c:strCache>
            </c:strRef>
          </c:cat>
          <c:val>
            <c:numRef>
              <c:f>'Temp_cat sum of casu &amp; reg'!$C$10:$C$13</c:f>
              <c:numCache>
                <c:formatCode>General</c:formatCode>
                <c:ptCount val="3"/>
                <c:pt idx="0">
                  <c:v>970</c:v>
                </c:pt>
                <c:pt idx="1">
                  <c:v>1984</c:v>
                </c:pt>
                <c:pt idx="2">
                  <c:v>1967</c:v>
                </c:pt>
              </c:numCache>
            </c:numRef>
          </c:val>
          <c:extLst>
            <c:ext xmlns:c16="http://schemas.microsoft.com/office/drawing/2014/chart" uri="{C3380CC4-5D6E-409C-BE32-E72D297353CC}">
              <c16:uniqueId val="{00000000-0D0C-4B2A-A6AA-8EF616E6B1C0}"/>
            </c:ext>
          </c:extLst>
        </c:ser>
        <c:ser>
          <c:idx val="1"/>
          <c:order val="1"/>
          <c:tx>
            <c:strRef>
              <c:f>'Temp_cat sum of casu &amp; reg'!$D$9</c:f>
              <c:strCache>
                <c:ptCount val="1"/>
                <c:pt idx="0">
                  <c:v>Sum of registered</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'Temp_cat sum of casu &amp; reg'!$B$10:$B$13</c:f>
              <c:strCache>
                <c:ptCount val="3"/>
                <c:pt idx="0">
                  <c:v>Cold</c:v>
                </c:pt>
                <c:pt idx="1">
                  <c:v>Mild</c:v>
                </c:pt>
                <c:pt idx="2">
                  <c:v>Warm</c:v>
                </c:pt>
              </c:strCache>
            </c:strRef>
          </c:cat>
          <c:val>
            <c:numRef>
              <c:f>'Temp_cat sum of casu &amp; reg'!$D$10:$D$13</c:f>
              <c:numCache>
                <c:formatCode>General</c:formatCode>
                <c:ptCount val="3"/>
                <c:pt idx="0">
                  <c:v>19296</c:v>
                </c:pt>
                <c:pt idx="1">
                  <c:v>24234</c:v>
                </c:pt>
                <c:pt idx="2">
                  <c:v>9853</c:v>
                </c:pt>
              </c:numCache>
            </c:numRef>
          </c:val>
          <c:extLst>
            <c:ext xmlns:c16="http://schemas.microsoft.com/office/drawing/2014/chart" uri="{C3380CC4-5D6E-409C-BE32-E72D297353CC}">
              <c16:uniqueId val="{00000001-0D0C-4B2A-A6AA-8EF616E6B1C0}"/>
            </c:ext>
          </c:extLst>
        </c:ser>
        <c:dLbls>
          <c:dLblPos val="outEnd"/>
          <c:showLegendKey val="0"/>
          <c:showVal val="1"/>
          <c:showCatName val="0"/>
          <c:showSerName val="0"/>
          <c:showPercent val="0"/>
          <c:showBubbleSize val="0"/>
        </c:dLbls>
        <c:gapWidth val="182"/>
        <c:axId val="488169856"/>
        <c:axId val="488168896"/>
      </c:barChart>
      <c:catAx>
        <c:axId val="48816985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200" b="1" i="0" u="none" strike="noStrike" kern="1200" baseline="0">
                <a:solidFill>
                  <a:schemeClr val="tx1">
                    <a:lumMod val="65000"/>
                    <a:lumOff val="35000"/>
                  </a:schemeClr>
                </a:solidFill>
                <a:latin typeface="+mn-lt"/>
                <a:ea typeface="+mn-ea"/>
                <a:cs typeface="+mn-cs"/>
              </a:defRPr>
            </a:pPr>
            <a:endParaRPr lang="en-US"/>
          </a:p>
        </c:txPr>
        <c:crossAx val="488168896"/>
        <c:crosses val="autoZero"/>
        <c:auto val="1"/>
        <c:lblAlgn val="ctr"/>
        <c:lblOffset val="100"/>
        <c:noMultiLvlLbl val="0"/>
      </c:catAx>
      <c:valAx>
        <c:axId val="488168896"/>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88169856"/>
        <c:crosses val="autoZero"/>
        <c:crossBetween val="between"/>
      </c:valAx>
      <c:spPr>
        <a:noFill/>
        <a:ln>
          <a:noFill/>
        </a:ln>
        <a:effectLst/>
      </c:spPr>
    </c:plotArea>
    <c:legend>
      <c:legendPos val="r"/>
      <c:layout>
        <c:manualLayout>
          <c:xMode val="edge"/>
          <c:yMode val="edge"/>
          <c:x val="0.75425867088734366"/>
          <c:y val="0.30299107644778583"/>
          <c:w val="0.22055529455067421"/>
          <c:h val="0.47503159049914212"/>
        </c:manualLayout>
      </c:layout>
      <c:overlay val="0"/>
      <c:spPr>
        <a:noFill/>
        <a:ln>
          <a:noFill/>
        </a:ln>
        <a:effectLst/>
      </c:spPr>
      <c:txPr>
        <a:bodyPr rot="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[project.xlsx]weektype!PivotTable1</c:name>
    <c:fmtId val="21"/>
  </c:pivotSource>
  <c:chart>
    <c:title>
      <c:tx>
        <c:rich>
          <a:bodyPr rot="0" spcFirstLastPara="1" vertOverflow="ellipsis" vert="horz" wrap="square" anchor="ctr" anchorCtr="1"/>
          <a:lstStyle/>
          <a:p>
            <a:pPr>
              <a:defRPr sz="1200" b="1" i="0" u="none" strike="noStrike" kern="1200" cap="all" spc="50" baseline="0">
                <a:solidFill>
                  <a:schemeClr val="tx1">
                    <a:lumMod val="65000"/>
                    <a:lumOff val="35000"/>
                  </a:schemeClr>
                </a:solidFill>
                <a:latin typeface="+mn-lt"/>
                <a:ea typeface="+mn-ea"/>
                <a:cs typeface="+mn-cs"/>
              </a:defRPr>
            </a:pPr>
            <a:r>
              <a:rPr lang="en-IN" sz="1200"/>
              <a:t>week types total users</a:t>
            </a:r>
          </a:p>
        </c:rich>
      </c:tx>
      <c:overlay val="0"/>
      <c:spPr>
        <a:noFill/>
        <a:ln>
          <a:noFill/>
        </a:ln>
        <a:effectLst/>
      </c:spPr>
      <c:txPr>
        <a:bodyPr rot="0" spcFirstLastPara="1" vertOverflow="ellipsis" vert="horz" wrap="square" anchor="ctr" anchorCtr="1"/>
        <a:lstStyle/>
        <a:p>
          <a:pPr>
            <a:defRPr sz="1200" b="1" i="0" u="none" strike="noStrike" kern="1200" cap="all" spc="50" baseline="0">
              <a:solidFill>
                <a:schemeClr val="tx1">
                  <a:lumMod val="65000"/>
                  <a:lumOff val="35000"/>
                </a:schemeClr>
              </a:solidFill>
              <a:latin typeface="+mn-lt"/>
              <a:ea typeface="+mn-ea"/>
              <a:cs typeface="+mn-cs"/>
            </a:defRPr>
          </a:pPr>
          <a:endParaRPr lang="en-US"/>
        </a:p>
      </c:txPr>
    </c:title>
    <c:autoTitleDeleted val="0"/>
    <c:pivotFmts>
      <c:pivotFmt>
        <c:idx val="0"/>
        <c:spPr>
          <a:gradFill flip="none" rotWithShape="1">
            <a:gsLst>
              <a:gs pos="100000">
                <a:schemeClr val="accent1">
                  <a:alpha val="0"/>
                </a:schemeClr>
              </a:gs>
              <a:gs pos="50000">
                <a:schemeClr val="accent1"/>
              </a:gs>
            </a:gsLst>
            <a:lin ang="5400000" scaled="0"/>
          </a:gradFill>
          <a:ln>
            <a:noFill/>
          </a:ln>
          <a:effectLst/>
          <a:sp3d/>
        </c:spPr>
        <c:marker>
          <c:symbol val="circle"/>
          <c:size val="6"/>
          <c:spPr>
            <a:gradFill flip="none" rotWithShape="1">
              <a:gsLst>
                <a:gs pos="0">
                  <a:schemeClr val="accent1"/>
                </a:gs>
                <a:gs pos="75000">
                  <a:schemeClr val="accent1">
                    <a:lumMod val="60000"/>
                    <a:lumOff val="40000"/>
                  </a:schemeClr>
                </a:gs>
                <a:gs pos="51000">
                  <a:schemeClr val="accent1">
                    <a:alpha val="75000"/>
                  </a:schemeClr>
                </a:gs>
                <a:gs pos="100000">
                  <a:schemeClr val="accent1">
                    <a:lumMod val="20000"/>
                    <a:lumOff val="80000"/>
                    <a:alpha val="15000"/>
                  </a:schemeClr>
                </a:gs>
              </a:gsLst>
              <a:lin ang="5400000" scaled="0"/>
            </a:gradFill>
            <a:ln w="9525" cap="flat" cmpd="sng" algn="ctr">
              <a:solidFill>
                <a:schemeClr val="accent1">
                  <a:shade val="95000"/>
                </a:schemeClr>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gradFill flip="none" rotWithShape="1">
            <a:gsLst>
              <a:gs pos="100000">
                <a:schemeClr val="accent1">
                  <a:alpha val="0"/>
                </a:schemeClr>
              </a:gs>
              <a:gs pos="50000">
                <a:schemeClr val="accent1"/>
              </a:gs>
            </a:gsLst>
            <a:lin ang="5400000" scaled="0"/>
          </a:gradFill>
          <a:ln>
            <a:noFill/>
          </a:ln>
          <a:effectLst/>
          <a:sp3d/>
        </c:spPr>
        <c:marker>
          <c:symbol val="circle"/>
          <c:size val="6"/>
          <c:spPr>
            <a:gradFill flip="none" rotWithShape="1">
              <a:gsLst>
                <a:gs pos="0">
                  <a:schemeClr val="accent2"/>
                </a:gs>
                <a:gs pos="75000">
                  <a:schemeClr val="accent2">
                    <a:lumMod val="60000"/>
                    <a:lumOff val="40000"/>
                  </a:schemeClr>
                </a:gs>
                <a:gs pos="51000">
                  <a:schemeClr val="accent2">
                    <a:alpha val="75000"/>
                  </a:schemeClr>
                </a:gs>
                <a:gs pos="100000">
                  <a:schemeClr val="accent2">
                    <a:lumMod val="20000"/>
                    <a:lumOff val="80000"/>
                    <a:alpha val="15000"/>
                  </a:schemeClr>
                </a:gs>
              </a:gsLst>
              <a:lin ang="5400000" scaled="0"/>
            </a:gradFill>
            <a:ln w="9525" cap="flat" cmpd="sng" algn="ctr">
              <a:solidFill>
                <a:schemeClr val="accent2">
                  <a:shade val="95000"/>
                </a:schemeClr>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gradFill flip="none" rotWithShape="1">
            <a:gsLst>
              <a:gs pos="100000">
                <a:schemeClr val="accent1">
                  <a:alpha val="0"/>
                </a:schemeClr>
              </a:gs>
              <a:gs pos="50000">
                <a:schemeClr val="accent1"/>
              </a:gs>
            </a:gsLst>
            <a:lin ang="5400000" scaled="0"/>
          </a:gra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gradFill flip="none" rotWithShape="1">
            <a:gsLst>
              <a:gs pos="100000">
                <a:schemeClr val="accent1">
                  <a:alpha val="0"/>
                </a:schemeClr>
              </a:gs>
              <a:gs pos="50000">
                <a:schemeClr val="accent1"/>
              </a:gs>
            </a:gsLst>
            <a:lin ang="5400000" scaled="0"/>
          </a:gra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gradFill>
            <a:gsLst>
              <a:gs pos="100000">
                <a:schemeClr val="accent1">
                  <a:alpha val="0"/>
                </a:schemeClr>
              </a:gs>
              <a:gs pos="50000">
                <a:schemeClr val="accent1"/>
              </a:gs>
            </a:gsLst>
            <a:lin ang="5400000" scaled="0"/>
          </a:gra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gradFill>
            <a:gsLst>
              <a:gs pos="100000">
                <a:schemeClr val="accent1">
                  <a:alpha val="0"/>
                </a:schemeClr>
              </a:gs>
              <a:gs pos="50000">
                <a:schemeClr val="accent1"/>
              </a:gs>
            </a:gsLst>
            <a:lin ang="5400000" scaled="0"/>
          </a:gra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9.3422831667182807E-2"/>
          <c:y val="0.14512690897050814"/>
          <c:w val="0.69497745586953907"/>
          <c:h val="0.69362522654986558"/>
        </c:manualLayout>
      </c:layout>
      <c:bar3DChart>
        <c:barDir val="col"/>
        <c:grouping val="clustered"/>
        <c:varyColors val="0"/>
        <c:ser>
          <c:idx val="0"/>
          <c:order val="0"/>
          <c:tx>
            <c:strRef>
              <c:f>weektype!$C$9</c:f>
              <c:strCache>
                <c:ptCount val="1"/>
                <c:pt idx="0">
                  <c:v>Sum of casual</c:v>
                </c:pt>
              </c:strCache>
            </c:strRef>
          </c:tx>
          <c:spPr>
            <a:gradFill>
              <a:gsLst>
                <a:gs pos="100000">
                  <a:schemeClr val="accent1">
                    <a:alpha val="0"/>
                  </a:schemeClr>
                </a:gs>
                <a:gs pos="50000">
                  <a:schemeClr val="accent1"/>
                </a:gs>
              </a:gsLst>
              <a:lin ang="5400000" scaled="0"/>
            </a:gra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weektype!$B$10:$B$12</c:f>
              <c:strCache>
                <c:ptCount val="2"/>
                <c:pt idx="0">
                  <c:v>Weekday</c:v>
                </c:pt>
                <c:pt idx="1">
                  <c:v>Weekend</c:v>
                </c:pt>
              </c:strCache>
            </c:strRef>
          </c:cat>
          <c:val>
            <c:numRef>
              <c:f>weektype!$C$10:$C$12</c:f>
              <c:numCache>
                <c:formatCode>General</c:formatCode>
                <c:ptCount val="2"/>
                <c:pt idx="0">
                  <c:v>2219</c:v>
                </c:pt>
                <c:pt idx="1">
                  <c:v>2702</c:v>
                </c:pt>
              </c:numCache>
            </c:numRef>
          </c:val>
          <c:extLst>
            <c:ext xmlns:c16="http://schemas.microsoft.com/office/drawing/2014/chart" uri="{C3380CC4-5D6E-409C-BE32-E72D297353CC}">
              <c16:uniqueId val="{00000000-16F4-4655-BCAB-180A4F32968E}"/>
            </c:ext>
          </c:extLst>
        </c:ser>
        <c:ser>
          <c:idx val="1"/>
          <c:order val="1"/>
          <c:tx>
            <c:strRef>
              <c:f>weektype!$D$9</c:f>
              <c:strCache>
                <c:ptCount val="1"/>
                <c:pt idx="0">
                  <c:v>Sum of reg</c:v>
                </c:pt>
              </c:strCache>
            </c:strRef>
          </c:tx>
          <c:spPr>
            <a:gradFill>
              <a:gsLst>
                <a:gs pos="100000">
                  <a:schemeClr val="accent2">
                    <a:alpha val="0"/>
                  </a:schemeClr>
                </a:gs>
                <a:gs pos="50000">
                  <a:schemeClr val="accent2"/>
                </a:gs>
              </a:gsLst>
              <a:lin ang="5400000" scaled="0"/>
            </a:gra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weektype!$B$10:$B$12</c:f>
              <c:strCache>
                <c:ptCount val="2"/>
                <c:pt idx="0">
                  <c:v>Weekday</c:v>
                </c:pt>
                <c:pt idx="1">
                  <c:v>Weekend</c:v>
                </c:pt>
              </c:strCache>
            </c:strRef>
          </c:cat>
          <c:val>
            <c:numRef>
              <c:f>weektype!$D$10:$D$12</c:f>
              <c:numCache>
                <c:formatCode>General</c:formatCode>
                <c:ptCount val="2"/>
                <c:pt idx="0">
                  <c:v>40216</c:v>
                </c:pt>
                <c:pt idx="1">
                  <c:v>13167</c:v>
                </c:pt>
              </c:numCache>
            </c:numRef>
          </c:val>
          <c:extLst>
            <c:ext xmlns:c16="http://schemas.microsoft.com/office/drawing/2014/chart" uri="{C3380CC4-5D6E-409C-BE32-E72D297353CC}">
              <c16:uniqueId val="{00000001-16F4-4655-BCAB-180A4F32968E}"/>
            </c:ext>
          </c:extLst>
        </c:ser>
        <c:dLbls>
          <c:showLegendKey val="0"/>
          <c:showVal val="1"/>
          <c:showCatName val="0"/>
          <c:showSerName val="0"/>
          <c:showPercent val="0"/>
          <c:showBubbleSize val="0"/>
        </c:dLbls>
        <c:gapWidth val="150"/>
        <c:gapDepth val="0"/>
        <c:shape val="box"/>
        <c:axId val="1801649104"/>
        <c:axId val="1801669744"/>
        <c:axId val="0"/>
      </c:bar3DChart>
      <c:catAx>
        <c:axId val="1801649104"/>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200" b="1" i="0" u="none" strike="noStrike" kern="1200" baseline="0">
                <a:solidFill>
                  <a:schemeClr val="tx1">
                    <a:lumMod val="65000"/>
                    <a:lumOff val="35000"/>
                  </a:schemeClr>
                </a:solidFill>
                <a:latin typeface="+mn-lt"/>
                <a:ea typeface="+mn-ea"/>
                <a:cs typeface="+mn-cs"/>
              </a:defRPr>
            </a:pPr>
            <a:endParaRPr lang="en-US"/>
          </a:p>
        </c:txPr>
        <c:crossAx val="1801669744"/>
        <c:crosses val="autoZero"/>
        <c:auto val="1"/>
        <c:lblAlgn val="ctr"/>
        <c:lblOffset val="100"/>
        <c:noMultiLvlLbl val="0"/>
      </c:catAx>
      <c:valAx>
        <c:axId val="1801669744"/>
        <c:scaling>
          <c:orientation val="minMax"/>
        </c:scaling>
        <c:delete val="0"/>
        <c:axPos val="l"/>
        <c:majorGridlines>
          <c:spPr>
            <a:ln w="9525" cap="flat" cmpd="sng" algn="ctr">
              <a:solidFill>
                <a:schemeClr val="tx1">
                  <a:lumMod val="5000"/>
                  <a:lumOff val="9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1649104"/>
        <c:crosses val="autoZero"/>
        <c:crossBetween val="between"/>
      </c:valAx>
      <c:spPr>
        <a:noFill/>
        <a:ln>
          <a:noFill/>
        </a:ln>
        <a:effectLst/>
      </c:spPr>
    </c:plotArea>
    <c:legend>
      <c:legendPos val="r"/>
      <c:layout>
        <c:manualLayout>
          <c:xMode val="edge"/>
          <c:yMode val="edge"/>
          <c:x val="0.7424137085399044"/>
          <c:y val="0.25724450298281154"/>
          <c:w val="0.21264959244086415"/>
          <c:h val="0.43718613285270252"/>
        </c:manualLayout>
      </c:layout>
      <c:overlay val="0"/>
      <c:spPr>
        <a:noFill/>
        <a:ln>
          <a:noFill/>
        </a:ln>
        <a:effectLst/>
      </c:spPr>
      <c:txPr>
        <a:bodyPr rot="0" spcFirstLastPara="1" vertOverflow="ellipsis" vert="horz" wrap="square" anchor="ctr" anchorCtr="1"/>
        <a:lstStyle/>
        <a:p>
          <a:pPr>
            <a:defRPr sz="1200" b="1"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[project.xlsx]weektype!PivotTable1</c:name>
    <c:fmtId val="13"/>
  </c:pivotSource>
  <c:chart>
    <c:title>
      <c:tx>
        <c:rich>
          <a:bodyPr rot="0" spcFirstLastPara="1" vertOverflow="ellipsis" vert="horz" wrap="square" anchor="ctr" anchorCtr="1"/>
          <a:lstStyle/>
          <a:p>
            <a:pPr>
              <a:defRPr sz="1200" b="1" i="0" u="none" strike="noStrike" kern="1200" cap="all" spc="50" baseline="0">
                <a:solidFill>
                  <a:schemeClr val="tx1"/>
                </a:solidFill>
                <a:latin typeface="+mn-lt"/>
                <a:ea typeface="+mn-ea"/>
                <a:cs typeface="+mn-cs"/>
              </a:defRPr>
            </a:pPr>
            <a:r>
              <a:rPr lang="en-IN" sz="900" b="1" i="0" u="none" strike="noStrike" kern="1200" cap="all" spc="50" baseline="0" dirty="0">
                <a:solidFill>
                  <a:schemeClr val="tx1"/>
                </a:solidFill>
              </a:rPr>
              <a:t>Weekday vs Weekend Bike Rental Usage</a:t>
            </a:r>
            <a:endParaRPr lang="en-IN" sz="900">
              <a:solidFill>
                <a:schemeClr val="tx1"/>
              </a:solidFill>
            </a:endParaRPr>
          </a:p>
        </c:rich>
      </c:tx>
      <c:overlay val="0"/>
      <c:spPr>
        <a:noFill/>
        <a:ln>
          <a:noFill/>
        </a:ln>
        <a:effectLst/>
      </c:spPr>
      <c:txPr>
        <a:bodyPr rot="0" spcFirstLastPara="1" vertOverflow="ellipsis" vert="horz" wrap="square" anchor="ctr" anchorCtr="1"/>
        <a:lstStyle/>
        <a:p>
          <a:pPr>
            <a:defRPr sz="1200" b="1" i="0" u="none" strike="noStrike" kern="1200" cap="all" spc="50" baseline="0">
              <a:solidFill>
                <a:schemeClr val="tx1"/>
              </a:solidFill>
              <a:latin typeface="+mn-lt"/>
              <a:ea typeface="+mn-ea"/>
              <a:cs typeface="+mn-cs"/>
            </a:defRPr>
          </a:pPr>
          <a:endParaRPr lang="en-IN"/>
        </a:p>
      </c:txPr>
    </c:title>
    <c:autoTitleDeleted val="0"/>
    <c:pivotFmts>
      <c:pivotFmt>
        <c:idx val="0"/>
        <c:spPr>
          <a:gradFill>
            <a:gsLst>
              <a:gs pos="100000">
                <a:schemeClr val="accent1">
                  <a:alpha val="0"/>
                </a:schemeClr>
              </a:gs>
              <a:gs pos="50000">
                <a:schemeClr val="accent1"/>
              </a:gs>
            </a:gsLst>
            <a:lin ang="5400000" scaled="0"/>
          </a:gra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gradFill>
            <a:gsLst>
              <a:gs pos="100000">
                <a:schemeClr val="accent1">
                  <a:alpha val="0"/>
                </a:schemeClr>
              </a:gs>
              <a:gs pos="50000">
                <a:schemeClr val="accent1"/>
              </a:gs>
            </a:gsLst>
            <a:lin ang="5400000" scaled="0"/>
          </a:gra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weektype!$C$9</c:f>
              <c:strCache>
                <c:ptCount val="1"/>
                <c:pt idx="0">
                  <c:v>Sum of casual</c:v>
                </c:pt>
              </c:strCache>
            </c:strRef>
          </c:tx>
          <c:spPr>
            <a:gradFill>
              <a:gsLst>
                <a:gs pos="100000">
                  <a:schemeClr val="accent1">
                    <a:alpha val="0"/>
                  </a:schemeClr>
                </a:gs>
                <a:gs pos="50000">
                  <a:schemeClr val="accent1"/>
                </a:gs>
              </a:gsLst>
              <a:lin ang="5400000" scaled="0"/>
            </a:gra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weektype!$B$10:$B$12</c:f>
              <c:strCache>
                <c:ptCount val="2"/>
                <c:pt idx="0">
                  <c:v>Weekday</c:v>
                </c:pt>
                <c:pt idx="1">
                  <c:v>Weekend</c:v>
                </c:pt>
              </c:strCache>
            </c:strRef>
          </c:cat>
          <c:val>
            <c:numRef>
              <c:f>weektype!$C$10:$C$12</c:f>
              <c:numCache>
                <c:formatCode>General</c:formatCode>
                <c:ptCount val="2"/>
                <c:pt idx="0">
                  <c:v>2219</c:v>
                </c:pt>
                <c:pt idx="1">
                  <c:v>2702</c:v>
                </c:pt>
              </c:numCache>
            </c:numRef>
          </c:val>
          <c:extLst>
            <c:ext xmlns:c16="http://schemas.microsoft.com/office/drawing/2014/chart" uri="{C3380CC4-5D6E-409C-BE32-E72D297353CC}">
              <c16:uniqueId val="{00000000-50FC-4B07-88FB-32C3A220C33A}"/>
            </c:ext>
          </c:extLst>
        </c:ser>
        <c:ser>
          <c:idx val="1"/>
          <c:order val="1"/>
          <c:tx>
            <c:strRef>
              <c:f>weektype!$D$9</c:f>
              <c:strCache>
                <c:ptCount val="1"/>
                <c:pt idx="0">
                  <c:v>Sum of reg</c:v>
                </c:pt>
              </c:strCache>
            </c:strRef>
          </c:tx>
          <c:spPr>
            <a:gradFill>
              <a:gsLst>
                <a:gs pos="100000">
                  <a:schemeClr val="accent2">
                    <a:alpha val="0"/>
                  </a:schemeClr>
                </a:gs>
                <a:gs pos="50000">
                  <a:schemeClr val="accent2"/>
                </a:gs>
              </a:gsLst>
              <a:lin ang="5400000" scaled="0"/>
            </a:gra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weektype!$B$10:$B$12</c:f>
              <c:strCache>
                <c:ptCount val="2"/>
                <c:pt idx="0">
                  <c:v>Weekday</c:v>
                </c:pt>
                <c:pt idx="1">
                  <c:v>Weekend</c:v>
                </c:pt>
              </c:strCache>
            </c:strRef>
          </c:cat>
          <c:val>
            <c:numRef>
              <c:f>weektype!$D$10:$D$12</c:f>
              <c:numCache>
                <c:formatCode>General</c:formatCode>
                <c:ptCount val="2"/>
                <c:pt idx="0">
                  <c:v>40216</c:v>
                </c:pt>
                <c:pt idx="1">
                  <c:v>13167</c:v>
                </c:pt>
              </c:numCache>
            </c:numRef>
          </c:val>
          <c:extLst>
            <c:ext xmlns:c16="http://schemas.microsoft.com/office/drawing/2014/chart" uri="{C3380CC4-5D6E-409C-BE32-E72D297353CC}">
              <c16:uniqueId val="{00000001-50FC-4B07-88FB-32C3A220C33A}"/>
            </c:ext>
          </c:extLst>
        </c:ser>
        <c:dLbls>
          <c:showLegendKey val="0"/>
          <c:showVal val="1"/>
          <c:showCatName val="0"/>
          <c:showSerName val="0"/>
          <c:showPercent val="0"/>
          <c:showBubbleSize val="0"/>
        </c:dLbls>
        <c:gapWidth val="150"/>
        <c:gapDepth val="0"/>
        <c:shape val="box"/>
        <c:axId val="1801649104"/>
        <c:axId val="1801669744"/>
        <c:axId val="0"/>
      </c:bar3DChart>
      <c:catAx>
        <c:axId val="1801649104"/>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1669744"/>
        <c:crosses val="autoZero"/>
        <c:auto val="1"/>
        <c:lblAlgn val="ctr"/>
        <c:lblOffset val="100"/>
        <c:noMultiLvlLbl val="0"/>
      </c:catAx>
      <c:valAx>
        <c:axId val="1801669744"/>
        <c:scaling>
          <c:orientation val="minMax"/>
        </c:scaling>
        <c:delete val="0"/>
        <c:axPos val="l"/>
        <c:majorGridlines>
          <c:spPr>
            <a:ln w="9525" cap="flat" cmpd="sng" algn="ctr">
              <a:solidFill>
                <a:schemeClr val="tx1">
                  <a:lumMod val="5000"/>
                  <a:lumOff val="9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1649104"/>
        <c:crosses val="autoZero"/>
        <c:crossBetween val="between"/>
      </c:valAx>
      <c:spPr>
        <a:noFill/>
        <a:ln>
          <a:noFill/>
        </a:ln>
        <a:effectLst/>
      </c:spPr>
    </c:plotArea>
    <c:legend>
      <c:legendPos val="r"/>
      <c:layout>
        <c:manualLayout>
          <c:xMode val="edge"/>
          <c:yMode val="edge"/>
          <c:x val="0.66389758168645652"/>
          <c:y val="0.42328212230800139"/>
          <c:w val="0.24833868190668976"/>
          <c:h val="0.2016442244393718"/>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[project.xlsx]Hrs wise count!PivotTable5</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Hrs</a:t>
            </a:r>
            <a:r>
              <a:rPr lang="en-IN" baseline="0"/>
              <a:t> wise count</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solidFill>
              <a:srgbClr val="00B050"/>
            </a:solidFill>
          </a:ln>
          <a:effectLst>
            <a:outerShdw blurRad="50800" dist="38100" dir="2700000" algn="tl" rotWithShape="0">
              <a:prstClr val="black">
                <a:alpha val="40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'Hrs wise count'!$C$5</c:f>
              <c:strCache>
                <c:ptCount val="1"/>
                <c:pt idx="0">
                  <c:v>Sum of registered</c:v>
                </c:pt>
              </c:strCache>
            </c:strRef>
          </c:tx>
          <c:spPr>
            <a:solidFill>
              <a:schemeClr val="accent1"/>
            </a:solidFill>
            <a:ln>
              <a:solidFill>
                <a:srgbClr val="00B050"/>
              </a:solidFill>
            </a:ln>
            <a:effectLst>
              <a:outerShdw blurRad="50800" dist="38100" dir="2700000" algn="tl" rotWithShape="0">
                <a:prstClr val="black">
                  <a:alpha val="40000"/>
                </a:prstClr>
              </a:outerShdw>
            </a:effectLst>
          </c:spPr>
          <c:invertIfNegative val="0"/>
          <c:cat>
            <c:strRef>
              <c:f>'Hrs wise count'!$B$6:$B$30</c:f>
              <c:strCache>
                <c:ptCount val="24"/>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20</c:v>
                </c:pt>
                <c:pt idx="21">
                  <c:v>21</c:v>
                </c:pt>
                <c:pt idx="22">
                  <c:v>22</c:v>
                </c:pt>
                <c:pt idx="23">
                  <c:v>23</c:v>
                </c:pt>
              </c:strCache>
            </c:strRef>
          </c:cat>
          <c:val>
            <c:numRef>
              <c:f>'Hrs wise count'!$C$6:$C$30</c:f>
              <c:numCache>
                <c:formatCode>General</c:formatCode>
                <c:ptCount val="24"/>
                <c:pt idx="0">
                  <c:v>629</c:v>
                </c:pt>
                <c:pt idx="1">
                  <c:v>412</c:v>
                </c:pt>
                <c:pt idx="2">
                  <c:v>261</c:v>
                </c:pt>
                <c:pt idx="3">
                  <c:v>117</c:v>
                </c:pt>
                <c:pt idx="4">
                  <c:v>62</c:v>
                </c:pt>
                <c:pt idx="5">
                  <c:v>161</c:v>
                </c:pt>
                <c:pt idx="6">
                  <c:v>801</c:v>
                </c:pt>
                <c:pt idx="7">
                  <c:v>2275</c:v>
                </c:pt>
                <c:pt idx="8">
                  <c:v>5261</c:v>
                </c:pt>
                <c:pt idx="9">
                  <c:v>3500</c:v>
                </c:pt>
                <c:pt idx="10">
                  <c:v>2037</c:v>
                </c:pt>
                <c:pt idx="11">
                  <c:v>2127</c:v>
                </c:pt>
                <c:pt idx="12">
                  <c:v>2801</c:v>
                </c:pt>
                <c:pt idx="13">
                  <c:v>2863</c:v>
                </c:pt>
                <c:pt idx="14">
                  <c:v>2734</c:v>
                </c:pt>
                <c:pt idx="15">
                  <c:v>2816</c:v>
                </c:pt>
                <c:pt idx="16">
                  <c:v>3435</c:v>
                </c:pt>
                <c:pt idx="17">
                  <c:v>5774</c:v>
                </c:pt>
                <c:pt idx="18">
                  <c:v>5061</c:v>
                </c:pt>
                <c:pt idx="19">
                  <c:v>3474</c:v>
                </c:pt>
                <c:pt idx="20">
                  <c:v>2516</c:v>
                </c:pt>
                <c:pt idx="21">
                  <c:v>1879</c:v>
                </c:pt>
                <c:pt idx="22">
                  <c:v>1405</c:v>
                </c:pt>
                <c:pt idx="23">
                  <c:v>982</c:v>
                </c:pt>
              </c:numCache>
            </c:numRef>
          </c:val>
          <c:extLst>
            <c:ext xmlns:c16="http://schemas.microsoft.com/office/drawing/2014/chart" uri="{C3380CC4-5D6E-409C-BE32-E72D297353CC}">
              <c16:uniqueId val="{00000000-2880-4A41-8B34-6B8E0B28D676}"/>
            </c:ext>
          </c:extLst>
        </c:ser>
        <c:ser>
          <c:idx val="1"/>
          <c:order val="1"/>
          <c:tx>
            <c:strRef>
              <c:f>'Hrs wise count'!$D$5</c:f>
              <c:strCache>
                <c:ptCount val="1"/>
                <c:pt idx="0">
                  <c:v>Sum of casual</c:v>
                </c:pt>
              </c:strCache>
            </c:strRef>
          </c:tx>
          <c:spPr>
            <a:solidFill>
              <a:schemeClr val="accent2"/>
            </a:solidFill>
            <a:ln>
              <a:noFill/>
            </a:ln>
            <a:effectLst/>
          </c:spPr>
          <c:invertIfNegative val="0"/>
          <c:cat>
            <c:strRef>
              <c:f>'Hrs wise count'!$B$6:$B$30</c:f>
              <c:strCache>
                <c:ptCount val="24"/>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20</c:v>
                </c:pt>
                <c:pt idx="21">
                  <c:v>21</c:v>
                </c:pt>
                <c:pt idx="22">
                  <c:v>22</c:v>
                </c:pt>
                <c:pt idx="23">
                  <c:v>23</c:v>
                </c:pt>
              </c:strCache>
            </c:strRef>
          </c:cat>
          <c:val>
            <c:numRef>
              <c:f>'Hrs wise count'!$D$6:$D$30</c:f>
              <c:numCache>
                <c:formatCode>General</c:formatCode>
                <c:ptCount val="24"/>
                <c:pt idx="0">
                  <c:v>74</c:v>
                </c:pt>
                <c:pt idx="1">
                  <c:v>48</c:v>
                </c:pt>
                <c:pt idx="2">
                  <c:v>33</c:v>
                </c:pt>
                <c:pt idx="3">
                  <c:v>34</c:v>
                </c:pt>
                <c:pt idx="4">
                  <c:v>7</c:v>
                </c:pt>
                <c:pt idx="5">
                  <c:v>3</c:v>
                </c:pt>
                <c:pt idx="6">
                  <c:v>21</c:v>
                </c:pt>
                <c:pt idx="7">
                  <c:v>64</c:v>
                </c:pt>
                <c:pt idx="8">
                  <c:v>127</c:v>
                </c:pt>
                <c:pt idx="9">
                  <c:v>172</c:v>
                </c:pt>
                <c:pt idx="10">
                  <c:v>216</c:v>
                </c:pt>
                <c:pt idx="11">
                  <c:v>367</c:v>
                </c:pt>
                <c:pt idx="12">
                  <c:v>482</c:v>
                </c:pt>
                <c:pt idx="13">
                  <c:v>513</c:v>
                </c:pt>
                <c:pt idx="14">
                  <c:v>466</c:v>
                </c:pt>
                <c:pt idx="15">
                  <c:v>536</c:v>
                </c:pt>
                <c:pt idx="16">
                  <c:v>493</c:v>
                </c:pt>
                <c:pt idx="17">
                  <c:v>395</c:v>
                </c:pt>
                <c:pt idx="18">
                  <c:v>222</c:v>
                </c:pt>
                <c:pt idx="19">
                  <c:v>187</c:v>
                </c:pt>
                <c:pt idx="20">
                  <c:v>140</c:v>
                </c:pt>
                <c:pt idx="21">
                  <c:v>117</c:v>
                </c:pt>
                <c:pt idx="22">
                  <c:v>103</c:v>
                </c:pt>
                <c:pt idx="23">
                  <c:v>101</c:v>
                </c:pt>
              </c:numCache>
            </c:numRef>
          </c:val>
          <c:extLst>
            <c:ext xmlns:c16="http://schemas.microsoft.com/office/drawing/2014/chart" uri="{C3380CC4-5D6E-409C-BE32-E72D297353CC}">
              <c16:uniqueId val="{00000004-2880-4A41-8B34-6B8E0B28D676}"/>
            </c:ext>
          </c:extLst>
        </c:ser>
        <c:dLbls>
          <c:showLegendKey val="0"/>
          <c:showVal val="0"/>
          <c:showCatName val="0"/>
          <c:showSerName val="0"/>
          <c:showPercent val="0"/>
          <c:showBubbleSize val="0"/>
        </c:dLbls>
        <c:gapWidth val="144"/>
        <c:overlap val="-15"/>
        <c:axId val="488140576"/>
        <c:axId val="488149216"/>
      </c:barChart>
      <c:catAx>
        <c:axId val="4881405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88149216"/>
        <c:crosses val="autoZero"/>
        <c:auto val="1"/>
        <c:lblAlgn val="ctr"/>
        <c:lblOffset val="100"/>
        <c:noMultiLvlLbl val="0"/>
      </c:catAx>
      <c:valAx>
        <c:axId val="48814921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88140576"/>
        <c:crosses val="autoZero"/>
        <c:crossBetween val="between"/>
      </c:valAx>
      <c:spPr>
        <a:noFill/>
        <a:ln cmpd="sng">
          <a:noFill/>
        </a:ln>
        <a:effectLst>
          <a:outerShdw blurRad="571500" dist="50800" dir="5400000" sx="1000" sy="1000" algn="ctr" rotWithShape="0">
            <a:srgbClr val="000000"/>
          </a:outerShdw>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[project.xlsx]weth_cat wise users!PivotTable6</c:name>
    <c:fmtId val="0"/>
  </c:pivotSource>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en-IN"/>
              <a:t>Weather</a:t>
            </a:r>
            <a:r>
              <a:rPr lang="en-IN" baseline="0"/>
              <a:t> wise users</a:t>
            </a:r>
            <a:endParaRPr lang="en-IN"/>
          </a:p>
        </c:rich>
      </c:tx>
      <c:layout>
        <c:manualLayout>
          <c:xMode val="edge"/>
          <c:yMode val="edge"/>
          <c:x val="0.38495122484689415"/>
          <c:y val="7.1398683860169648E-2"/>
        </c:manualLayout>
      </c:layout>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IN"/>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11740325459317588"/>
          <c:y val="0.23418079012823137"/>
          <c:w val="0.86037445319335082"/>
          <c:h val="0.49621172353455817"/>
        </c:manualLayout>
      </c:layout>
      <c:bar3DChart>
        <c:barDir val="col"/>
        <c:grouping val="clustered"/>
        <c:varyColors val="0"/>
        <c:ser>
          <c:idx val="0"/>
          <c:order val="0"/>
          <c:tx>
            <c:strRef>
              <c:f>'weth_cat wise users'!$C$12</c:f>
              <c:strCache>
                <c:ptCount val="1"/>
                <c:pt idx="0">
                  <c:v>Sum of casual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2">
                          <a:lumMod val="35000"/>
                          <a:lumOff val="65000"/>
                        </a:schemeClr>
                      </a:solidFill>
                    </a:ln>
                    <a:effectLst/>
                  </c:spPr>
                </c15:leaderLines>
              </c:ext>
            </c:extLst>
          </c:dLbls>
          <c:cat>
            <c:strRef>
              <c:f>'weth_cat wise users'!$B$13:$B$17</c:f>
              <c:strCache>
                <c:ptCount val="4"/>
                <c:pt idx="0">
                  <c:v>Clear/Partly Cloudy</c:v>
                </c:pt>
                <c:pt idx="1">
                  <c:v>Heavy Rain </c:v>
                </c:pt>
                <c:pt idx="2">
                  <c:v>Light Snow / Rain </c:v>
                </c:pt>
                <c:pt idx="3">
                  <c:v>Mist / cloudy </c:v>
                </c:pt>
              </c:strCache>
            </c:strRef>
          </c:cat>
          <c:val>
            <c:numRef>
              <c:f>'weth_cat wise users'!$C$13:$C$17</c:f>
              <c:numCache>
                <c:formatCode>General</c:formatCode>
                <c:ptCount val="4"/>
                <c:pt idx="0">
                  <c:v>3211</c:v>
                </c:pt>
                <c:pt idx="1">
                  <c:v>1</c:v>
                </c:pt>
                <c:pt idx="2">
                  <c:v>171</c:v>
                </c:pt>
                <c:pt idx="3">
                  <c:v>1538</c:v>
                </c:pt>
              </c:numCache>
            </c:numRef>
          </c:val>
          <c:extLst>
            <c:ext xmlns:c16="http://schemas.microsoft.com/office/drawing/2014/chart" uri="{C3380CC4-5D6E-409C-BE32-E72D297353CC}">
              <c16:uniqueId val="{00000000-6F4C-44D6-9832-AA870F024EC3}"/>
            </c:ext>
          </c:extLst>
        </c:ser>
        <c:ser>
          <c:idx val="1"/>
          <c:order val="1"/>
          <c:tx>
            <c:strRef>
              <c:f>'weth_cat wise users'!$D$12</c:f>
              <c:strCache>
                <c:ptCount val="1"/>
                <c:pt idx="0">
                  <c:v>Sum of registered</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2">
                          <a:lumMod val="35000"/>
                          <a:lumOff val="65000"/>
                        </a:schemeClr>
                      </a:solidFill>
                    </a:ln>
                    <a:effectLst/>
                  </c:spPr>
                </c15:leaderLines>
              </c:ext>
            </c:extLst>
          </c:dLbls>
          <c:cat>
            <c:strRef>
              <c:f>'weth_cat wise users'!$B$13:$B$17</c:f>
              <c:strCache>
                <c:ptCount val="4"/>
                <c:pt idx="0">
                  <c:v>Clear/Partly Cloudy</c:v>
                </c:pt>
                <c:pt idx="1">
                  <c:v>Heavy Rain </c:v>
                </c:pt>
                <c:pt idx="2">
                  <c:v>Light Snow / Rain </c:v>
                </c:pt>
                <c:pt idx="3">
                  <c:v>Mist / cloudy </c:v>
                </c:pt>
              </c:strCache>
            </c:strRef>
          </c:cat>
          <c:val>
            <c:numRef>
              <c:f>'weth_cat wise users'!$D$13:$D$17</c:f>
              <c:numCache>
                <c:formatCode>General</c:formatCode>
                <c:ptCount val="4"/>
                <c:pt idx="0">
                  <c:v>34162</c:v>
                </c:pt>
                <c:pt idx="1">
                  <c:v>35</c:v>
                </c:pt>
                <c:pt idx="2">
                  <c:v>2618</c:v>
                </c:pt>
                <c:pt idx="3">
                  <c:v>16568</c:v>
                </c:pt>
              </c:numCache>
            </c:numRef>
          </c:val>
          <c:extLst>
            <c:ext xmlns:c16="http://schemas.microsoft.com/office/drawing/2014/chart" uri="{C3380CC4-5D6E-409C-BE32-E72D297353CC}">
              <c16:uniqueId val="{00000001-6F4C-44D6-9832-AA870F024EC3}"/>
            </c:ext>
          </c:extLst>
        </c:ser>
        <c:dLbls>
          <c:showLegendKey val="0"/>
          <c:showVal val="1"/>
          <c:showCatName val="0"/>
          <c:showSerName val="0"/>
          <c:showPercent val="0"/>
          <c:showBubbleSize val="0"/>
        </c:dLbls>
        <c:gapWidth val="150"/>
        <c:shape val="box"/>
        <c:axId val="1875574272"/>
        <c:axId val="1875572832"/>
        <c:axId val="0"/>
      </c:bar3DChart>
      <c:catAx>
        <c:axId val="1875574272"/>
        <c:scaling>
          <c:orientation val="minMax"/>
        </c:scaling>
        <c:delete val="0"/>
        <c:axPos val="b"/>
        <c:numFmt formatCode="General" sourceLinked="1"/>
        <c:majorTickMark val="none"/>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1875572832"/>
        <c:crosses val="autoZero"/>
        <c:auto val="1"/>
        <c:lblAlgn val="ctr"/>
        <c:lblOffset val="100"/>
        <c:noMultiLvlLbl val="0"/>
      </c:catAx>
      <c:valAx>
        <c:axId val="1875572832"/>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187557427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[project.xlsx]monwise count!PivotTable3</c:name>
    <c:fmtId val="0"/>
  </c:pivotSource>
  <c:chart>
    <c:title>
      <c:tx>
        <c:rich>
          <a:bodyPr rot="0" spcFirstLastPara="1" vertOverflow="ellipsis" vert="horz" wrap="square" anchor="ctr" anchorCtr="1"/>
          <a:lstStyle/>
          <a:p>
            <a:pPr>
              <a:defRPr sz="1100" b="1" i="0" u="none" strike="noStrike" kern="1200" cap="all" spc="50" baseline="0">
                <a:solidFill>
                  <a:schemeClr val="tx1">
                    <a:lumMod val="65000"/>
                    <a:lumOff val="35000"/>
                  </a:schemeClr>
                </a:solidFill>
                <a:latin typeface="+mn-lt"/>
                <a:ea typeface="+mn-ea"/>
                <a:cs typeface="+mn-cs"/>
              </a:defRPr>
            </a:pPr>
            <a:r>
              <a:rPr lang="en-US" sz="1100" b="1"/>
              <a:t>Month</a:t>
            </a:r>
            <a:r>
              <a:rPr lang="en-US" sz="1100" b="1" baseline="0"/>
              <a:t> wise total count</a:t>
            </a:r>
            <a:endParaRPr lang="en-US" sz="1100" b="1"/>
          </a:p>
        </c:rich>
      </c:tx>
      <c:overlay val="0"/>
      <c:spPr>
        <a:noFill/>
        <a:ln>
          <a:noFill/>
        </a:ln>
        <a:effectLst/>
      </c:spPr>
      <c:txPr>
        <a:bodyPr rot="0" spcFirstLastPara="1" vertOverflow="ellipsis" vert="horz" wrap="square" anchor="ctr" anchorCtr="1"/>
        <a:lstStyle/>
        <a:p>
          <a:pPr>
            <a:defRPr sz="1100" b="1" i="0" u="none" strike="noStrike" kern="1200" cap="all" spc="5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2"/>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s>
    <c:plotArea>
      <c:layout>
        <c:manualLayout>
          <c:layoutTarget val="inner"/>
          <c:xMode val="edge"/>
          <c:yMode val="edge"/>
          <c:x val="6.3579074674489214E-2"/>
          <c:y val="0.22308801183133842"/>
          <c:w val="0.56627116463383254"/>
          <c:h val="0.71528989216905159"/>
        </c:manualLayout>
      </c:layout>
      <c:doughnutChart>
        <c:varyColors val="1"/>
        <c:ser>
          <c:idx val="0"/>
          <c:order val="0"/>
          <c:tx>
            <c:strRef>
              <c:f>'monwise count'!$C$9</c:f>
              <c:strCache>
                <c:ptCount val="1"/>
                <c:pt idx="0">
                  <c:v>Total</c:v>
                </c:pt>
              </c:strCache>
            </c:strRef>
          </c:tx>
          <c:dPt>
            <c:idx val="0"/>
            <c:bubble3D val="0"/>
            <c:spPr>
              <a:solidFill>
                <a:schemeClr val="accent1"/>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2-CFA9-4360-AA1D-D41CA479AAD0}"/>
              </c:ext>
            </c:extLst>
          </c:dPt>
          <c:dPt>
            <c:idx val="1"/>
            <c:bubble3D val="0"/>
            <c:spPr>
              <a:solidFill>
                <a:schemeClr val="accent2"/>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3-190E-4370-97EF-914ECE6462E1}"/>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'monwise count'!$B$10:$B$12</c:f>
              <c:strCache>
                <c:ptCount val="2"/>
                <c:pt idx="0">
                  <c:v>Jan</c:v>
                </c:pt>
                <c:pt idx="1">
                  <c:v>Feb</c:v>
                </c:pt>
              </c:strCache>
            </c:strRef>
          </c:cat>
          <c:val>
            <c:numRef>
              <c:f>'monwise count'!$C$10:$C$12</c:f>
              <c:numCache>
                <c:formatCode>General</c:formatCode>
                <c:ptCount val="2"/>
                <c:pt idx="0">
                  <c:v>38189</c:v>
                </c:pt>
                <c:pt idx="1">
                  <c:v>20115</c:v>
                </c:pt>
              </c:numCache>
            </c:numRef>
          </c:val>
          <c:extLst>
            <c:ext xmlns:c16="http://schemas.microsoft.com/office/drawing/2014/chart" uri="{C3380CC4-5D6E-409C-BE32-E72D297353CC}">
              <c16:uniqueId val="{00000000-CFA9-4360-AA1D-D41CA479AAD0}"/>
            </c:ext>
          </c:extLst>
        </c:ser>
        <c:dLbls>
          <c:showLegendKey val="0"/>
          <c:showVal val="0"/>
          <c:showCatName val="0"/>
          <c:showSerName val="0"/>
          <c:showPercent val="1"/>
          <c:showBubbleSize val="0"/>
          <c:showLeaderLines val="1"/>
        </c:dLbls>
        <c:firstSliceAng val="0"/>
        <c:holeSize val="50"/>
      </c:doughnutChart>
      <c:spPr>
        <a:noFill/>
        <a:ln>
          <a:noFill/>
        </a:ln>
        <a:effectLst/>
      </c:spPr>
    </c:plotArea>
    <c:legend>
      <c:legendPos val="r"/>
      <c:layout>
        <c:manualLayout>
          <c:xMode val="edge"/>
          <c:yMode val="edge"/>
          <c:x val="0.73039215686274506"/>
          <c:y val="0.39197581726432801"/>
          <c:w val="0.25"/>
          <c:h val="0.30954649244695803"/>
        </c:manualLayout>
      </c:layout>
      <c:overlay val="0"/>
      <c:spPr>
        <a:noFill/>
        <a:ln>
          <a:noFill/>
        </a:ln>
        <a:effectLst>
          <a:glow rad="139700">
            <a:schemeClr val="accent5">
              <a:satMod val="175000"/>
              <a:alpha val="40000"/>
            </a:schemeClr>
          </a:glow>
          <a:softEdge rad="533400"/>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[project.xlsx]weth_cat Avg!PivotTable8</c:name>
    <c:fmtId val="1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Weather_category</a:t>
            </a:r>
            <a:r>
              <a:rPr lang="en-US" baseline="0"/>
              <a:t> wise Avg of count</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circle"/>
          <c:size val="5"/>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s>
    <c:plotArea>
      <c:layout>
        <c:manualLayout>
          <c:layoutTarget val="inner"/>
          <c:xMode val="edge"/>
          <c:yMode val="edge"/>
          <c:x val="0.1836097987751531"/>
          <c:y val="0.21099300087489065"/>
          <c:w val="0.41314041994750655"/>
          <c:h val="0.68856736657917761"/>
        </c:manualLayout>
      </c:layout>
      <c:pieChart>
        <c:varyColors val="1"/>
        <c:ser>
          <c:idx val="0"/>
          <c:order val="0"/>
          <c:tx>
            <c:strRef>
              <c:f>'weth_cat Avg'!$C$10</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1CCB-493A-A46F-263538A5BFEC}"/>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1CCB-493A-A46F-263538A5BFEC}"/>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1CCB-493A-A46F-263538A5BFEC}"/>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1CCB-493A-A46F-263538A5BFEC}"/>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'weth_cat Avg'!$B$11:$B$15</c:f>
              <c:strCache>
                <c:ptCount val="4"/>
                <c:pt idx="0">
                  <c:v>Clear/Partly Cloudy</c:v>
                </c:pt>
                <c:pt idx="1">
                  <c:v>Heavy Rain </c:v>
                </c:pt>
                <c:pt idx="2">
                  <c:v>Light Snow / Rain </c:v>
                </c:pt>
                <c:pt idx="3">
                  <c:v>Mist / cloudy </c:v>
                </c:pt>
              </c:strCache>
            </c:strRef>
          </c:cat>
          <c:val>
            <c:numRef>
              <c:f>'weth_cat Avg'!$C$11:$C$15</c:f>
              <c:numCache>
                <c:formatCode>0.00</c:formatCode>
                <c:ptCount val="4"/>
                <c:pt idx="0">
                  <c:v>61.671617161716171</c:v>
                </c:pt>
                <c:pt idx="1">
                  <c:v>36</c:v>
                </c:pt>
                <c:pt idx="2">
                  <c:v>33.202380952380949</c:v>
                </c:pt>
                <c:pt idx="3">
                  <c:v>58.595469255663431</c:v>
                </c:pt>
              </c:numCache>
            </c:numRef>
          </c:val>
          <c:extLst>
            <c:ext xmlns:c16="http://schemas.microsoft.com/office/drawing/2014/chart" uri="{C3380CC4-5D6E-409C-BE32-E72D297353CC}">
              <c16:uniqueId val="{00000008-1CCB-493A-A46F-263538A5BFEC}"/>
            </c:ext>
          </c:extLst>
        </c:ser>
        <c:dLbls>
          <c:showLegendKey val="0"/>
          <c:showVal val="0"/>
          <c:showCatName val="0"/>
          <c:showSerName val="0"/>
          <c:showPercent val="0"/>
          <c:showBubbleSize val="0"/>
          <c:showLeaderLines val="1"/>
        </c:dLbls>
        <c:firstSliceAng val="0"/>
      </c:pieChart>
      <c:spPr>
        <a:noFill/>
        <a:ln>
          <a:noFill/>
        </a:ln>
        <a:effectLst/>
      </c:spPr>
    </c:plotArea>
    <c:legend>
      <c:legendPos val="r"/>
      <c:layout>
        <c:manualLayout>
          <c:xMode val="edge"/>
          <c:yMode val="edge"/>
          <c:x val="0.61562103699797566"/>
          <c:y val="0.30683289588801399"/>
          <c:w val="0.33100221976385175"/>
          <c:h val="0.49225758238553513"/>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[project.xlsx]Temp_catg!PivotTable7</c:name>
    <c:fmtId val="0"/>
  </c:pivotSource>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en-IN"/>
              <a:t>Weekday wise count</a:t>
            </a:r>
          </a:p>
        </c:rich>
      </c:tx>
      <c:layout>
        <c:manualLayout>
          <c:xMode val="edge"/>
          <c:yMode val="edge"/>
          <c:x val="0.34969444444444442"/>
          <c:y val="0.10083114610673666"/>
        </c:manualLayout>
      </c:layout>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US"/>
        </a:p>
      </c:txPr>
    </c:title>
    <c:autoTitleDeleted val="0"/>
    <c:pivotFmts>
      <c:pivotFmt>
        <c:idx val="0"/>
        <c:spPr>
          <a:ln w="31750" cap="rnd">
            <a:solidFill>
              <a:schemeClr val="accent1"/>
            </a:solidFill>
            <a:round/>
          </a:ln>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2700">
              <a:solidFill>
                <a:schemeClr val="l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
        <c:spPr>
          <a:ln w="31750" cap="rnd">
            <a:solidFill>
              <a:schemeClr val="accent1"/>
            </a:solidFill>
            <a:round/>
          </a:ln>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12700">
              <a:solidFill>
                <a:schemeClr val="l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cked"/>
        <c:varyColors val="0"/>
        <c:ser>
          <c:idx val="0"/>
          <c:order val="0"/>
          <c:tx>
            <c:strRef>
              <c:f>Temp_catg!$C$12</c:f>
              <c:strCache>
                <c:ptCount val="1"/>
                <c:pt idx="0">
                  <c:v>Sum of casual</c:v>
                </c:pt>
              </c:strCache>
            </c:strRef>
          </c:tx>
          <c:spPr>
            <a:ln w="31750" cap="rnd">
              <a:solidFill>
                <a:schemeClr val="accent1"/>
              </a:solidFill>
              <a:round/>
            </a:ln>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2700">
                <a:solidFill>
                  <a:schemeClr val="lt2"/>
                </a:solidFill>
                <a:round/>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2">
                          <a:lumMod val="35000"/>
                          <a:lumOff val="65000"/>
                        </a:schemeClr>
                      </a:solidFill>
                    </a:ln>
                    <a:effectLst/>
                  </c:spPr>
                </c15:leaderLines>
              </c:ext>
            </c:extLst>
          </c:dLbls>
          <c:cat>
            <c:strRef>
              <c:f>Temp_catg!$B$13:$B$20</c:f>
              <c:strCache>
                <c:ptCount val="7"/>
                <c:pt idx="0">
                  <c:v>Sunday</c:v>
                </c:pt>
                <c:pt idx="1">
                  <c:v>Monday</c:v>
                </c:pt>
                <c:pt idx="2">
                  <c:v>Tuesday</c:v>
                </c:pt>
                <c:pt idx="3">
                  <c:v>Wednesday</c:v>
                </c:pt>
                <c:pt idx="4">
                  <c:v>Thursday</c:v>
                </c:pt>
                <c:pt idx="5">
                  <c:v>Friday</c:v>
                </c:pt>
                <c:pt idx="6">
                  <c:v>Saturday</c:v>
                </c:pt>
              </c:strCache>
            </c:strRef>
          </c:cat>
          <c:val>
            <c:numRef>
              <c:f>Temp_catg!$C$13:$C$20</c:f>
              <c:numCache>
                <c:formatCode>General</c:formatCode>
                <c:ptCount val="7"/>
                <c:pt idx="0">
                  <c:v>1477</c:v>
                </c:pt>
                <c:pt idx="1">
                  <c:v>534</c:v>
                </c:pt>
                <c:pt idx="2">
                  <c:v>457</c:v>
                </c:pt>
                <c:pt idx="3">
                  <c:v>344</c:v>
                </c:pt>
                <c:pt idx="4">
                  <c:v>332</c:v>
                </c:pt>
                <c:pt idx="5">
                  <c:v>552</c:v>
                </c:pt>
                <c:pt idx="6">
                  <c:v>1225</c:v>
                </c:pt>
              </c:numCache>
            </c:numRef>
          </c:val>
          <c:smooth val="0"/>
          <c:extLst>
            <c:ext xmlns:c16="http://schemas.microsoft.com/office/drawing/2014/chart" uri="{C3380CC4-5D6E-409C-BE32-E72D297353CC}">
              <c16:uniqueId val="{00000000-1119-4D09-B0BF-6BCB4D5DB698}"/>
            </c:ext>
          </c:extLst>
        </c:ser>
        <c:ser>
          <c:idx val="1"/>
          <c:order val="1"/>
          <c:tx>
            <c:strRef>
              <c:f>Temp_catg!$D$12</c:f>
              <c:strCache>
                <c:ptCount val="1"/>
                <c:pt idx="0">
                  <c:v>Sum of registered</c:v>
                </c:pt>
              </c:strCache>
            </c:strRef>
          </c:tx>
          <c:spPr>
            <a:ln w="31750" cap="rnd">
              <a:solidFill>
                <a:schemeClr val="accent2"/>
              </a:solidFill>
              <a:round/>
            </a:ln>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12700">
                <a:solidFill>
                  <a:schemeClr val="lt2"/>
                </a:solidFill>
                <a:round/>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2">
                          <a:lumMod val="35000"/>
                          <a:lumOff val="65000"/>
                        </a:schemeClr>
                      </a:solidFill>
                    </a:ln>
                    <a:effectLst/>
                  </c:spPr>
                </c15:leaderLines>
              </c:ext>
            </c:extLst>
          </c:dLbls>
          <c:cat>
            <c:strRef>
              <c:f>Temp_catg!$B$13:$B$20</c:f>
              <c:strCache>
                <c:ptCount val="7"/>
                <c:pt idx="0">
                  <c:v>Sunday</c:v>
                </c:pt>
                <c:pt idx="1">
                  <c:v>Monday</c:v>
                </c:pt>
                <c:pt idx="2">
                  <c:v>Tuesday</c:v>
                </c:pt>
                <c:pt idx="3">
                  <c:v>Wednesday</c:v>
                </c:pt>
                <c:pt idx="4">
                  <c:v>Thursday</c:v>
                </c:pt>
                <c:pt idx="5">
                  <c:v>Friday</c:v>
                </c:pt>
                <c:pt idx="6">
                  <c:v>Saturday</c:v>
                </c:pt>
              </c:strCache>
            </c:strRef>
          </c:cat>
          <c:val>
            <c:numRef>
              <c:f>Temp_catg!$D$13:$D$20</c:f>
              <c:numCache>
                <c:formatCode>General</c:formatCode>
                <c:ptCount val="7"/>
                <c:pt idx="0">
                  <c:v>6644</c:v>
                </c:pt>
                <c:pt idx="1">
                  <c:v>7916</c:v>
                </c:pt>
                <c:pt idx="2">
                  <c:v>7926</c:v>
                </c:pt>
                <c:pt idx="3">
                  <c:v>7705</c:v>
                </c:pt>
                <c:pt idx="4">
                  <c:v>8126</c:v>
                </c:pt>
                <c:pt idx="5">
                  <c:v>8543</c:v>
                </c:pt>
                <c:pt idx="6">
                  <c:v>6523</c:v>
                </c:pt>
              </c:numCache>
            </c:numRef>
          </c:val>
          <c:smooth val="0"/>
          <c:extLst>
            <c:ext xmlns:c16="http://schemas.microsoft.com/office/drawing/2014/chart" uri="{C3380CC4-5D6E-409C-BE32-E72D297353CC}">
              <c16:uniqueId val="{00000001-1119-4D09-B0BF-6BCB4D5DB698}"/>
            </c:ext>
          </c:extLst>
        </c:ser>
        <c:dLbls>
          <c:dLblPos val="t"/>
          <c:showLegendKey val="0"/>
          <c:showVal val="1"/>
          <c:showCatName val="0"/>
          <c:showSerName val="0"/>
          <c:showPercent val="0"/>
          <c:showBubbleSize val="0"/>
        </c:dLbls>
        <c:marker val="1"/>
        <c:smooth val="0"/>
        <c:axId val="1782732992"/>
        <c:axId val="1782703712"/>
      </c:lineChart>
      <c:catAx>
        <c:axId val="1782732992"/>
        <c:scaling>
          <c:orientation val="minMax"/>
        </c:scaling>
        <c:delete val="0"/>
        <c:axPos val="b"/>
        <c:numFmt formatCode="General" sourceLinked="1"/>
        <c:majorTickMark val="out"/>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1782703712"/>
        <c:crosses val="autoZero"/>
        <c:auto val="1"/>
        <c:lblAlgn val="ctr"/>
        <c:lblOffset val="100"/>
        <c:noMultiLvlLbl val="0"/>
      </c:catAx>
      <c:valAx>
        <c:axId val="1782703712"/>
        <c:scaling>
          <c:orientation val="minMax"/>
        </c:scaling>
        <c:delete val="0"/>
        <c:axPos val="l"/>
        <c:majorGridlines>
          <c:spPr>
            <a:ln w="9525" cap="flat" cmpd="sng" algn="ctr">
              <a:solidFill>
                <a:schemeClr val="accent1">
                  <a:shade val="95000"/>
                  <a:satMod val="105000"/>
                  <a:alpha val="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1782732992"/>
        <c:crosses val="autoZero"/>
        <c:crossBetween val="between"/>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[project.xlsx]Temp_cat sum of casu &amp; reg!PivotTable10</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Temp_categories wise</a:t>
            </a:r>
          </a:p>
        </c:rich>
      </c:tx>
      <c:layout>
        <c:manualLayout>
          <c:xMode val="edge"/>
          <c:yMode val="edge"/>
          <c:x val="0.33819420324065486"/>
          <c:y val="0.11290967811179736"/>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'Temp_cat sum of casu &amp; reg'!$C$9</c:f>
              <c:strCache>
                <c:ptCount val="1"/>
                <c:pt idx="0">
                  <c:v>Sum of casual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'Temp_cat sum of casu &amp; reg'!$B$10:$B$13</c:f>
              <c:strCache>
                <c:ptCount val="3"/>
                <c:pt idx="0">
                  <c:v>Cold</c:v>
                </c:pt>
                <c:pt idx="1">
                  <c:v>Mild</c:v>
                </c:pt>
                <c:pt idx="2">
                  <c:v>Warm</c:v>
                </c:pt>
              </c:strCache>
            </c:strRef>
          </c:cat>
          <c:val>
            <c:numRef>
              <c:f>'Temp_cat sum of casu &amp; reg'!$C$10:$C$13</c:f>
              <c:numCache>
                <c:formatCode>General</c:formatCode>
                <c:ptCount val="3"/>
                <c:pt idx="0">
                  <c:v>970</c:v>
                </c:pt>
                <c:pt idx="1">
                  <c:v>1984</c:v>
                </c:pt>
                <c:pt idx="2">
                  <c:v>1967</c:v>
                </c:pt>
              </c:numCache>
            </c:numRef>
          </c:val>
          <c:extLst>
            <c:ext xmlns:c16="http://schemas.microsoft.com/office/drawing/2014/chart" uri="{C3380CC4-5D6E-409C-BE32-E72D297353CC}">
              <c16:uniqueId val="{00000000-DC10-4B59-AF9D-1570D63AF784}"/>
            </c:ext>
          </c:extLst>
        </c:ser>
        <c:ser>
          <c:idx val="1"/>
          <c:order val="1"/>
          <c:tx>
            <c:strRef>
              <c:f>'Temp_cat sum of casu &amp; reg'!$D$9</c:f>
              <c:strCache>
                <c:ptCount val="1"/>
                <c:pt idx="0">
                  <c:v>Sum of registered</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'Temp_cat sum of casu &amp; reg'!$B$10:$B$13</c:f>
              <c:strCache>
                <c:ptCount val="3"/>
                <c:pt idx="0">
                  <c:v>Cold</c:v>
                </c:pt>
                <c:pt idx="1">
                  <c:v>Mild</c:v>
                </c:pt>
                <c:pt idx="2">
                  <c:v>Warm</c:v>
                </c:pt>
              </c:strCache>
            </c:strRef>
          </c:cat>
          <c:val>
            <c:numRef>
              <c:f>'Temp_cat sum of casu &amp; reg'!$D$10:$D$13</c:f>
              <c:numCache>
                <c:formatCode>General</c:formatCode>
                <c:ptCount val="3"/>
                <c:pt idx="0">
                  <c:v>19296</c:v>
                </c:pt>
                <c:pt idx="1">
                  <c:v>24234</c:v>
                </c:pt>
                <c:pt idx="2">
                  <c:v>9853</c:v>
                </c:pt>
              </c:numCache>
            </c:numRef>
          </c:val>
          <c:extLst>
            <c:ext xmlns:c16="http://schemas.microsoft.com/office/drawing/2014/chart" uri="{C3380CC4-5D6E-409C-BE32-E72D297353CC}">
              <c16:uniqueId val="{00000001-DC10-4B59-AF9D-1570D63AF784}"/>
            </c:ext>
          </c:extLst>
        </c:ser>
        <c:dLbls>
          <c:dLblPos val="outEnd"/>
          <c:showLegendKey val="0"/>
          <c:showVal val="1"/>
          <c:showCatName val="0"/>
          <c:showSerName val="0"/>
          <c:showPercent val="0"/>
          <c:showBubbleSize val="0"/>
        </c:dLbls>
        <c:gapWidth val="182"/>
        <c:axId val="488169856"/>
        <c:axId val="488168896"/>
      </c:barChart>
      <c:catAx>
        <c:axId val="48816985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88168896"/>
        <c:crosses val="autoZero"/>
        <c:auto val="1"/>
        <c:lblAlgn val="ctr"/>
        <c:lblOffset val="100"/>
        <c:noMultiLvlLbl val="0"/>
      </c:catAx>
      <c:valAx>
        <c:axId val="488168896"/>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8816985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[project.xlsx]time_prd combo!PivotTable1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Time</a:t>
            </a:r>
            <a:r>
              <a:rPr lang="en-IN" baseline="0"/>
              <a:t> period wise </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ln w="28575" cap="rnd">
            <a:solidFill>
              <a:schemeClr val="accent2"/>
            </a:solidFill>
            <a:round/>
          </a:ln>
          <a:effectLst/>
        </c:spPr>
        <c:marker>
          <c:symbol val="none"/>
        </c:marker>
        <c:dLbl>
          <c:idx val="0"/>
          <c:layout>
            <c:manualLayout>
              <c:x val="-4.1666666666666664E-2"/>
              <c:y val="7.4074074074073987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'time_prd combo'!$C$10</c:f>
              <c:strCache>
                <c:ptCount val="1"/>
                <c:pt idx="0">
                  <c:v>Sum of casual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'time_prd combo'!$B$11:$B$14</c:f>
              <c:strCache>
                <c:ptCount val="4"/>
                <c:pt idx="0">
                  <c:v>Afternoon</c:v>
                </c:pt>
                <c:pt idx="1">
                  <c:v>Evening</c:v>
                </c:pt>
                <c:pt idx="2">
                  <c:v>Morning</c:v>
                </c:pt>
                <c:pt idx="3">
                  <c:v>Night</c:v>
                </c:pt>
              </c:strCache>
            </c:strRef>
          </c:cat>
          <c:val>
            <c:numRef>
              <c:f>'time_prd combo'!$C$11:$C$14</c:f>
              <c:numCache>
                <c:formatCode>General</c:formatCode>
                <c:ptCount val="4"/>
                <c:pt idx="0">
                  <c:v>2490</c:v>
                </c:pt>
                <c:pt idx="1">
                  <c:v>944</c:v>
                </c:pt>
                <c:pt idx="2">
                  <c:v>967</c:v>
                </c:pt>
                <c:pt idx="3">
                  <c:v>520</c:v>
                </c:pt>
              </c:numCache>
            </c:numRef>
          </c:val>
          <c:extLst>
            <c:ext xmlns:c16="http://schemas.microsoft.com/office/drawing/2014/chart" uri="{C3380CC4-5D6E-409C-BE32-E72D297353CC}">
              <c16:uniqueId val="{00000000-B12D-4D92-B3C6-E0A125FC7BF4}"/>
            </c:ext>
          </c:extLst>
        </c:ser>
        <c:dLbls>
          <c:showLegendKey val="0"/>
          <c:showVal val="1"/>
          <c:showCatName val="0"/>
          <c:showSerName val="0"/>
          <c:showPercent val="0"/>
          <c:showBubbleSize val="0"/>
        </c:dLbls>
        <c:gapWidth val="219"/>
        <c:axId val="488189536"/>
        <c:axId val="488188576"/>
      </c:barChart>
      <c:lineChart>
        <c:grouping val="standard"/>
        <c:varyColors val="0"/>
        <c:ser>
          <c:idx val="1"/>
          <c:order val="1"/>
          <c:tx>
            <c:strRef>
              <c:f>'time_prd combo'!$D$10</c:f>
              <c:strCache>
                <c:ptCount val="1"/>
                <c:pt idx="0">
                  <c:v>Sum of reg</c:v>
                </c:pt>
              </c:strCache>
            </c:strRef>
          </c:tx>
          <c:spPr>
            <a:ln w="28575" cap="rnd">
              <a:solidFill>
                <a:schemeClr val="accent2"/>
              </a:solidFill>
              <a:round/>
            </a:ln>
            <a:effectLst/>
          </c:spPr>
          <c:marker>
            <c:symbol val="none"/>
          </c:marker>
          <c:dPt>
            <c:idx val="3"/>
            <c:marker>
              <c:symbol val="none"/>
            </c:marker>
            <c:bubble3D val="0"/>
            <c:spPr>
              <a:ln w="28575" cap="rnd">
                <a:solidFill>
                  <a:schemeClr val="accent2"/>
                </a:solidFill>
                <a:round/>
              </a:ln>
              <a:effectLst/>
            </c:spPr>
            <c:extLst>
              <c:ext xmlns:c16="http://schemas.microsoft.com/office/drawing/2014/chart" uri="{C3380CC4-5D6E-409C-BE32-E72D297353CC}">
                <c16:uniqueId val="{00000004-B12D-4D92-B3C6-E0A125FC7BF4}"/>
              </c:ext>
            </c:extLst>
          </c:dPt>
          <c:dLbls>
            <c:dLbl>
              <c:idx val="3"/>
              <c:layout>
                <c:manualLayout>
                  <c:x val="-4.1666666666666664E-2"/>
                  <c:y val="7.4074074074073987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B12D-4D92-B3C6-E0A125FC7BF4}"/>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'time_prd combo'!$B$11:$B$14</c:f>
              <c:strCache>
                <c:ptCount val="4"/>
                <c:pt idx="0">
                  <c:v>Afternoon</c:v>
                </c:pt>
                <c:pt idx="1">
                  <c:v>Evening</c:v>
                </c:pt>
                <c:pt idx="2">
                  <c:v>Morning</c:v>
                </c:pt>
                <c:pt idx="3">
                  <c:v>Night</c:v>
                </c:pt>
              </c:strCache>
            </c:strRef>
          </c:cat>
          <c:val>
            <c:numRef>
              <c:f>'time_prd combo'!$D$11:$D$14</c:f>
              <c:numCache>
                <c:formatCode>General</c:formatCode>
                <c:ptCount val="4"/>
                <c:pt idx="0">
                  <c:v>14649</c:v>
                </c:pt>
                <c:pt idx="1">
                  <c:v>16825</c:v>
                </c:pt>
                <c:pt idx="2">
                  <c:v>16001</c:v>
                </c:pt>
                <c:pt idx="3">
                  <c:v>5908</c:v>
                </c:pt>
              </c:numCache>
            </c:numRef>
          </c:val>
          <c:smooth val="0"/>
          <c:extLst>
            <c:ext xmlns:c16="http://schemas.microsoft.com/office/drawing/2014/chart" uri="{C3380CC4-5D6E-409C-BE32-E72D297353CC}">
              <c16:uniqueId val="{00000001-B12D-4D92-B3C6-E0A125FC7BF4}"/>
            </c:ext>
          </c:extLst>
        </c:ser>
        <c:dLbls>
          <c:showLegendKey val="0"/>
          <c:showVal val="1"/>
          <c:showCatName val="0"/>
          <c:showSerName val="0"/>
          <c:showPercent val="0"/>
          <c:showBubbleSize val="0"/>
        </c:dLbls>
        <c:marker val="1"/>
        <c:smooth val="0"/>
        <c:axId val="488154016"/>
        <c:axId val="488131456"/>
      </c:lineChart>
      <c:catAx>
        <c:axId val="48818953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88188576"/>
        <c:crosses val="autoZero"/>
        <c:auto val="1"/>
        <c:lblAlgn val="ctr"/>
        <c:lblOffset val="100"/>
        <c:noMultiLvlLbl val="0"/>
      </c:catAx>
      <c:valAx>
        <c:axId val="48818857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88189536"/>
        <c:crosses val="autoZero"/>
        <c:crossBetween val="between"/>
      </c:valAx>
      <c:valAx>
        <c:axId val="488131456"/>
        <c:scaling>
          <c:orientation val="minMax"/>
        </c:scaling>
        <c:delete val="0"/>
        <c:axPos val="r"/>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88154016"/>
        <c:crosses val="max"/>
        <c:crossBetween val="between"/>
      </c:valAx>
      <c:catAx>
        <c:axId val="488154016"/>
        <c:scaling>
          <c:orientation val="minMax"/>
        </c:scaling>
        <c:delete val="1"/>
        <c:axPos val="b"/>
        <c:numFmt formatCode="General" sourceLinked="1"/>
        <c:majorTickMark val="out"/>
        <c:minorTickMark val="none"/>
        <c:tickLblPos val="nextTo"/>
        <c:crossAx val="488131456"/>
        <c:crosses val="autoZero"/>
        <c:auto val="1"/>
        <c:lblAlgn val="ctr"/>
        <c:lblOffset val="100"/>
        <c:noMultiLvlLbl val="0"/>
      </c:cat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_xlchart.v2.0</cx:f>
      </cx:strDim>
      <cx:numDim type="val">
        <cx:f>_xlchart.v2.2</cx:f>
      </cx:numDim>
    </cx:data>
  </cx:chartData>
  <cx:chart>
    <cx:title pos="t" align="ctr" overlay="0">
      <cx:tx>
        <cx:txData>
          <cx:v>TOTAL USERS</cx:v>
        </cx:txData>
      </cx:tx>
      <cx:txPr>
        <a:bodyPr spcFirstLastPara="1" vertOverflow="ellipsis" horzOverflow="overflow" wrap="square" lIns="0" tIns="0" rIns="0" bIns="0" anchor="ctr" anchorCtr="1"/>
        <a:lstStyle/>
        <a:p>
          <a:pPr algn="ctr" rtl="0">
            <a:defRPr/>
          </a:pPr>
          <a:r>
            <a:rPr lang="en-US" sz="1400" b="0" i="0" u="none" strike="noStrike" baseline="0">
              <a:solidFill>
                <a:srgbClr val="000000">
                  <a:lumMod val="65000"/>
                  <a:lumOff val="35000"/>
                </a:srgbClr>
              </a:solidFill>
              <a:latin typeface="Arial"/>
              <a:cs typeface="Arial"/>
            </a:rPr>
            <a:t>TOTAL USERS</a:t>
          </a:r>
        </a:p>
      </cx:txPr>
    </cx:title>
    <cx:plotArea>
      <cx:plotAreaRegion>
        <cx:series layoutId="funnel" uniqueId="{3B92ADC7-FD2C-412C-B7A7-905D1AFA300E}">
          <cx:tx>
            <cx:txData>
              <cx:f>_xlchart.v2.1</cx:f>
              <cx:v>Value</cx:v>
            </cx:txData>
          </cx:tx>
          <cx:dataLabels>
            <cx:txPr>
              <a:bodyPr spcFirstLastPara="1" vertOverflow="ellipsis" horzOverflow="overflow" wrap="square" lIns="0" tIns="0" rIns="0" bIns="0" anchor="ctr" anchorCtr="1"/>
              <a:lstStyle/>
              <a:p>
                <a:pPr algn="ctr" rtl="0">
                  <a:defRPr sz="1100" b="1">
                    <a:solidFill>
                      <a:schemeClr val="bg2"/>
                    </a:solidFill>
                  </a:defRPr>
                </a:pPr>
                <a:endParaRPr lang="en-US" sz="1100" b="1" i="0" u="none" strike="noStrike" baseline="0">
                  <a:solidFill>
                    <a:schemeClr val="bg2"/>
                  </a:solidFill>
                  <a:latin typeface="Arial"/>
                  <a:cs typeface="Arial"/>
                </a:endParaRPr>
              </a:p>
            </cx:txPr>
            <cx:visibility seriesName="0" categoryName="0" value="1"/>
          </cx:dataLabels>
          <cx:dataId val="0"/>
        </cx:series>
      </cx:plotAreaRegion>
      <cx:axis id="0">
        <cx:catScaling gapWidth="0.0599999987"/>
        <cx:tickLabels/>
        <cx:txPr>
          <a:bodyPr spcFirstLastPara="1" vertOverflow="ellipsis" horzOverflow="overflow" wrap="square" lIns="0" tIns="0" rIns="0" bIns="0" anchor="ctr" anchorCtr="1"/>
          <a:lstStyle/>
          <a:p>
            <a:pPr algn="ctr" rtl="0">
              <a:defRPr sz="1100" b="1">
                <a:ln w="9525" cap="flat" cmpd="sng">
                  <a:solidFill>
                    <a:schemeClr val="accent1">
                      <a:shade val="95000"/>
                      <a:satMod val="105000"/>
                      <a:alpha val="0"/>
                    </a:schemeClr>
                  </a:solidFill>
                </a:ln>
                <a:solidFill>
                  <a:schemeClr val="accent2">
                    <a:lumMod val="75000"/>
                  </a:schemeClr>
                </a:solidFill>
              </a:defRPr>
            </a:pPr>
            <a:endParaRPr lang="en-US" sz="1100" b="1" i="0" u="none" strike="noStrike" baseline="0">
              <a:ln w="9525" cap="flat" cmpd="sng">
                <a:solidFill>
                  <a:schemeClr val="accent1">
                    <a:shade val="95000"/>
                    <a:satMod val="105000"/>
                    <a:alpha val="0"/>
                  </a:schemeClr>
                </a:solidFill>
              </a:ln>
              <a:solidFill>
                <a:schemeClr val="accent2">
                  <a:lumMod val="75000"/>
                </a:schemeClr>
              </a:solidFill>
              <a:latin typeface="Arial"/>
              <a:cs typeface="Arial"/>
            </a:endParaRPr>
          </a:p>
        </cx:txPr>
      </cx:axis>
    </cx:plotArea>
    <cx:legend pos="t" align="ctr" overlay="0">
      <cx:txPr>
        <a:bodyPr spcFirstLastPara="1" vertOverflow="ellipsis" horzOverflow="overflow" wrap="square" lIns="0" tIns="0" rIns="0" bIns="0" anchor="ctr" anchorCtr="1"/>
        <a:lstStyle/>
        <a:p>
          <a:pPr algn="ctr" rtl="0">
            <a:defRPr sz="1200" b="1"/>
          </a:pPr>
          <a:endParaRPr lang="en-US" sz="1200" b="1" i="0" u="none" strike="noStrike" baseline="0">
            <a:solidFill>
              <a:srgbClr val="000000">
                <a:lumMod val="65000"/>
                <a:lumOff val="35000"/>
              </a:srgbClr>
            </a:solidFill>
            <a:latin typeface="Arial"/>
            <a:cs typeface="Arial"/>
          </a:endParaRPr>
        </a:p>
      </cx:txPr>
    </cx:legend>
  </cx:chart>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_xlchart.v2.3</cx:f>
      </cx:strDim>
      <cx:numDim type="val">
        <cx:f>_xlchart.v2.5</cx:f>
      </cx:numDim>
    </cx:data>
  </cx:chartData>
  <cx:chart>
    <cx:title pos="t" align="ctr" overlay="0">
      <cx:tx>
        <cx:txData>
          <cx:v>TOTAL USERS</cx:v>
        </cx:txData>
      </cx:tx>
      <cx:txPr>
        <a:bodyPr spcFirstLastPara="1" vertOverflow="ellipsis" horzOverflow="overflow" wrap="square" lIns="0" tIns="0" rIns="0" bIns="0" anchor="ctr" anchorCtr="1"/>
        <a:lstStyle/>
        <a:p>
          <a:pPr algn="ctr" rtl="0">
            <a:defRPr/>
          </a:pPr>
          <a:r>
            <a:rPr lang="en-US" sz="1400" b="0" i="0" u="none" strike="noStrike" baseline="0">
              <a:solidFill>
                <a:srgbClr val="000000">
                  <a:lumMod val="65000"/>
                  <a:lumOff val="35000"/>
                </a:srgbClr>
              </a:solidFill>
              <a:latin typeface="Arial"/>
              <a:cs typeface="Arial"/>
            </a:rPr>
            <a:t>TOTAL USERS</a:t>
          </a:r>
        </a:p>
      </cx:txPr>
    </cx:title>
    <cx:plotArea>
      <cx:plotAreaRegion>
        <cx:series layoutId="funnel" uniqueId="{3B92ADC7-FD2C-412C-B7A7-905D1AFA300E}">
          <cx:tx>
            <cx:txData>
              <cx:f>_xlchart.v2.4</cx:f>
              <cx:v>Value</cx:v>
            </cx:txData>
          </cx:tx>
          <cx:dataLabels>
            <cx:visibility seriesName="0" categoryName="0" value="1"/>
          </cx:dataLabels>
          <cx:dataId val="0"/>
        </cx:series>
      </cx:plotAreaRegion>
      <cx:axis id="0">
        <cx:catScaling gapWidth="0.0599999987"/>
        <cx:tickLabels/>
        <cx:txPr>
          <a:bodyPr spcFirstLastPara="1" vertOverflow="ellipsis" horzOverflow="overflow" wrap="square" lIns="0" tIns="0" rIns="0" bIns="0" anchor="ctr" anchorCtr="1"/>
          <a:lstStyle/>
          <a:p>
            <a:pPr algn="ctr" rtl="0">
              <a:defRPr>
                <a:ln w="9525" cap="flat" cmpd="sng">
                  <a:solidFill>
                    <a:schemeClr val="accent1">
                      <a:shade val="95000"/>
                      <a:satMod val="105000"/>
                      <a:alpha val="0"/>
                    </a:schemeClr>
                  </a:solidFill>
                </a:ln>
                <a:solidFill>
                  <a:schemeClr val="accent2">
                    <a:lumMod val="75000"/>
                  </a:schemeClr>
                </a:solidFill>
              </a:defRPr>
            </a:pPr>
            <a:endParaRPr lang="en-US" sz="900" b="0" i="0" u="none" strike="noStrike" baseline="0">
              <a:ln w="9525" cap="flat" cmpd="sng">
                <a:solidFill>
                  <a:schemeClr val="accent1">
                    <a:shade val="95000"/>
                    <a:satMod val="105000"/>
                    <a:alpha val="0"/>
                  </a:schemeClr>
                </a:solidFill>
              </a:ln>
              <a:solidFill>
                <a:schemeClr val="accent2">
                  <a:lumMod val="75000"/>
                </a:schemeClr>
              </a:solidFill>
              <a:latin typeface="Arial"/>
              <a:cs typeface="Arial"/>
            </a:endParaRPr>
          </a:p>
        </cx:txPr>
      </cx:axis>
    </cx:plotArea>
    <cx:legend pos="t" align="ctr" overlay="0"/>
  </cx:chart>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90">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1"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scene3d>
        <a:camera prst="orthographicFront"/>
        <a:lightRig rig="brightRoom" dir="t"/>
      </a:scene3d>
      <a:sp3d prstMaterial="flat">
        <a:bevelT w="50800" h="101600" prst="angle"/>
        <a:contourClr>
          <a:srgbClr val="000000"/>
        </a:contourClr>
      </a:sp3d>
    </cs:spPr>
  </cs:dataPoint>
  <cs:dataPoint3D>
    <cs:lnRef idx="0"/>
    <cs:fillRef idx="0">
      <cs:styleClr val="auto"/>
    </cs:fillRef>
    <cs:effectRef idx="0"/>
    <cs:fontRef idx="minor">
      <a:schemeClr val="tx1"/>
    </cs:fontRef>
    <cs:spPr>
      <a:solidFill>
        <a:schemeClr val="phClr"/>
      </a:solidFill>
      <a:ln w="1905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1" i="0" kern="1200" cap="all" spc="5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31">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419">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93">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bg1"/>
    </cs:fontRef>
    <cs:spPr>
      <a:solidFill>
        <a:schemeClr val="tx1">
          <a:lumMod val="50000"/>
          <a:lumOff val="50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5400000" scaled="0"/>
      </a:gradFill>
    </cs:spPr>
  </cs:dataPoint>
  <cs:dataPoint3D>
    <cs:lnRef idx="0"/>
    <cs:fillRef idx="0">
      <cs:styleClr val="auto"/>
    </cs:fillRef>
    <cs:effectRef idx="0"/>
    <cs:fontRef idx="minor">
      <a:schemeClr val="tx1"/>
    </cs:fontRef>
    <cs:spPr>
      <a:gradFill>
        <a:gsLst>
          <a:gs pos="100000">
            <a:schemeClr val="phClr">
              <a:alpha val="0"/>
            </a:schemeClr>
          </a:gs>
          <a:gs pos="50000">
            <a:schemeClr val="phClr"/>
          </a:gs>
        </a:gsLst>
        <a:lin ang="5400000" scaled="0"/>
      </a:gradFill>
      <a:sp3d/>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styleClr val="auto"/>
    </cs:lnRef>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5400000" scaled="0"/>
      </a:gradFill>
      <a:ln w="9525" cap="flat" cmpd="sng" algn="ctr">
        <a:solidFill>
          <a:schemeClr val="phClr">
            <a:shade val="95000"/>
          </a:schemeClr>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65000"/>
            <a:lumOff val="3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cap="flat" cmpd="sng" algn="ctr">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tx1"/>
    </cs:fontRef>
    <cs:spPr>
      <a:ln w="9525" cap="flat" cmpd="sng" algn="ctr">
        <a:solidFill>
          <a:schemeClr val="tx1">
            <a:lumMod val="5000"/>
            <a:lumOff val="9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headEnd type="none" w="sm" len="sm"/>
        <a:tailEnd type="none" w="sm" len="sm"/>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800" b="1" kern="1200" cap="all" spc="50" baseline="0"/>
  </cs:title>
  <cs:trendline>
    <cs:lnRef idx="0">
      <cs:styleClr val="auto"/>
    </cs:lnRef>
    <cs:fillRef idx="0"/>
    <cs:effectRef idx="0"/>
    <cs:fontRef idx="minor">
      <a:schemeClr val="dk1"/>
    </cs:fontRef>
    <cs:spPr>
      <a:ln w="9525"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10.xml><?xml version="1.0" encoding="utf-8"?>
<cs:chartStyle xmlns:cs="http://schemas.microsoft.com/office/drawing/2012/chartStyle" xmlns:a="http://schemas.openxmlformats.org/drawingml/2006/main" id="293">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bg1"/>
    </cs:fontRef>
    <cs:spPr>
      <a:solidFill>
        <a:schemeClr val="tx1">
          <a:lumMod val="50000"/>
          <a:lumOff val="50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5400000" scaled="0"/>
      </a:gradFill>
    </cs:spPr>
  </cs:dataPoint>
  <cs:dataPoint3D>
    <cs:lnRef idx="0"/>
    <cs:fillRef idx="0">
      <cs:styleClr val="auto"/>
    </cs:fillRef>
    <cs:effectRef idx="0"/>
    <cs:fontRef idx="minor">
      <a:schemeClr val="tx1"/>
    </cs:fontRef>
    <cs:spPr>
      <a:gradFill>
        <a:gsLst>
          <a:gs pos="100000">
            <a:schemeClr val="phClr">
              <a:alpha val="0"/>
            </a:schemeClr>
          </a:gs>
          <a:gs pos="50000">
            <a:schemeClr val="phClr"/>
          </a:gs>
        </a:gsLst>
        <a:lin ang="5400000" scaled="0"/>
      </a:gradFill>
      <a:sp3d/>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styleClr val="auto"/>
    </cs:lnRef>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5400000" scaled="0"/>
      </a:gradFill>
      <a:ln w="9525" cap="flat" cmpd="sng" algn="ctr">
        <a:solidFill>
          <a:schemeClr val="phClr">
            <a:shade val="95000"/>
          </a:schemeClr>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65000"/>
            <a:lumOff val="3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cap="flat" cmpd="sng" algn="ctr">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tx1"/>
    </cs:fontRef>
    <cs:spPr>
      <a:ln w="9525" cap="flat" cmpd="sng" algn="ctr">
        <a:solidFill>
          <a:schemeClr val="tx1">
            <a:lumMod val="5000"/>
            <a:lumOff val="9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headEnd type="none" w="sm" len="sm"/>
        <a:tailEnd type="none" w="sm" len="sm"/>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800" b="1" kern="1200" cap="all" spc="50" baseline="0"/>
  </cs:title>
  <cs:trendline>
    <cs:lnRef idx="0">
      <cs:styleClr val="auto"/>
    </cs:lnRef>
    <cs:fillRef idx="0"/>
    <cs:effectRef idx="0"/>
    <cs:fontRef idx="minor">
      <a:schemeClr val="dk1"/>
    </cs:fontRef>
    <cs:spPr>
      <a:ln w="9525"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1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90">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13.xml><?xml version="1.0" encoding="utf-8"?>
<cs:chartStyle xmlns:cs="http://schemas.microsoft.com/office/drawing/2012/chartStyle" xmlns:a="http://schemas.openxmlformats.org/drawingml/2006/main" id="25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1"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scene3d>
        <a:camera prst="orthographicFront"/>
        <a:lightRig rig="brightRoom" dir="t"/>
      </a:scene3d>
      <a:sp3d prstMaterial="flat">
        <a:bevelT w="50800" h="101600" prst="angle"/>
        <a:contourClr>
          <a:srgbClr val="000000"/>
        </a:contourClr>
      </a:sp3d>
    </cs:spPr>
  </cs:dataPoint>
  <cs:dataPoint3D>
    <cs:lnRef idx="0"/>
    <cs:fillRef idx="0">
      <cs:styleClr val="auto"/>
    </cs:fillRef>
    <cs:effectRef idx="0"/>
    <cs:fontRef idx="minor">
      <a:schemeClr val="tx1"/>
    </cs:fontRef>
    <cs:spPr>
      <a:solidFill>
        <a:schemeClr val="phClr"/>
      </a:solidFill>
      <a:ln w="1905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1" i="0" kern="1200" cap="all" spc="5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31">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16.xml><?xml version="1.0" encoding="utf-8"?>
<cs:chartStyle xmlns:cs="http://schemas.microsoft.com/office/drawing/2012/chartStyle" xmlns:a="http://schemas.openxmlformats.org/drawingml/2006/main" id="419">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1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image" Target="../media/image1.emf"/><Relationship Id="rId3" Type="http://schemas.openxmlformats.org/officeDocument/2006/relationships/chart" Target="../charts/chart3.xml"/><Relationship Id="rId7" Type="http://schemas.microsoft.com/office/2014/relationships/chartEx" Target="../charts/chartEx1.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10" Type="http://schemas.openxmlformats.org/officeDocument/2006/relationships/chart" Target="../charts/chart8.xml"/><Relationship Id="rId4" Type="http://schemas.openxmlformats.org/officeDocument/2006/relationships/chart" Target="../charts/chart4.xml"/><Relationship Id="rId9" Type="http://schemas.openxmlformats.org/officeDocument/2006/relationships/chart" Target="../charts/chart7.xml"/></Relationships>
</file>

<file path=xl/drawings/_rels/drawing2.xml.rels><?xml version="1.0" encoding="UTF-8" standalone="yes"?>
<Relationships xmlns="http://schemas.openxmlformats.org/package/2006/relationships"><Relationship Id="rId1" Type="http://schemas.openxmlformats.org/officeDocument/2006/relationships/chart" Target="../charts/chart9.xml"/></Relationships>
</file>

<file path=xl/drawings/_rels/drawing3.xml.rels><?xml version="1.0" encoding="UTF-8" standalone="yes"?>
<Relationships xmlns="http://schemas.openxmlformats.org/package/2006/relationships"><Relationship Id="rId1" Type="http://schemas.openxmlformats.org/officeDocument/2006/relationships/chart" Target="../charts/chart10.xml"/></Relationships>
</file>

<file path=xl/drawings/_rels/drawing4.xml.rels><?xml version="1.0" encoding="UTF-8" standalone="yes"?>
<Relationships xmlns="http://schemas.openxmlformats.org/package/2006/relationships"><Relationship Id="rId1" Type="http://schemas.openxmlformats.org/officeDocument/2006/relationships/chart" Target="../charts/chart11.xml"/></Relationships>
</file>

<file path=xl/drawings/_rels/drawing5.xml.rels><?xml version="1.0" encoding="UTF-8" standalone="yes"?>
<Relationships xmlns="http://schemas.openxmlformats.org/package/2006/relationships"><Relationship Id="rId1" Type="http://schemas.openxmlformats.org/officeDocument/2006/relationships/chart" Target="../charts/chart12.xml"/></Relationships>
</file>

<file path=xl/drawings/_rels/drawing6.xml.rels><?xml version="1.0" encoding="UTF-8" standalone="yes"?>
<Relationships xmlns="http://schemas.openxmlformats.org/package/2006/relationships"><Relationship Id="rId1" Type="http://schemas.openxmlformats.org/officeDocument/2006/relationships/chart" Target="../charts/chart13.xml"/></Relationships>
</file>

<file path=xl/drawings/_rels/drawing7.xml.rels><?xml version="1.0" encoding="UTF-8" standalone="yes"?>
<Relationships xmlns="http://schemas.openxmlformats.org/package/2006/relationships"><Relationship Id="rId1" Type="http://schemas.openxmlformats.org/officeDocument/2006/relationships/chart" Target="../charts/chart14.xml"/></Relationships>
</file>

<file path=xl/drawings/_rels/drawing8.xml.rels><?xml version="1.0" encoding="UTF-8" standalone="yes"?>
<Relationships xmlns="http://schemas.openxmlformats.org/package/2006/relationships"><Relationship Id="rId1" Type="http://schemas.microsoft.com/office/2014/relationships/chartEx" Target="../charts/chartEx2.xml"/></Relationships>
</file>

<file path=xl/drawings/_rels/drawing9.xml.rels><?xml version="1.0" encoding="UTF-8" standalone="yes"?>
<Relationships xmlns="http://schemas.openxmlformats.org/package/2006/relationships"><Relationship Id="rId1" Type="http://schemas.openxmlformats.org/officeDocument/2006/relationships/chart" Target="../charts/chart15.xml"/></Relationships>
</file>

<file path=xl/drawings/_rels/drawing10.xml.rels><?xml version="1.0" encoding="UTF-8" standalone="yes"?>
<Relationships xmlns="http://schemas.openxmlformats.org/package/2006/relationships"><Relationship Id="rId1" Type="http://schemas.openxmlformats.org/officeDocument/2006/relationships/chart" Target="../charts/chart16.xml"/></Relationships>
</file>

<file path=xl/drawings/drawing1.xml><?xml version="1.0" encoding="utf-8"?>
<xdr:wsDr xmlns:xdr="http://schemas.openxmlformats.org/drawingml/2006/spreadsheetDrawing" xmlns:a="http://schemas.openxmlformats.org/drawingml/2006/main">
  <xdr:twoCellAnchor>
    <xdr:from>
      <xdr:col>0</xdr:col>
      <xdr:colOff>415636</xdr:colOff>
      <xdr:row>7</xdr:row>
      <xdr:rowOff>10823</xdr:rowOff>
    </xdr:from>
    <xdr:to>
      <xdr:col>27</xdr:col>
      <xdr:colOff>207817</xdr:colOff>
      <xdr:row>110</xdr:row>
      <xdr:rowOff>51955</xdr:rowOff>
    </xdr:to>
    <xdr:sp macro="" textlink="">
      <xdr:nvSpPr>
        <xdr:cNvPr id="2" name="Rectangle: Rounded Corners 1">
          <a:extLst>
            <a:ext uri="{FF2B5EF4-FFF2-40B4-BE49-F238E27FC236}">
              <a16:creationId xmlns:a16="http://schemas.microsoft.com/office/drawing/2014/main" id="{73FB82B4-C5E7-4082-EBA7-DFB7717612D3}"/>
            </a:ext>
          </a:extLst>
        </xdr:cNvPr>
        <xdr:cNvSpPr/>
      </xdr:nvSpPr>
      <xdr:spPr>
        <a:xfrm>
          <a:off x="415636" y="1101868"/>
          <a:ext cx="16157863" cy="16095087"/>
        </a:xfrm>
        <a:prstGeom prst="roundRect">
          <a:avLst>
            <a:gd name="adj" fmla="val 306"/>
          </a:avLst>
        </a:prstGeom>
        <a:solidFill>
          <a:schemeClr val="bg2">
            <a:lumMod val="95000"/>
          </a:schemeClr>
        </a:solidFill>
        <a:ln>
          <a:solidFill>
            <a:schemeClr val="bg1">
              <a:lumMod val="8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xdr:col>
      <xdr:colOff>51955</xdr:colOff>
      <xdr:row>14</xdr:row>
      <xdr:rowOff>142875</xdr:rowOff>
    </xdr:from>
    <xdr:to>
      <xdr:col>10</xdr:col>
      <xdr:colOff>428624</xdr:colOff>
      <xdr:row>40</xdr:row>
      <xdr:rowOff>63500</xdr:rowOff>
    </xdr:to>
    <xdr:graphicFrame macro="">
      <xdr:nvGraphicFramePr>
        <xdr:cNvPr id="7" name="Chart 6">
          <a:extLst>
            <a:ext uri="{FF2B5EF4-FFF2-40B4-BE49-F238E27FC236}">
              <a16:creationId xmlns:a16="http://schemas.microsoft.com/office/drawing/2014/main" id="{35FD3D46-DB1A-4B85-A7E9-B5D874143D8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444500</xdr:colOff>
      <xdr:row>40</xdr:row>
      <xdr:rowOff>126999</xdr:rowOff>
    </xdr:from>
    <xdr:to>
      <xdr:col>18</xdr:col>
      <xdr:colOff>47625</xdr:colOff>
      <xdr:row>63</xdr:row>
      <xdr:rowOff>15874</xdr:rowOff>
    </xdr:to>
    <xdr:graphicFrame macro="">
      <xdr:nvGraphicFramePr>
        <xdr:cNvPr id="8" name="Chart 7">
          <a:extLst>
            <a:ext uri="{FF2B5EF4-FFF2-40B4-BE49-F238E27FC236}">
              <a16:creationId xmlns:a16="http://schemas.microsoft.com/office/drawing/2014/main" id="{4A217126-8237-41EB-976C-0E92D084AF2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xdr:col>
      <xdr:colOff>38099</xdr:colOff>
      <xdr:row>41</xdr:row>
      <xdr:rowOff>0</xdr:rowOff>
    </xdr:from>
    <xdr:to>
      <xdr:col>9</xdr:col>
      <xdr:colOff>381000</xdr:colOff>
      <xdr:row>63</xdr:row>
      <xdr:rowOff>0</xdr:rowOff>
    </xdr:to>
    <xdr:graphicFrame macro="">
      <xdr:nvGraphicFramePr>
        <xdr:cNvPr id="9" name="Chart 8">
          <a:extLst>
            <a:ext uri="{FF2B5EF4-FFF2-40B4-BE49-F238E27FC236}">
              <a16:creationId xmlns:a16="http://schemas.microsoft.com/office/drawing/2014/main" id="{9BF864DE-439B-419C-958F-19C59E2BDFA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9</xdr:col>
      <xdr:colOff>460375</xdr:colOff>
      <xdr:row>63</xdr:row>
      <xdr:rowOff>79375</xdr:rowOff>
    </xdr:from>
    <xdr:to>
      <xdr:col>18</xdr:col>
      <xdr:colOff>63500</xdr:colOff>
      <xdr:row>87</xdr:row>
      <xdr:rowOff>127000</xdr:rowOff>
    </xdr:to>
    <xdr:graphicFrame macro="">
      <xdr:nvGraphicFramePr>
        <xdr:cNvPr id="18" name="Chart 17">
          <a:extLst>
            <a:ext uri="{FF2B5EF4-FFF2-40B4-BE49-F238E27FC236}">
              <a16:creationId xmlns:a16="http://schemas.microsoft.com/office/drawing/2014/main" id="{47A12D5B-FF83-4E67-A48B-17267307CEA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18</xdr:col>
      <xdr:colOff>111125</xdr:colOff>
      <xdr:row>40</xdr:row>
      <xdr:rowOff>111124</xdr:rowOff>
    </xdr:from>
    <xdr:to>
      <xdr:col>27</xdr:col>
      <xdr:colOff>0</xdr:colOff>
      <xdr:row>63</xdr:row>
      <xdr:rowOff>15875</xdr:rowOff>
    </xdr:to>
    <xdr:graphicFrame macro="">
      <xdr:nvGraphicFramePr>
        <xdr:cNvPr id="19" name="Chart 18">
          <a:extLst>
            <a:ext uri="{FF2B5EF4-FFF2-40B4-BE49-F238E27FC236}">
              <a16:creationId xmlns:a16="http://schemas.microsoft.com/office/drawing/2014/main" id="{F844FC3E-B8E0-407D-BF5D-62BBA9348E9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10</xdr:col>
      <xdr:colOff>492125</xdr:colOff>
      <xdr:row>14</xdr:row>
      <xdr:rowOff>142875</xdr:rowOff>
    </xdr:from>
    <xdr:to>
      <xdr:col>19</xdr:col>
      <xdr:colOff>349249</xdr:colOff>
      <xdr:row>40</xdr:row>
      <xdr:rowOff>47625</xdr:rowOff>
    </xdr:to>
    <xdr:graphicFrame macro="">
      <xdr:nvGraphicFramePr>
        <xdr:cNvPr id="20" name="Chart 19">
          <a:extLst>
            <a:ext uri="{FF2B5EF4-FFF2-40B4-BE49-F238E27FC236}">
              <a16:creationId xmlns:a16="http://schemas.microsoft.com/office/drawing/2014/main" id="{263FF3BF-A384-4756-A612-C3374619240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18</xdr:col>
      <xdr:colOff>111126</xdr:colOff>
      <xdr:row>63</xdr:row>
      <xdr:rowOff>79375</xdr:rowOff>
    </xdr:from>
    <xdr:to>
      <xdr:col>27</xdr:col>
      <xdr:colOff>11906</xdr:colOff>
      <xdr:row>87</xdr:row>
      <xdr:rowOff>111125</xdr:rowOff>
    </xdr:to>
    <mc:AlternateContent xmlns:mc="http://schemas.openxmlformats.org/markup-compatibility/2006">
      <mc:Choice xmlns:cx2="http://schemas.microsoft.com/office/drawing/2015/10/21/chartex" Requires="cx2">
        <xdr:graphicFrame macro="">
          <xdr:nvGraphicFramePr>
            <xdr:cNvPr id="21" name="Chart 20">
              <a:extLst>
                <a:ext uri="{FF2B5EF4-FFF2-40B4-BE49-F238E27FC236}">
                  <a16:creationId xmlns:a16="http://schemas.microsoft.com/office/drawing/2014/main" id="{AB1B556C-294B-4A1C-9A91-A5413A2EAB35}"/>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7"/>
            </a:graphicData>
          </a:graphic>
        </xdr:graphicFrame>
      </mc:Choice>
      <mc:Fallback>
        <xdr:sp macro="" textlink="">
          <xdr:nvSpPr>
            <xdr:cNvPr id="0" name=""/>
            <xdr:cNvSpPr>
              <a:spLocks noTextEdit="1"/>
            </xdr:cNvSpPr>
          </xdr:nvSpPr>
          <xdr:spPr>
            <a:xfrm>
              <a:off x="11083926" y="10280650"/>
              <a:ext cx="5387180" cy="391795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editAs="oneCell">
    <xdr:from>
      <xdr:col>1</xdr:col>
      <xdr:colOff>31748</xdr:colOff>
      <xdr:row>63</xdr:row>
      <xdr:rowOff>95250</xdr:rowOff>
    </xdr:from>
    <xdr:to>
      <xdr:col>9</xdr:col>
      <xdr:colOff>412750</xdr:colOff>
      <xdr:row>109</xdr:row>
      <xdr:rowOff>79375</xdr:rowOff>
    </xdr:to>
    <xdr:pic>
      <xdr:nvPicPr>
        <xdr:cNvPr id="22" name="Picture 21">
          <a:extLst>
            <a:ext uri="{FF2B5EF4-FFF2-40B4-BE49-F238E27FC236}">
              <a16:creationId xmlns:a16="http://schemas.microsoft.com/office/drawing/2014/main" id="{702E02BE-2629-EBAC-9BA7-9BE71F8630DF}"/>
            </a:ext>
          </a:extLst>
        </xdr:cNvPr>
        <xdr:cNvPicPr>
          <a:picLocks noChangeAspect="1" noChangeArrowheads="1"/>
        </xdr:cNvPicPr>
      </xdr:nvPicPr>
      <xdr:blipFill>
        <a:blip xmlns:r="http://schemas.openxmlformats.org/officeDocument/2006/relationships" r:embed="rId8">
          <a:extLst>
            <a:ext uri="{28A0092B-C50C-407E-A947-70E740481C1C}">
              <a14:useLocalDpi xmlns:a14="http://schemas.microsoft.com/office/drawing/2010/main" val="0"/>
            </a:ext>
          </a:extLst>
        </a:blip>
        <a:srcRect/>
        <a:stretch>
          <a:fillRect/>
        </a:stretch>
      </xdr:blipFill>
      <xdr:spPr bwMode="auto">
        <a:xfrm>
          <a:off x="634998" y="10096500"/>
          <a:ext cx="5207002" cy="72866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9</xdr:col>
      <xdr:colOff>476250</xdr:colOff>
      <xdr:row>88</xdr:row>
      <xdr:rowOff>47626</xdr:rowOff>
    </xdr:from>
    <xdr:to>
      <xdr:col>18</xdr:col>
      <xdr:colOff>63499</xdr:colOff>
      <xdr:row>109</xdr:row>
      <xdr:rowOff>47626</xdr:rowOff>
    </xdr:to>
    <xdr:graphicFrame macro="">
      <xdr:nvGraphicFramePr>
        <xdr:cNvPr id="23" name="Chart 22">
          <a:extLst>
            <a:ext uri="{FF2B5EF4-FFF2-40B4-BE49-F238E27FC236}">
              <a16:creationId xmlns:a16="http://schemas.microsoft.com/office/drawing/2014/main" id="{A9740C3A-4093-4361-B40A-832E34E644C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18</xdr:col>
      <xdr:colOff>116030</xdr:colOff>
      <xdr:row>88</xdr:row>
      <xdr:rowOff>31750</xdr:rowOff>
    </xdr:from>
    <xdr:to>
      <xdr:col>26</xdr:col>
      <xdr:colOff>604693</xdr:colOff>
      <xdr:row>109</xdr:row>
      <xdr:rowOff>47625</xdr:rowOff>
    </xdr:to>
    <xdr:graphicFrame macro="">
      <xdr:nvGraphicFramePr>
        <xdr:cNvPr id="25" name="Chart 24">
          <a:extLst>
            <a:ext uri="{FF2B5EF4-FFF2-40B4-BE49-F238E27FC236}">
              <a16:creationId xmlns:a16="http://schemas.microsoft.com/office/drawing/2014/main" id="{6D7F3C01-8181-4076-9B5C-187A92CE2F9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editAs="oneCell">
    <xdr:from>
      <xdr:col>19</xdr:col>
      <xdr:colOff>444500</xdr:colOff>
      <xdr:row>23</xdr:row>
      <xdr:rowOff>79376</xdr:rowOff>
    </xdr:from>
    <xdr:to>
      <xdr:col>23</xdr:col>
      <xdr:colOff>254000</xdr:colOff>
      <xdr:row>40</xdr:row>
      <xdr:rowOff>47626</xdr:rowOff>
    </xdr:to>
    <mc:AlternateContent xmlns:mc="http://schemas.openxmlformats.org/markup-compatibility/2006" xmlns:a14="http://schemas.microsoft.com/office/drawing/2010/main">
      <mc:Choice Requires="a14">
        <xdr:graphicFrame macro="">
          <xdr:nvGraphicFramePr>
            <xdr:cNvPr id="26" name="hr">
              <a:extLst>
                <a:ext uri="{FF2B5EF4-FFF2-40B4-BE49-F238E27FC236}">
                  <a16:creationId xmlns:a16="http://schemas.microsoft.com/office/drawing/2014/main" id="{ECC247B6-A5D7-3AEF-3FA3-AA43DED7D1F4}"/>
                </a:ext>
              </a:extLst>
            </xdr:cNvPr>
            <xdr:cNvGraphicFramePr/>
          </xdr:nvGraphicFramePr>
          <xdr:xfrm>
            <a:off x="0" y="0"/>
            <a:ext cx="0" cy="0"/>
          </xdr:xfrm>
          <a:graphic>
            <a:graphicData uri="http://schemas.microsoft.com/office/drawing/2010/slicer">
              <sle:slicer xmlns:sle="http://schemas.microsoft.com/office/drawing/2010/slicer" name="hr"/>
            </a:graphicData>
          </a:graphic>
        </xdr:graphicFrame>
      </mc:Choice>
      <mc:Fallback xmlns="">
        <xdr:sp macro="" textlink="">
          <xdr:nvSpPr>
            <xdr:cNvPr id="0" name=""/>
            <xdr:cNvSpPr>
              <a:spLocks noTextEdit="1"/>
            </xdr:cNvSpPr>
          </xdr:nvSpPr>
          <xdr:spPr>
            <a:xfrm>
              <a:off x="11906250" y="3730626"/>
              <a:ext cx="2222500" cy="26670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23</xdr:col>
      <xdr:colOff>285750</xdr:colOff>
      <xdr:row>14</xdr:row>
      <xdr:rowOff>142875</xdr:rowOff>
    </xdr:from>
    <xdr:to>
      <xdr:col>27</xdr:col>
      <xdr:colOff>0</xdr:colOff>
      <xdr:row>24</xdr:row>
      <xdr:rowOff>31750</xdr:rowOff>
    </xdr:to>
    <mc:AlternateContent xmlns:mc="http://schemas.openxmlformats.org/markup-compatibility/2006" xmlns:a14="http://schemas.microsoft.com/office/drawing/2010/main">
      <mc:Choice Requires="a14">
        <xdr:graphicFrame macro="">
          <xdr:nvGraphicFramePr>
            <xdr:cNvPr id="27" name="weather_category">
              <a:extLst>
                <a:ext uri="{FF2B5EF4-FFF2-40B4-BE49-F238E27FC236}">
                  <a16:creationId xmlns:a16="http://schemas.microsoft.com/office/drawing/2014/main" id="{5638E840-4E3D-1451-B27B-D1464B4055EB}"/>
                </a:ext>
              </a:extLst>
            </xdr:cNvPr>
            <xdr:cNvGraphicFramePr/>
          </xdr:nvGraphicFramePr>
          <xdr:xfrm>
            <a:off x="0" y="0"/>
            <a:ext cx="0" cy="0"/>
          </xdr:xfrm>
          <a:graphic>
            <a:graphicData uri="http://schemas.microsoft.com/office/drawing/2010/slicer">
              <sle:slicer xmlns:sle="http://schemas.microsoft.com/office/drawing/2010/slicer" name="weather_category"/>
            </a:graphicData>
          </a:graphic>
        </xdr:graphicFrame>
      </mc:Choice>
      <mc:Fallback xmlns="">
        <xdr:sp macro="" textlink="">
          <xdr:nvSpPr>
            <xdr:cNvPr id="0" name=""/>
            <xdr:cNvSpPr>
              <a:spLocks noTextEdit="1"/>
            </xdr:cNvSpPr>
          </xdr:nvSpPr>
          <xdr:spPr>
            <a:xfrm>
              <a:off x="14160500" y="2365375"/>
              <a:ext cx="2127250" cy="14763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19</xdr:col>
      <xdr:colOff>431800</xdr:colOff>
      <xdr:row>15</xdr:row>
      <xdr:rowOff>1</xdr:rowOff>
    </xdr:from>
    <xdr:to>
      <xdr:col>23</xdr:col>
      <xdr:colOff>238126</xdr:colOff>
      <xdr:row>23</xdr:row>
      <xdr:rowOff>31751</xdr:rowOff>
    </xdr:to>
    <mc:AlternateContent xmlns:mc="http://schemas.openxmlformats.org/markup-compatibility/2006" xmlns:a14="http://schemas.microsoft.com/office/drawing/2010/main">
      <mc:Choice Requires="a14">
        <xdr:graphicFrame macro="">
          <xdr:nvGraphicFramePr>
            <xdr:cNvPr id="28" name="Week_days">
              <a:extLst>
                <a:ext uri="{FF2B5EF4-FFF2-40B4-BE49-F238E27FC236}">
                  <a16:creationId xmlns:a16="http://schemas.microsoft.com/office/drawing/2014/main" id="{984A5462-CCF2-0A4C-FE2D-1A5F5EC9B437}"/>
                </a:ext>
              </a:extLst>
            </xdr:cNvPr>
            <xdr:cNvGraphicFramePr/>
          </xdr:nvGraphicFramePr>
          <xdr:xfrm>
            <a:off x="0" y="0"/>
            <a:ext cx="0" cy="0"/>
          </xdr:xfrm>
          <a:graphic>
            <a:graphicData uri="http://schemas.microsoft.com/office/drawing/2010/slicer">
              <sle:slicer xmlns:sle="http://schemas.microsoft.com/office/drawing/2010/slicer" name="Week_days"/>
            </a:graphicData>
          </a:graphic>
        </xdr:graphicFrame>
      </mc:Choice>
      <mc:Fallback xmlns="">
        <xdr:sp macro="" textlink="">
          <xdr:nvSpPr>
            <xdr:cNvPr id="0" name=""/>
            <xdr:cNvSpPr>
              <a:spLocks noTextEdit="1"/>
            </xdr:cNvSpPr>
          </xdr:nvSpPr>
          <xdr:spPr>
            <a:xfrm>
              <a:off x="11893550" y="2381251"/>
              <a:ext cx="2219326" cy="130175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19</xdr:col>
      <xdr:colOff>431800</xdr:colOff>
      <xdr:row>8</xdr:row>
      <xdr:rowOff>34636</xdr:rowOff>
    </xdr:from>
    <xdr:to>
      <xdr:col>23</xdr:col>
      <xdr:colOff>254000</xdr:colOff>
      <xdr:row>14</xdr:row>
      <xdr:rowOff>142875</xdr:rowOff>
    </xdr:to>
    <mc:AlternateContent xmlns:mc="http://schemas.openxmlformats.org/markup-compatibility/2006" xmlns:a14="http://schemas.microsoft.com/office/drawing/2010/main">
      <mc:Choice Requires="a14">
        <xdr:graphicFrame macro="">
          <xdr:nvGraphicFramePr>
            <xdr:cNvPr id="29" name="week_type">
              <a:extLst>
                <a:ext uri="{FF2B5EF4-FFF2-40B4-BE49-F238E27FC236}">
                  <a16:creationId xmlns:a16="http://schemas.microsoft.com/office/drawing/2014/main" id="{E9BD55DB-CD73-370C-627A-B444A4C1A20F}"/>
                </a:ext>
              </a:extLst>
            </xdr:cNvPr>
            <xdr:cNvGraphicFramePr/>
          </xdr:nvGraphicFramePr>
          <xdr:xfrm>
            <a:off x="0" y="0"/>
            <a:ext cx="0" cy="0"/>
          </xdr:xfrm>
          <a:graphic>
            <a:graphicData uri="http://schemas.microsoft.com/office/drawing/2010/slicer">
              <sle:slicer xmlns:sle="http://schemas.microsoft.com/office/drawing/2010/slicer" name="week_type"/>
            </a:graphicData>
          </a:graphic>
        </xdr:graphicFrame>
      </mc:Choice>
      <mc:Fallback xmlns="">
        <xdr:sp macro="" textlink="">
          <xdr:nvSpPr>
            <xdr:cNvPr id="0" name=""/>
            <xdr:cNvSpPr>
              <a:spLocks noTextEdit="1"/>
            </xdr:cNvSpPr>
          </xdr:nvSpPr>
          <xdr:spPr>
            <a:xfrm>
              <a:off x="11893550" y="1270000"/>
              <a:ext cx="2235200" cy="10953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23</xdr:col>
      <xdr:colOff>288924</xdr:colOff>
      <xdr:row>24</xdr:row>
      <xdr:rowOff>47625</xdr:rowOff>
    </xdr:from>
    <xdr:to>
      <xdr:col>26</xdr:col>
      <xdr:colOff>595312</xdr:colOff>
      <xdr:row>31</xdr:row>
      <xdr:rowOff>0</xdr:rowOff>
    </xdr:to>
    <mc:AlternateContent xmlns:mc="http://schemas.openxmlformats.org/markup-compatibility/2006" xmlns:a14="http://schemas.microsoft.com/office/drawing/2010/main">
      <mc:Choice Requires="a14">
        <xdr:graphicFrame macro="">
          <xdr:nvGraphicFramePr>
            <xdr:cNvPr id="30" name="Time period">
              <a:extLst>
                <a:ext uri="{FF2B5EF4-FFF2-40B4-BE49-F238E27FC236}">
                  <a16:creationId xmlns:a16="http://schemas.microsoft.com/office/drawing/2014/main" id="{EE29C2FA-F118-662B-890C-E93EE29FED67}"/>
                </a:ext>
              </a:extLst>
            </xdr:cNvPr>
            <xdr:cNvGraphicFramePr/>
          </xdr:nvGraphicFramePr>
          <xdr:xfrm>
            <a:off x="0" y="0"/>
            <a:ext cx="0" cy="0"/>
          </xdr:xfrm>
          <a:graphic>
            <a:graphicData uri="http://schemas.microsoft.com/office/drawing/2010/slicer">
              <sle:slicer xmlns:sle="http://schemas.microsoft.com/office/drawing/2010/slicer" name="Time period"/>
            </a:graphicData>
          </a:graphic>
        </xdr:graphicFrame>
      </mc:Choice>
      <mc:Fallback xmlns="">
        <xdr:sp macro="" textlink="">
          <xdr:nvSpPr>
            <xdr:cNvPr id="0" name=""/>
            <xdr:cNvSpPr>
              <a:spLocks noTextEdit="1"/>
            </xdr:cNvSpPr>
          </xdr:nvSpPr>
          <xdr:spPr>
            <a:xfrm>
              <a:off x="14163674" y="3857625"/>
              <a:ext cx="2139951" cy="10636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23</xdr:col>
      <xdr:colOff>301624</xdr:colOff>
      <xdr:row>31</xdr:row>
      <xdr:rowOff>47625</xdr:rowOff>
    </xdr:from>
    <xdr:to>
      <xdr:col>27</xdr:col>
      <xdr:colOff>11906</xdr:colOff>
      <xdr:row>40</xdr:row>
      <xdr:rowOff>79374</xdr:rowOff>
    </xdr:to>
    <mc:AlternateContent xmlns:mc="http://schemas.openxmlformats.org/markup-compatibility/2006" xmlns:a14="http://schemas.microsoft.com/office/drawing/2010/main">
      <mc:Choice Requires="a14">
        <xdr:graphicFrame macro="">
          <xdr:nvGraphicFramePr>
            <xdr:cNvPr id="31" name="temp_cat">
              <a:extLst>
                <a:ext uri="{FF2B5EF4-FFF2-40B4-BE49-F238E27FC236}">
                  <a16:creationId xmlns:a16="http://schemas.microsoft.com/office/drawing/2014/main" id="{BE6C4EDB-CC80-8A3E-25D8-6C0A908FEFCA}"/>
                </a:ext>
              </a:extLst>
            </xdr:cNvPr>
            <xdr:cNvGraphicFramePr/>
          </xdr:nvGraphicFramePr>
          <xdr:xfrm>
            <a:off x="0" y="0"/>
            <a:ext cx="0" cy="0"/>
          </xdr:xfrm>
          <a:graphic>
            <a:graphicData uri="http://schemas.microsoft.com/office/drawing/2010/slicer">
              <sle:slicer xmlns:sle="http://schemas.microsoft.com/office/drawing/2010/slicer" name="temp_cat"/>
            </a:graphicData>
          </a:graphic>
        </xdr:graphicFrame>
      </mc:Choice>
      <mc:Fallback xmlns="">
        <xdr:sp macro="" textlink="">
          <xdr:nvSpPr>
            <xdr:cNvPr id="0" name=""/>
            <xdr:cNvSpPr>
              <a:spLocks noTextEdit="1"/>
            </xdr:cNvSpPr>
          </xdr:nvSpPr>
          <xdr:spPr>
            <a:xfrm>
              <a:off x="14176374" y="4968875"/>
              <a:ext cx="2127251" cy="146049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23</xdr:col>
      <xdr:colOff>301624</xdr:colOff>
      <xdr:row>8</xdr:row>
      <xdr:rowOff>34636</xdr:rowOff>
    </xdr:from>
    <xdr:to>
      <xdr:col>27</xdr:col>
      <xdr:colOff>-1</xdr:colOff>
      <xdr:row>15</xdr:row>
      <xdr:rowOff>1</xdr:rowOff>
    </xdr:to>
    <mc:AlternateContent xmlns:mc="http://schemas.openxmlformats.org/markup-compatibility/2006" xmlns:a14="http://schemas.microsoft.com/office/drawing/2010/main">
      <mc:Choice Requires="a14">
        <xdr:graphicFrame macro="">
          <xdr:nvGraphicFramePr>
            <xdr:cNvPr id="32" name="mnth">
              <a:extLst>
                <a:ext uri="{FF2B5EF4-FFF2-40B4-BE49-F238E27FC236}">
                  <a16:creationId xmlns:a16="http://schemas.microsoft.com/office/drawing/2014/main" id="{B14F68BE-5AA7-9083-A020-92D3A0495B66}"/>
                </a:ext>
              </a:extLst>
            </xdr:cNvPr>
            <xdr:cNvGraphicFramePr/>
          </xdr:nvGraphicFramePr>
          <xdr:xfrm>
            <a:off x="0" y="0"/>
            <a:ext cx="0" cy="0"/>
          </xdr:xfrm>
          <a:graphic>
            <a:graphicData uri="http://schemas.microsoft.com/office/drawing/2010/slicer">
              <sle:slicer xmlns:sle="http://schemas.microsoft.com/office/drawing/2010/slicer" name="mnth"/>
            </a:graphicData>
          </a:graphic>
        </xdr:graphicFrame>
      </mc:Choice>
      <mc:Fallback xmlns="">
        <xdr:sp macro="" textlink="">
          <xdr:nvSpPr>
            <xdr:cNvPr id="0" name=""/>
            <xdr:cNvSpPr>
              <a:spLocks noTextEdit="1"/>
            </xdr:cNvSpPr>
          </xdr:nvSpPr>
          <xdr:spPr>
            <a:xfrm>
              <a:off x="14176374" y="1285875"/>
              <a:ext cx="2111375" cy="109537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15</xdr:col>
      <xdr:colOff>299357</xdr:colOff>
      <xdr:row>8</xdr:row>
      <xdr:rowOff>13607</xdr:rowOff>
    </xdr:from>
    <xdr:to>
      <xdr:col>19</xdr:col>
      <xdr:colOff>367393</xdr:colOff>
      <xdr:row>14</xdr:row>
      <xdr:rowOff>81642</xdr:rowOff>
    </xdr:to>
    <xdr:sp macro="" textlink="">
      <xdr:nvSpPr>
        <xdr:cNvPr id="41" name="Rectangle 40">
          <a:extLst>
            <a:ext uri="{FF2B5EF4-FFF2-40B4-BE49-F238E27FC236}">
              <a16:creationId xmlns:a16="http://schemas.microsoft.com/office/drawing/2014/main" id="{F1CD3ACE-E6DE-4FC2-026B-CDC7CA1EA47B}"/>
            </a:ext>
          </a:extLst>
        </xdr:cNvPr>
        <xdr:cNvSpPr/>
      </xdr:nvSpPr>
      <xdr:spPr>
        <a:xfrm>
          <a:off x="9484178" y="1319893"/>
          <a:ext cx="2517322" cy="1047749"/>
        </a:xfrm>
        <a:prstGeom prst="rect">
          <a:avLst/>
        </a:prstGeom>
        <a:solidFill>
          <a:schemeClr val="accent1">
            <a:lumMod val="40000"/>
            <a:lumOff val="60000"/>
          </a:schemeClr>
        </a:solidFill>
        <a:ln>
          <a:solidFill>
            <a:schemeClr val="bg2">
              <a:lumMod val="8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600" b="1">
              <a:solidFill>
                <a:schemeClr val="tx1"/>
              </a:solidFill>
            </a:rPr>
            <a:t>TOTAL</a:t>
          </a:r>
          <a:r>
            <a:rPr lang="en-IN" sz="1600" b="1" baseline="0">
              <a:solidFill>
                <a:schemeClr val="tx1"/>
              </a:solidFill>
            </a:rPr>
            <a:t> COUNT </a:t>
          </a:r>
        </a:p>
        <a:p>
          <a:pPr algn="ctr"/>
          <a:endParaRPr lang="en-IN" sz="1600" b="1" baseline="0">
            <a:solidFill>
              <a:schemeClr val="tx1"/>
            </a:solidFill>
          </a:endParaRPr>
        </a:p>
        <a:p>
          <a:pPr algn="ctr"/>
          <a:r>
            <a:rPr lang="en-IN" sz="1600" b="1" baseline="0">
              <a:solidFill>
                <a:schemeClr val="tx1"/>
              </a:solidFill>
            </a:rPr>
            <a:t>58304</a:t>
          </a:r>
          <a:endParaRPr lang="en-IN" sz="1600" b="1">
            <a:solidFill>
              <a:schemeClr val="tx1"/>
            </a:solidFill>
          </a:endParaRPr>
        </a:p>
      </xdr:txBody>
    </xdr:sp>
    <xdr:clientData/>
  </xdr:twoCellAnchor>
  <xdr:twoCellAnchor>
    <xdr:from>
      <xdr:col>6</xdr:col>
      <xdr:colOff>394608</xdr:colOff>
      <xdr:row>8</xdr:row>
      <xdr:rowOff>13607</xdr:rowOff>
    </xdr:from>
    <xdr:to>
      <xdr:col>10</xdr:col>
      <xdr:colOff>571501</xdr:colOff>
      <xdr:row>14</xdr:row>
      <xdr:rowOff>81642</xdr:rowOff>
    </xdr:to>
    <xdr:sp macro="" textlink="">
      <xdr:nvSpPr>
        <xdr:cNvPr id="42" name="Rectangle 41">
          <a:extLst>
            <a:ext uri="{FF2B5EF4-FFF2-40B4-BE49-F238E27FC236}">
              <a16:creationId xmlns:a16="http://schemas.microsoft.com/office/drawing/2014/main" id="{A5B75136-0B9B-4912-A109-E0D77123925C}"/>
            </a:ext>
          </a:extLst>
        </xdr:cNvPr>
        <xdr:cNvSpPr/>
      </xdr:nvSpPr>
      <xdr:spPr>
        <a:xfrm>
          <a:off x="4068537" y="1319893"/>
          <a:ext cx="2626178" cy="1047749"/>
        </a:xfrm>
        <a:prstGeom prst="rect">
          <a:avLst/>
        </a:prstGeom>
        <a:solidFill>
          <a:schemeClr val="accent1">
            <a:lumMod val="40000"/>
            <a:lumOff val="60000"/>
          </a:schemeClr>
        </a:solidFill>
        <a:ln>
          <a:solidFill>
            <a:schemeClr val="bg2">
              <a:lumMod val="8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600" b="1">
              <a:solidFill>
                <a:schemeClr val="tx1"/>
              </a:solidFill>
            </a:rPr>
            <a:t>TOTAL CASUAL</a:t>
          </a:r>
        </a:p>
        <a:p>
          <a:pPr algn="ctr"/>
          <a:endParaRPr lang="en-IN" sz="1600" b="1">
            <a:solidFill>
              <a:schemeClr val="tx1"/>
            </a:solidFill>
          </a:endParaRPr>
        </a:p>
        <a:p>
          <a:pPr algn="ctr"/>
          <a:r>
            <a:rPr lang="en-IN" sz="1600" b="1">
              <a:solidFill>
                <a:schemeClr val="tx1"/>
              </a:solidFill>
            </a:rPr>
            <a:t>4921</a:t>
          </a:r>
        </a:p>
      </xdr:txBody>
    </xdr:sp>
    <xdr:clientData/>
  </xdr:twoCellAnchor>
  <xdr:twoCellAnchor>
    <xdr:from>
      <xdr:col>11</xdr:col>
      <xdr:colOff>27215</xdr:colOff>
      <xdr:row>8</xdr:row>
      <xdr:rowOff>13607</xdr:rowOff>
    </xdr:from>
    <xdr:to>
      <xdr:col>15</xdr:col>
      <xdr:colOff>240848</xdr:colOff>
      <xdr:row>14</xdr:row>
      <xdr:rowOff>84363</xdr:rowOff>
    </xdr:to>
    <xdr:sp macro="" textlink="">
      <xdr:nvSpPr>
        <xdr:cNvPr id="43" name="Rectangle 42">
          <a:extLst>
            <a:ext uri="{FF2B5EF4-FFF2-40B4-BE49-F238E27FC236}">
              <a16:creationId xmlns:a16="http://schemas.microsoft.com/office/drawing/2014/main" id="{8C463EB7-F506-4F38-B876-4571BEA8C88E}"/>
            </a:ext>
          </a:extLst>
        </xdr:cNvPr>
        <xdr:cNvSpPr/>
      </xdr:nvSpPr>
      <xdr:spPr>
        <a:xfrm>
          <a:off x="6762751" y="1319893"/>
          <a:ext cx="2662918" cy="1050470"/>
        </a:xfrm>
        <a:prstGeom prst="rect">
          <a:avLst/>
        </a:prstGeom>
        <a:solidFill>
          <a:schemeClr val="accent1">
            <a:lumMod val="40000"/>
            <a:lumOff val="60000"/>
          </a:schemeClr>
        </a:solidFill>
        <a:ln>
          <a:solidFill>
            <a:schemeClr val="bg2">
              <a:lumMod val="8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600" b="1">
              <a:solidFill>
                <a:schemeClr val="tx1"/>
              </a:solidFill>
            </a:rPr>
            <a:t>TOTAL</a:t>
          </a:r>
          <a:r>
            <a:rPr lang="en-IN" sz="1600" b="1" baseline="0">
              <a:solidFill>
                <a:schemeClr val="tx1"/>
              </a:solidFill>
            </a:rPr>
            <a:t> REGISTRATION </a:t>
          </a:r>
        </a:p>
        <a:p>
          <a:pPr algn="l"/>
          <a:endParaRPr lang="en-IN" sz="1600" b="1" baseline="0">
            <a:solidFill>
              <a:schemeClr val="tx1"/>
            </a:solidFill>
          </a:endParaRPr>
        </a:p>
        <a:p>
          <a:pPr algn="ctr"/>
          <a:r>
            <a:rPr lang="en-IN" sz="1600" b="1" baseline="0">
              <a:solidFill>
                <a:schemeClr val="tx1"/>
              </a:solidFill>
            </a:rPr>
            <a:t>53383</a:t>
          </a:r>
          <a:endParaRPr lang="en-IN" sz="1600" b="1">
            <a:solidFill>
              <a:schemeClr val="tx1"/>
            </a:solidFill>
          </a:endParaRPr>
        </a:p>
      </xdr:txBody>
    </xdr:sp>
    <xdr:clientData/>
  </xdr:twoCellAnchor>
  <xdr:twoCellAnchor>
    <xdr:from>
      <xdr:col>1</xdr:col>
      <xdr:colOff>51955</xdr:colOff>
      <xdr:row>8</xdr:row>
      <xdr:rowOff>13607</xdr:rowOff>
    </xdr:from>
    <xdr:to>
      <xdr:col>6</xdr:col>
      <xdr:colOff>326572</xdr:colOff>
      <xdr:row>14</xdr:row>
      <xdr:rowOff>68035</xdr:rowOff>
    </xdr:to>
    <xdr:sp macro="" textlink="">
      <xdr:nvSpPr>
        <xdr:cNvPr id="44" name="Rectangle 43">
          <a:extLst>
            <a:ext uri="{FF2B5EF4-FFF2-40B4-BE49-F238E27FC236}">
              <a16:creationId xmlns:a16="http://schemas.microsoft.com/office/drawing/2014/main" id="{7ABAE53A-66B3-4CCB-8706-1ED629C5EEE8}"/>
            </a:ext>
          </a:extLst>
        </xdr:cNvPr>
        <xdr:cNvSpPr/>
      </xdr:nvSpPr>
      <xdr:spPr>
        <a:xfrm>
          <a:off x="658091" y="1260516"/>
          <a:ext cx="3305299" cy="989610"/>
        </a:xfrm>
        <a:prstGeom prst="rect">
          <a:avLst/>
        </a:prstGeom>
        <a:solidFill>
          <a:schemeClr val="accent1">
            <a:lumMod val="40000"/>
            <a:lumOff val="60000"/>
          </a:schemeClr>
        </a:solidFill>
        <a:ln>
          <a:solidFill>
            <a:schemeClr val="bg2">
              <a:lumMod val="8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600" b="1">
              <a:solidFill>
                <a:schemeClr val="tx1"/>
              </a:solidFill>
            </a:rPr>
            <a:t>IDOL</a:t>
          </a:r>
          <a:r>
            <a:rPr lang="en-IN" sz="1600" b="1" baseline="0">
              <a:solidFill>
                <a:schemeClr val="tx1"/>
              </a:solidFill>
            </a:rPr>
            <a:t> DASHBOARD </a:t>
          </a:r>
        </a:p>
        <a:p>
          <a:pPr algn="ctr"/>
          <a:endParaRPr lang="en-IN" sz="1600" b="1" baseline="0">
            <a:solidFill>
              <a:schemeClr val="tx1"/>
            </a:solidFill>
          </a:endParaRPr>
        </a:p>
        <a:p>
          <a:pPr algn="ctr"/>
          <a:r>
            <a:rPr lang="en-IN" sz="1600" b="1" baseline="0">
              <a:solidFill>
                <a:schemeClr val="tx1"/>
              </a:solidFill>
            </a:rPr>
            <a:t>BIKE RENTAL 2011</a:t>
          </a:r>
          <a:endParaRPr lang="en-IN" sz="1600" b="1">
            <a:solidFill>
              <a:schemeClr val="tx1"/>
            </a:solidFill>
          </a:endParaRP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4</xdr:col>
      <xdr:colOff>28576</xdr:colOff>
      <xdr:row>3</xdr:row>
      <xdr:rowOff>66674</xdr:rowOff>
    </xdr:from>
    <xdr:to>
      <xdr:col>10</xdr:col>
      <xdr:colOff>133350</xdr:colOff>
      <xdr:row>21</xdr:row>
      <xdr:rowOff>76199</xdr:rowOff>
    </xdr:to>
    <xdr:graphicFrame macro="">
      <xdr:nvGraphicFramePr>
        <xdr:cNvPr id="2" name="Chart 1">
          <a:extLst>
            <a:ext uri="{FF2B5EF4-FFF2-40B4-BE49-F238E27FC236}">
              <a16:creationId xmlns:a16="http://schemas.microsoft.com/office/drawing/2014/main" id="{0AE196D2-FAB4-68B1-1E43-51F53846964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4</xdr:col>
      <xdr:colOff>4762</xdr:colOff>
      <xdr:row>7</xdr:row>
      <xdr:rowOff>114300</xdr:rowOff>
    </xdr:from>
    <xdr:to>
      <xdr:col>10</xdr:col>
      <xdr:colOff>466725</xdr:colOff>
      <xdr:row>29</xdr:row>
      <xdr:rowOff>9524</xdr:rowOff>
    </xdr:to>
    <xdr:graphicFrame macro="">
      <xdr:nvGraphicFramePr>
        <xdr:cNvPr id="3" name="Chart 2">
          <a:extLst>
            <a:ext uri="{FF2B5EF4-FFF2-40B4-BE49-F238E27FC236}">
              <a16:creationId xmlns:a16="http://schemas.microsoft.com/office/drawing/2014/main" id="{4260598D-169B-D1D7-411C-0007C0D7DEC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4</xdr:col>
      <xdr:colOff>28575</xdr:colOff>
      <xdr:row>3</xdr:row>
      <xdr:rowOff>9525</xdr:rowOff>
    </xdr:from>
    <xdr:to>
      <xdr:col>11</xdr:col>
      <xdr:colOff>485775</xdr:colOff>
      <xdr:row>26</xdr:row>
      <xdr:rowOff>19049</xdr:rowOff>
    </xdr:to>
    <xdr:graphicFrame macro="">
      <xdr:nvGraphicFramePr>
        <xdr:cNvPr id="2" name="Chart 1">
          <a:extLst>
            <a:ext uri="{FF2B5EF4-FFF2-40B4-BE49-F238E27FC236}">
              <a16:creationId xmlns:a16="http://schemas.microsoft.com/office/drawing/2014/main" id="{A2712B9C-9B9C-3A8B-8229-9A58489AEA2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3</xdr:col>
      <xdr:colOff>66675</xdr:colOff>
      <xdr:row>4</xdr:row>
      <xdr:rowOff>19050</xdr:rowOff>
    </xdr:from>
    <xdr:to>
      <xdr:col>7</xdr:col>
      <xdr:colOff>409575</xdr:colOff>
      <xdr:row>21</xdr:row>
      <xdr:rowOff>114300</xdr:rowOff>
    </xdr:to>
    <xdr:graphicFrame macro="">
      <xdr:nvGraphicFramePr>
        <xdr:cNvPr id="2" name="Chart 1">
          <a:extLst>
            <a:ext uri="{FF2B5EF4-FFF2-40B4-BE49-F238E27FC236}">
              <a16:creationId xmlns:a16="http://schemas.microsoft.com/office/drawing/2014/main" id="{822303E4-C9CC-C7D5-CA53-940C443B3D8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3</xdr:col>
      <xdr:colOff>447675</xdr:colOff>
      <xdr:row>3</xdr:row>
      <xdr:rowOff>142875</xdr:rowOff>
    </xdr:from>
    <xdr:to>
      <xdr:col>9</xdr:col>
      <xdr:colOff>114300</xdr:colOff>
      <xdr:row>21</xdr:row>
      <xdr:rowOff>89808</xdr:rowOff>
    </xdr:to>
    <xdr:graphicFrame macro="">
      <xdr:nvGraphicFramePr>
        <xdr:cNvPr id="2" name="Chart 1">
          <a:extLst>
            <a:ext uri="{FF2B5EF4-FFF2-40B4-BE49-F238E27FC236}">
              <a16:creationId xmlns:a16="http://schemas.microsoft.com/office/drawing/2014/main" id="{35656610-9220-4D1F-83CA-40B3088B2EB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4</xdr:col>
      <xdr:colOff>9525</xdr:colOff>
      <xdr:row>5</xdr:row>
      <xdr:rowOff>104775</xdr:rowOff>
    </xdr:from>
    <xdr:to>
      <xdr:col>11</xdr:col>
      <xdr:colOff>295275</xdr:colOff>
      <xdr:row>26</xdr:row>
      <xdr:rowOff>95250</xdr:rowOff>
    </xdr:to>
    <xdr:graphicFrame macro="">
      <xdr:nvGraphicFramePr>
        <xdr:cNvPr id="2" name="Chart 1">
          <a:extLst>
            <a:ext uri="{FF2B5EF4-FFF2-40B4-BE49-F238E27FC236}">
              <a16:creationId xmlns:a16="http://schemas.microsoft.com/office/drawing/2014/main" id="{8AF831EA-4E0E-AD1A-D306-5FE60F48548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8.xml><?xml version="1.0" encoding="utf-8"?>
<xdr:wsDr xmlns:xdr="http://schemas.openxmlformats.org/drawingml/2006/spreadsheetDrawing" xmlns:a="http://schemas.openxmlformats.org/drawingml/2006/main">
  <xdr:twoCellAnchor>
    <xdr:from>
      <xdr:col>4</xdr:col>
      <xdr:colOff>447675</xdr:colOff>
      <xdr:row>8</xdr:row>
      <xdr:rowOff>123824</xdr:rowOff>
    </xdr:from>
    <xdr:to>
      <xdr:col>11</xdr:col>
      <xdr:colOff>247650</xdr:colOff>
      <xdr:row>25</xdr:row>
      <xdr:rowOff>104775</xdr:rowOff>
    </xdr:to>
    <mc:AlternateContent xmlns:mc="http://schemas.openxmlformats.org/markup-compatibility/2006">
      <mc:Choice xmlns:cx2="http://schemas.microsoft.com/office/drawing/2015/10/21/chartex" Requires="cx2">
        <xdr:graphicFrame macro="">
          <xdr:nvGraphicFramePr>
            <xdr:cNvPr id="3" name="Chart 2">
              <a:extLst>
                <a:ext uri="{FF2B5EF4-FFF2-40B4-BE49-F238E27FC236}">
                  <a16:creationId xmlns:a16="http://schemas.microsoft.com/office/drawing/2014/main" id="{710B0388-95CA-13C5-6D6E-C2EC01BA8402}"/>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3629025" y="1419224"/>
              <a:ext cx="4076700" cy="2733676"/>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wsDr>
</file>

<file path=xl/drawings/drawing9.xml><?xml version="1.0" encoding="utf-8"?>
<xdr:wsDr xmlns:xdr="http://schemas.openxmlformats.org/drawingml/2006/spreadsheetDrawing" xmlns:a="http://schemas.openxmlformats.org/drawingml/2006/main">
  <xdr:twoCellAnchor>
    <xdr:from>
      <xdr:col>4</xdr:col>
      <xdr:colOff>57150</xdr:colOff>
      <xdr:row>4</xdr:row>
      <xdr:rowOff>152400</xdr:rowOff>
    </xdr:from>
    <xdr:to>
      <xdr:col>10</xdr:col>
      <xdr:colOff>161925</xdr:colOff>
      <xdr:row>20</xdr:row>
      <xdr:rowOff>123825</xdr:rowOff>
    </xdr:to>
    <xdr:graphicFrame macro="">
      <xdr:nvGraphicFramePr>
        <xdr:cNvPr id="2" name="Chart 1">
          <a:extLst>
            <a:ext uri="{FF2B5EF4-FFF2-40B4-BE49-F238E27FC236}">
              <a16:creationId xmlns:a16="http://schemas.microsoft.com/office/drawing/2014/main" id="{81E95633-4A51-E008-ADC9-DCEBFC30DCB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0.xml><?xml version="1.0" encoding="utf-8"?>
<xdr:wsDr xmlns:xdr="http://schemas.openxmlformats.org/drawingml/2006/spreadsheetDrawing" xmlns:a="http://schemas.openxmlformats.org/drawingml/2006/main">
  <xdr:twoCellAnchor>
    <xdr:from>
      <xdr:col>4</xdr:col>
      <xdr:colOff>104774</xdr:colOff>
      <xdr:row>5</xdr:row>
      <xdr:rowOff>9525</xdr:rowOff>
    </xdr:from>
    <xdr:to>
      <xdr:col>11</xdr:col>
      <xdr:colOff>209549</xdr:colOff>
      <xdr:row>22</xdr:row>
      <xdr:rowOff>152400</xdr:rowOff>
    </xdr:to>
    <xdr:graphicFrame macro="">
      <xdr:nvGraphicFramePr>
        <xdr:cNvPr id="2" name="Chart 1">
          <a:extLst>
            <a:ext uri="{FF2B5EF4-FFF2-40B4-BE49-F238E27FC236}">
              <a16:creationId xmlns:a16="http://schemas.microsoft.com/office/drawing/2014/main" id="{E00BAD54-3D23-CB37-C767-B7903ED8C2B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ohit chauhan" refreshedDate="46036.439278587961" createdVersion="8" refreshedVersion="8" minRefreshableVersion="3" recordCount="1000" xr:uid="{55C34894-80F1-4E19-9722-5620291E33DF}">
  <cacheSource type="worksheet">
    <worksheetSource name="Append2"/>
  </cacheSource>
  <cacheFields count="25">
    <cacheField name="instant" numFmtId="0">
      <sharedItems containsSemiMixedTypes="0" containsString="0" containsNumber="1" containsInteger="1" minValue="1" maxValue="1000"/>
    </cacheField>
    <cacheField name="dteday" numFmtId="14">
      <sharedItems containsSemiMixedTypes="0" containsNonDate="0" containsDate="1" containsString="0" minDate="2011-01-01T00:00:00" maxDate="2011-02-15T00:00:00" count="45">
        <d v="2011-01-01T00:00:00"/>
        <d v="2011-01-02T00:00:00"/>
        <d v="2011-01-03T00:00:00"/>
        <d v="2011-01-04T00:00:00"/>
        <d v="2011-01-05T00:00:00"/>
        <d v="2011-01-06T00:00:00"/>
        <d v="2011-01-07T00:00:00"/>
        <d v="2011-01-08T00:00:00"/>
        <d v="2011-01-09T00:00:00"/>
        <d v="2011-01-10T00:00:00"/>
        <d v="2011-01-11T00:00:00"/>
        <d v="2011-01-12T00:00:00"/>
        <d v="2011-01-13T00:00:00"/>
        <d v="2011-01-14T00:00:00"/>
        <d v="2011-01-15T00:00:00"/>
        <d v="2011-01-16T00:00:00"/>
        <d v="2011-01-17T00:00:00"/>
        <d v="2011-01-18T00:00:00"/>
        <d v="2011-01-19T00:00:00"/>
        <d v="2011-01-20T00:00:00"/>
        <d v="2011-01-21T00:00:00"/>
        <d v="2011-01-22T00:00:00"/>
        <d v="2011-01-23T00:00:00"/>
        <d v="2011-01-24T00:00:00"/>
        <d v="2011-01-25T00:00:00"/>
        <d v="2011-01-26T00:00:00"/>
        <d v="2011-01-27T00:00:00"/>
        <d v="2011-01-28T00:00:00"/>
        <d v="2011-01-29T00:00:00"/>
        <d v="2011-01-30T00:00:00"/>
        <d v="2011-01-31T00:00:00"/>
        <d v="2011-02-01T00:00:00"/>
        <d v="2011-02-02T00:00:00"/>
        <d v="2011-02-03T00:00:00"/>
        <d v="2011-02-04T00:00:00"/>
        <d v="2011-02-05T00:00:00"/>
        <d v="2011-02-06T00:00:00"/>
        <d v="2011-02-07T00:00:00"/>
        <d v="2011-02-08T00:00:00"/>
        <d v="2011-02-09T00:00:00"/>
        <d v="2011-02-10T00:00:00"/>
        <d v="2011-02-11T00:00:00"/>
        <d v="2011-02-12T00:00:00"/>
        <d v="2011-02-13T00:00:00"/>
        <d v="2011-02-14T00:00:00"/>
      </sharedItems>
      <fieldGroup par="24"/>
    </cacheField>
    <cacheField name="mnth" numFmtId="0">
      <sharedItems containsSemiMixedTypes="0" containsString="0" containsNumber="1" containsInteger="1" minValue="1" maxValue="2" count="2">
        <n v="1"/>
        <n v="2"/>
      </sharedItems>
    </cacheField>
    <cacheField name="hr" numFmtId="0">
      <sharedItems containsSemiMixedTypes="0" containsString="0" containsNumber="1" containsInteger="1" minValue="0" maxValue="23" count="24">
        <n v="0"/>
        <n v="1"/>
        <n v="2"/>
        <n v="3"/>
        <n v="4"/>
        <n v="5"/>
        <n v="6"/>
        <n v="7"/>
        <n v="8"/>
        <n v="9"/>
        <n v="10"/>
        <n v="11"/>
        <n v="12"/>
        <n v="13"/>
        <n v="14"/>
        <n v="15"/>
        <n v="16"/>
        <n v="17"/>
        <n v="18"/>
        <n v="19"/>
        <n v="20"/>
        <n v="21"/>
        <n v="22"/>
        <n v="23"/>
      </sharedItems>
    </cacheField>
    <cacheField name="holiday" numFmtId="0">
      <sharedItems count="2">
        <b v="0"/>
        <b v="1"/>
      </sharedItems>
    </cacheField>
    <cacheField name="weekday" numFmtId="0">
      <sharedItems containsSemiMixedTypes="0" containsString="0" containsNumber="1" containsInteger="1" minValue="0" maxValue="6" count="7">
        <n v="6"/>
        <n v="0"/>
        <n v="1"/>
        <n v="2"/>
        <n v="3"/>
        <n v="4"/>
        <n v="5"/>
      </sharedItems>
    </cacheField>
    <cacheField name="weathersit" numFmtId="0">
      <sharedItems containsSemiMixedTypes="0" containsString="0" containsNumber="1" containsInteger="1" minValue="1" maxValue="4" count="4">
        <n v="1"/>
        <n v="2"/>
        <n v="3"/>
        <n v="4"/>
      </sharedItems>
    </cacheField>
    <cacheField name="temp" numFmtId="0">
      <sharedItems containsSemiMixedTypes="0" containsString="0" containsNumber="1" minValue="0.02" maxValue="0.46"/>
    </cacheField>
    <cacheField name="atemp" numFmtId="0">
      <sharedItems containsSemiMixedTypes="0" containsString="0" containsNumber="1" minValue="0" maxValue="0.45450000000000002"/>
    </cacheField>
    <cacheField name="hum" numFmtId="0">
      <sharedItems containsSemiMixedTypes="0" containsString="0" containsNumber="1" minValue="0.21" maxValue="1"/>
    </cacheField>
    <cacheField name="windspeed" numFmtId="0">
      <sharedItems containsSemiMixedTypes="0" containsString="0" containsNumber="1" minValue="0" maxValue="0.58209999999999995"/>
    </cacheField>
    <cacheField name="casual" numFmtId="0">
      <sharedItems containsSemiMixedTypes="0" containsString="0" containsNumber="1" containsInteger="1" minValue="0" maxValue="62"/>
    </cacheField>
    <cacheField name="registered" numFmtId="0">
      <sharedItems containsSemiMixedTypes="0" containsString="0" containsNumber="1" containsInteger="1" minValue="0" maxValue="247"/>
    </cacheField>
    <cacheField name="cnt" numFmtId="0">
      <sharedItems containsSemiMixedTypes="0" containsString="0" containsNumber="1" containsInteger="1" minValue="1" maxValue="249"/>
    </cacheField>
    <cacheField name="weather_category" numFmtId="0">
      <sharedItems count="4">
        <s v="Clear/Partly Cloudy"/>
        <s v="Mist / cloudy "/>
        <s v="Light Snow / Rain "/>
        <s v="Heavy Rain "/>
      </sharedItems>
    </cacheField>
    <cacheField name="Week_days" numFmtId="0">
      <sharedItems count="7">
        <s v="Saturday"/>
        <s v="Sunday"/>
        <s v="Monday"/>
        <s v="Tuesday"/>
        <s v="Wednesday"/>
        <s v="Thursday"/>
        <s v="Friday"/>
      </sharedItems>
    </cacheField>
    <cacheField name="week_type" numFmtId="0">
      <sharedItems count="2">
        <s v="Weekend"/>
        <s v="Weekday"/>
      </sharedItems>
    </cacheField>
    <cacheField name="Time period" numFmtId="0">
      <sharedItems count="4">
        <s v="Night"/>
        <s v="Morning"/>
        <s v="Afternoon"/>
        <s v="Evening"/>
      </sharedItems>
    </cacheField>
    <cacheField name="temp_cat" numFmtId="0">
      <sharedItems count="3">
        <s v="Mild"/>
        <s v="Warm"/>
        <s v="Cold"/>
      </sharedItems>
    </cacheField>
    <cacheField name="rolling_mean_24h" numFmtId="2">
      <sharedItems containsSemiMixedTypes="0" containsString="0" containsNumber="1" minValue="18.875" maxValue="98"/>
    </cacheField>
    <cacheField name="rolling_std_24h" numFmtId="2">
      <sharedItems containsMixedTypes="1" containsNumber="1" minValue="25.921809685886213" maxValue="71.6326680393435"/>
    </cacheField>
    <cacheField name="zscore_24h" numFmtId="2">
      <sharedItems containsMixedTypes="1" containsNumber="1" minValue="-1.4126779029186489" maxValue="3.4525184405588334"/>
    </cacheField>
    <cacheField name="Anomaly_flag" numFmtId="0">
      <sharedItems/>
    </cacheField>
    <cacheField name="Days (dteday)" numFmtId="0" databaseField="0">
      <fieldGroup base="1">
        <rangePr groupBy="days" startDate="2011-01-01T00:00:00" endDate="2011-02-15T00:00:00"/>
        <groupItems count="368">
          <s v="&lt;01-01-11"/>
          <s v="01-Jan"/>
          <s v="02-Jan"/>
          <s v="03-Jan"/>
          <s v="04-Jan"/>
          <s v="05-Jan"/>
          <s v="06-Jan"/>
          <s v="07-Jan"/>
          <s v="08-Jan"/>
          <s v="09-Jan"/>
          <s v="10-Jan"/>
          <s v="11-Jan"/>
          <s v="12-Jan"/>
          <s v="13-Jan"/>
          <s v="14-Jan"/>
          <s v="15-Jan"/>
          <s v="16-Jan"/>
          <s v="17-Jan"/>
          <s v="18-Jan"/>
          <s v="19-Jan"/>
          <s v="20-Jan"/>
          <s v="21-Jan"/>
          <s v="22-Jan"/>
          <s v="23-Jan"/>
          <s v="24-Jan"/>
          <s v="25-Jan"/>
          <s v="26-Jan"/>
          <s v="27-Jan"/>
          <s v="28-Jan"/>
          <s v="29-Jan"/>
          <s v="30-Jan"/>
          <s v="31-Jan"/>
          <s v="01-Feb"/>
          <s v="02-Feb"/>
          <s v="03-Feb"/>
          <s v="04-Feb"/>
          <s v="05-Feb"/>
          <s v="06-Feb"/>
          <s v="07-Feb"/>
          <s v="08-Feb"/>
          <s v="09-Feb"/>
          <s v="10-Feb"/>
          <s v="11-Feb"/>
          <s v="12-Feb"/>
          <s v="13-Feb"/>
          <s v="14-Feb"/>
          <s v="15-Feb"/>
          <s v="16-Feb"/>
          <s v="17-Feb"/>
          <s v="18-Feb"/>
          <s v="19-Feb"/>
          <s v="20-Feb"/>
          <s v="21-Feb"/>
          <s v="22-Feb"/>
          <s v="23-Feb"/>
          <s v="24-Feb"/>
          <s v="25-Feb"/>
          <s v="26-Feb"/>
          <s v="27-Feb"/>
          <s v="28-Feb"/>
          <s v="29-Feb"/>
          <s v="01-Mar"/>
          <s v="02-Mar"/>
          <s v="03-Mar"/>
          <s v="04-Mar"/>
          <s v="05-Mar"/>
          <s v="06-Mar"/>
          <s v="07-Mar"/>
          <s v="08-Mar"/>
          <s v="09-Mar"/>
          <s v="10-Mar"/>
          <s v="11-Mar"/>
          <s v="12-Mar"/>
          <s v="13-Mar"/>
          <s v="14-Mar"/>
          <s v="15-Mar"/>
          <s v="16-Mar"/>
          <s v="17-Mar"/>
          <s v="18-Mar"/>
          <s v="19-Mar"/>
          <s v="20-Mar"/>
          <s v="21-Mar"/>
          <s v="22-Mar"/>
          <s v="23-Mar"/>
          <s v="24-Mar"/>
          <s v="25-Mar"/>
          <s v="26-Mar"/>
          <s v="27-Mar"/>
          <s v="28-Mar"/>
          <s v="29-Mar"/>
          <s v="30-Mar"/>
          <s v="31-Mar"/>
          <s v="01-Apr"/>
          <s v="02-Apr"/>
          <s v="03-Apr"/>
          <s v="04-Apr"/>
          <s v="05-Apr"/>
          <s v="06-Apr"/>
          <s v="07-Apr"/>
          <s v="08-Apr"/>
          <s v="09-Apr"/>
          <s v="10-Apr"/>
          <s v="11-Apr"/>
          <s v="12-Apr"/>
          <s v="13-Apr"/>
          <s v="14-Apr"/>
          <s v="15-Apr"/>
          <s v="16-Apr"/>
          <s v="17-Apr"/>
          <s v="18-Apr"/>
          <s v="19-Apr"/>
          <s v="20-Apr"/>
          <s v="21-Apr"/>
          <s v="22-Apr"/>
          <s v="23-Apr"/>
          <s v="24-Apr"/>
          <s v="25-Apr"/>
          <s v="26-Apr"/>
          <s v="27-Apr"/>
          <s v="28-Apr"/>
          <s v="29-Apr"/>
          <s v="30-Apr"/>
          <s v="01-May"/>
          <s v="02-May"/>
          <s v="03-May"/>
          <s v="04-May"/>
          <s v="05-May"/>
          <s v="06-May"/>
          <s v="07-May"/>
          <s v="08-May"/>
          <s v="09-May"/>
          <s v="10-May"/>
          <s v="11-May"/>
          <s v="12-May"/>
          <s v="13-May"/>
          <s v="14-May"/>
          <s v="15-May"/>
          <s v="16-May"/>
          <s v="17-May"/>
          <s v="18-May"/>
          <s v="19-May"/>
          <s v="20-May"/>
          <s v="21-May"/>
          <s v="22-May"/>
          <s v="23-May"/>
          <s v="24-May"/>
          <s v="25-May"/>
          <s v="26-May"/>
          <s v="27-May"/>
          <s v="28-May"/>
          <s v="29-May"/>
          <s v="30-May"/>
          <s v="31-May"/>
          <s v="01-Jun"/>
          <s v="02-Jun"/>
          <s v="03-Jun"/>
          <s v="04-Jun"/>
          <s v="05-Jun"/>
          <s v="06-Jun"/>
          <s v="07-Jun"/>
          <s v="08-Jun"/>
          <s v="09-Jun"/>
          <s v="10-Jun"/>
          <s v="11-Jun"/>
          <s v="12-Jun"/>
          <s v="13-Jun"/>
          <s v="14-Jun"/>
          <s v="15-Jun"/>
          <s v="16-Jun"/>
          <s v="17-Jun"/>
          <s v="18-Jun"/>
          <s v="19-Jun"/>
          <s v="20-Jun"/>
          <s v="21-Jun"/>
          <s v="22-Jun"/>
          <s v="23-Jun"/>
          <s v="24-Jun"/>
          <s v="25-Jun"/>
          <s v="26-Jun"/>
          <s v="27-Jun"/>
          <s v="28-Jun"/>
          <s v="29-Jun"/>
          <s v="30-Jun"/>
          <s v="01-Jul"/>
          <s v="02-Jul"/>
          <s v="03-Jul"/>
          <s v="04-Jul"/>
          <s v="05-Jul"/>
          <s v="06-Jul"/>
          <s v="07-Jul"/>
          <s v="08-Jul"/>
          <s v="09-Jul"/>
          <s v="10-Jul"/>
          <s v="11-Jul"/>
          <s v="12-Jul"/>
          <s v="13-Jul"/>
          <s v="14-Jul"/>
          <s v="15-Jul"/>
          <s v="16-Jul"/>
          <s v="17-Jul"/>
          <s v="18-Jul"/>
          <s v="19-Jul"/>
          <s v="20-Jul"/>
          <s v="21-Jul"/>
          <s v="22-Jul"/>
          <s v="23-Jul"/>
          <s v="24-Jul"/>
          <s v="25-Jul"/>
          <s v="26-Jul"/>
          <s v="27-Jul"/>
          <s v="28-Jul"/>
          <s v="29-Jul"/>
          <s v="30-Jul"/>
          <s v="31-Jul"/>
          <s v="01-Aug"/>
          <s v="02-Aug"/>
          <s v="03-Aug"/>
          <s v="04-Aug"/>
          <s v="05-Aug"/>
          <s v="06-Aug"/>
          <s v="07-Aug"/>
          <s v="08-Aug"/>
          <s v="09-Aug"/>
          <s v="10-Aug"/>
          <s v="11-Aug"/>
          <s v="12-Aug"/>
          <s v="13-Aug"/>
          <s v="14-Aug"/>
          <s v="15-Aug"/>
          <s v="16-Aug"/>
          <s v="17-Aug"/>
          <s v="18-Aug"/>
          <s v="19-Aug"/>
          <s v="20-Aug"/>
          <s v="21-Aug"/>
          <s v="22-Aug"/>
          <s v="23-Aug"/>
          <s v="24-Aug"/>
          <s v="25-Aug"/>
          <s v="26-Aug"/>
          <s v="27-Aug"/>
          <s v="28-Aug"/>
          <s v="29-Aug"/>
          <s v="30-Aug"/>
          <s v="31-Aug"/>
          <s v="01-Sep"/>
          <s v="02-Sep"/>
          <s v="03-Sep"/>
          <s v="04-Sep"/>
          <s v="05-Sep"/>
          <s v="06-Sep"/>
          <s v="07-Sep"/>
          <s v="08-Sep"/>
          <s v="09-Sep"/>
          <s v="10-Sep"/>
          <s v="11-Sep"/>
          <s v="12-Sep"/>
          <s v="13-Sep"/>
          <s v="14-Sep"/>
          <s v="15-Sep"/>
          <s v="16-Sep"/>
          <s v="17-Sep"/>
          <s v="18-Sep"/>
          <s v="19-Sep"/>
          <s v="20-Sep"/>
          <s v="21-Sep"/>
          <s v="22-Sep"/>
          <s v="23-Sep"/>
          <s v="24-Sep"/>
          <s v="25-Sep"/>
          <s v="26-Sep"/>
          <s v="27-Sep"/>
          <s v="28-Sep"/>
          <s v="29-Sep"/>
          <s v="30-Sep"/>
          <s v="01-Oct"/>
          <s v="02-Oct"/>
          <s v="03-Oct"/>
          <s v="04-Oct"/>
          <s v="05-Oct"/>
          <s v="06-Oct"/>
          <s v="07-Oct"/>
          <s v="08-Oct"/>
          <s v="09-Oct"/>
          <s v="10-Oct"/>
          <s v="11-Oct"/>
          <s v="12-Oct"/>
          <s v="13-Oct"/>
          <s v="14-Oct"/>
          <s v="15-Oct"/>
          <s v="16-Oct"/>
          <s v="17-Oct"/>
          <s v="18-Oct"/>
          <s v="19-Oct"/>
          <s v="20-Oct"/>
          <s v="21-Oct"/>
          <s v="22-Oct"/>
          <s v="23-Oct"/>
          <s v="24-Oct"/>
          <s v="25-Oct"/>
          <s v="26-Oct"/>
          <s v="27-Oct"/>
          <s v="28-Oct"/>
          <s v="29-Oct"/>
          <s v="30-Oct"/>
          <s v="31-Oct"/>
          <s v="01-Nov"/>
          <s v="02-Nov"/>
          <s v="03-Nov"/>
          <s v="04-Nov"/>
          <s v="05-Nov"/>
          <s v="06-Nov"/>
          <s v="07-Nov"/>
          <s v="08-Nov"/>
          <s v="09-Nov"/>
          <s v="10-Nov"/>
          <s v="11-Nov"/>
          <s v="12-Nov"/>
          <s v="13-Nov"/>
          <s v="14-Nov"/>
          <s v="15-Nov"/>
          <s v="16-Nov"/>
          <s v="17-Nov"/>
          <s v="18-Nov"/>
          <s v="19-Nov"/>
          <s v="20-Nov"/>
          <s v="21-Nov"/>
          <s v="22-Nov"/>
          <s v="23-Nov"/>
          <s v="24-Nov"/>
          <s v="25-Nov"/>
          <s v="26-Nov"/>
          <s v="27-Nov"/>
          <s v="28-Nov"/>
          <s v="29-Nov"/>
          <s v="30-Nov"/>
          <s v="01-Dec"/>
          <s v="02-Dec"/>
          <s v="03-Dec"/>
          <s v="04-Dec"/>
          <s v="05-Dec"/>
          <s v="06-Dec"/>
          <s v="07-Dec"/>
          <s v="08-Dec"/>
          <s v="09-Dec"/>
          <s v="10-Dec"/>
          <s v="11-Dec"/>
          <s v="12-Dec"/>
          <s v="13-Dec"/>
          <s v="14-Dec"/>
          <s v="15-Dec"/>
          <s v="16-Dec"/>
          <s v="17-Dec"/>
          <s v="18-Dec"/>
          <s v="19-Dec"/>
          <s v="20-Dec"/>
          <s v="21-Dec"/>
          <s v="22-Dec"/>
          <s v="23-Dec"/>
          <s v="24-Dec"/>
          <s v="25-Dec"/>
          <s v="26-Dec"/>
          <s v="27-Dec"/>
          <s v="28-Dec"/>
          <s v="29-Dec"/>
          <s v="30-Dec"/>
          <s v="31-Dec"/>
          <s v="&gt;15-02-11"/>
        </groupItems>
      </fieldGroup>
    </cacheField>
    <cacheField name="Months (dteday)" numFmtId="0" databaseField="0">
      <fieldGroup base="1">
        <rangePr groupBy="months" startDate="2011-01-01T00:00:00" endDate="2011-02-15T00:00:00"/>
        <groupItems count="14">
          <s v="&lt;01-01-11"/>
          <s v="Jan"/>
          <s v="Feb"/>
          <s v="Mar"/>
          <s v="Apr"/>
          <s v="May"/>
          <s v="Jun"/>
          <s v="Jul"/>
          <s v="Aug"/>
          <s v="Sep"/>
          <s v="Oct"/>
          <s v="Nov"/>
          <s v="Dec"/>
          <s v="&gt;15-02-11"/>
        </groupItems>
      </fieldGroup>
    </cacheField>
  </cacheFields>
  <extLst>
    <ext xmlns:x14="http://schemas.microsoft.com/office/spreadsheetml/2009/9/main" uri="{725AE2AE-9491-48be-B2B4-4EB974FC3084}">
      <x14:pivotCacheDefinition pivotCacheId="1871193083"/>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n v="1"/>
    <x v="0"/>
    <x v="0"/>
    <x v="0"/>
    <x v="0"/>
    <x v="0"/>
    <x v="0"/>
    <n v="0.24"/>
    <n v="0.28789999999999999"/>
    <n v="0.81"/>
    <n v="0"/>
    <n v="3"/>
    <n v="13"/>
    <n v="16"/>
    <x v="0"/>
    <x v="0"/>
    <x v="0"/>
    <x v="0"/>
    <x v="0"/>
    <n v="41.041666666666664"/>
    <n v="34.292196053109919"/>
    <n v="0.13725504535788605"/>
    <b v="0"/>
  </r>
  <r>
    <n v="2"/>
    <x v="0"/>
    <x v="0"/>
    <x v="1"/>
    <x v="0"/>
    <x v="0"/>
    <x v="0"/>
    <n v="0.22"/>
    <n v="0.2727"/>
    <n v="0.8"/>
    <n v="0"/>
    <n v="8"/>
    <n v="32"/>
    <n v="40"/>
    <x v="0"/>
    <x v="0"/>
    <x v="0"/>
    <x v="0"/>
    <x v="0"/>
    <n v="41.083333333333336"/>
    <n v="34.261039689123713"/>
    <n v="-0.5572396497385288"/>
    <b v="0"/>
  </r>
  <r>
    <n v="3"/>
    <x v="0"/>
    <x v="0"/>
    <x v="2"/>
    <x v="0"/>
    <x v="0"/>
    <x v="0"/>
    <n v="0.22"/>
    <n v="0.2727"/>
    <n v="0.8"/>
    <n v="0"/>
    <n v="5"/>
    <n v="27"/>
    <n v="32"/>
    <x v="0"/>
    <x v="0"/>
    <x v="0"/>
    <x v="0"/>
    <x v="0"/>
    <n v="40.125"/>
    <n v="34.612529146438341"/>
    <n v="-0.52709109014407285"/>
    <b v="0"/>
  </r>
  <r>
    <n v="4"/>
    <x v="0"/>
    <x v="0"/>
    <x v="3"/>
    <x v="0"/>
    <x v="0"/>
    <x v="0"/>
    <n v="0.24"/>
    <n v="0.28789999999999999"/>
    <n v="0.75"/>
    <n v="0"/>
    <n v="3"/>
    <n v="10"/>
    <n v="13"/>
    <x v="0"/>
    <x v="0"/>
    <x v="0"/>
    <x v="0"/>
    <x v="0"/>
    <n v="39.166666666666664"/>
    <n v="35.161325921809464"/>
    <n v="-0.75587246365049632"/>
    <b v="0"/>
  </r>
  <r>
    <n v="5"/>
    <x v="0"/>
    <x v="0"/>
    <x v="4"/>
    <x v="0"/>
    <x v="0"/>
    <x v="0"/>
    <n v="0.24"/>
    <n v="0.28789999999999999"/>
    <n v="0.75"/>
    <n v="0"/>
    <n v="0"/>
    <n v="1"/>
    <n v="1"/>
    <x v="0"/>
    <x v="0"/>
    <x v="0"/>
    <x v="0"/>
    <x v="0"/>
    <n v="38.875"/>
    <n v="35.415929233584436"/>
    <n v="-0.83910600348672093"/>
    <b v="0"/>
  </r>
  <r>
    <n v="6"/>
    <x v="0"/>
    <x v="0"/>
    <x v="5"/>
    <x v="0"/>
    <x v="0"/>
    <x v="1"/>
    <n v="0.24"/>
    <n v="0.2576"/>
    <n v="0.75"/>
    <n v="8.9599999999999999E-2"/>
    <n v="0"/>
    <n v="1"/>
    <n v="1"/>
    <x v="1"/>
    <x v="0"/>
    <x v="0"/>
    <x v="0"/>
    <x v="0"/>
    <n v="38.958333333333336"/>
    <n v="35.325171671531741"/>
    <n v="-0.98361264509970225"/>
    <b v="0"/>
  </r>
  <r>
    <n v="7"/>
    <x v="0"/>
    <x v="0"/>
    <x v="6"/>
    <x v="0"/>
    <x v="0"/>
    <x v="0"/>
    <n v="0.22"/>
    <n v="0.2727"/>
    <n v="0.8"/>
    <n v="0"/>
    <n v="2"/>
    <n v="0"/>
    <n v="2"/>
    <x v="0"/>
    <x v="0"/>
    <x v="0"/>
    <x v="1"/>
    <x v="0"/>
    <n v="39"/>
    <n v="35.279012112758686"/>
    <n v="-1.1021214544777405"/>
    <b v="0"/>
  </r>
  <r>
    <n v="8"/>
    <x v="0"/>
    <x v="0"/>
    <x v="7"/>
    <x v="0"/>
    <x v="0"/>
    <x v="0"/>
    <n v="0.2"/>
    <n v="0.2576"/>
    <n v="0.86"/>
    <n v="0"/>
    <n v="1"/>
    <n v="2"/>
    <n v="3"/>
    <x v="0"/>
    <x v="0"/>
    <x v="0"/>
    <x v="1"/>
    <x v="0"/>
    <n v="38.958333333333336"/>
    <n v="35.325171671531741"/>
    <n v="-1.0755272043905471"/>
    <b v="0"/>
  </r>
  <r>
    <n v="9"/>
    <x v="0"/>
    <x v="0"/>
    <x v="8"/>
    <x v="0"/>
    <x v="0"/>
    <x v="0"/>
    <n v="0.24"/>
    <n v="0.28789999999999999"/>
    <n v="0.75"/>
    <n v="0"/>
    <n v="1"/>
    <n v="7"/>
    <n v="8"/>
    <x v="0"/>
    <x v="0"/>
    <x v="0"/>
    <x v="1"/>
    <x v="0"/>
    <n v="39.166666666666664"/>
    <n v="35.118020478364677"/>
    <n v="-0.98483056895940579"/>
    <b v="0"/>
  </r>
  <r>
    <n v="10"/>
    <x v="0"/>
    <x v="0"/>
    <x v="9"/>
    <x v="0"/>
    <x v="0"/>
    <x v="0"/>
    <n v="0.32"/>
    <n v="0.34849999999999998"/>
    <n v="0.76"/>
    <n v="0"/>
    <n v="8"/>
    <n v="6"/>
    <n v="14"/>
    <x v="0"/>
    <x v="0"/>
    <x v="0"/>
    <x v="1"/>
    <x v="1"/>
    <n v="39.666666666666664"/>
    <n v="34.738359535078885"/>
    <n v="-0.72541657850970842"/>
    <b v="0"/>
  </r>
  <r>
    <n v="11"/>
    <x v="0"/>
    <x v="0"/>
    <x v="10"/>
    <x v="0"/>
    <x v="0"/>
    <x v="0"/>
    <n v="0.38"/>
    <n v="0.39389999999999997"/>
    <n v="0.76"/>
    <n v="0.25369999999999998"/>
    <n v="12"/>
    <n v="24"/>
    <n v="36"/>
    <x v="0"/>
    <x v="0"/>
    <x v="0"/>
    <x v="1"/>
    <x v="1"/>
    <n v="41.291666666666664"/>
    <n v="34.396004781479142"/>
    <n v="0.12669406942416278"/>
    <b v="0"/>
  </r>
  <r>
    <n v="12"/>
    <x v="0"/>
    <x v="0"/>
    <x v="11"/>
    <x v="0"/>
    <x v="0"/>
    <x v="0"/>
    <n v="0.36"/>
    <n v="0.33329999999999999"/>
    <n v="0.81"/>
    <n v="0.28360000000000002"/>
    <n v="26"/>
    <n v="30"/>
    <n v="56"/>
    <x v="0"/>
    <x v="0"/>
    <x v="0"/>
    <x v="1"/>
    <x v="1"/>
    <n v="42.708333333333336"/>
    <n v="34.865554406290045"/>
    <n v="0.5779149150646159"/>
    <b v="0"/>
  </r>
  <r>
    <n v="13"/>
    <x v="0"/>
    <x v="0"/>
    <x v="12"/>
    <x v="0"/>
    <x v="0"/>
    <x v="0"/>
    <n v="0.42"/>
    <n v="0.42420000000000002"/>
    <n v="0.77"/>
    <n v="0.28360000000000002"/>
    <n v="29"/>
    <n v="55"/>
    <n v="84"/>
    <x v="0"/>
    <x v="0"/>
    <x v="0"/>
    <x v="2"/>
    <x v="1"/>
    <n v="44.25"/>
    <n v="36.26862340202976"/>
    <n v="1.2171015484085497"/>
    <b v="0"/>
  </r>
  <r>
    <n v="14"/>
    <x v="0"/>
    <x v="0"/>
    <x v="13"/>
    <x v="0"/>
    <x v="0"/>
    <x v="1"/>
    <n v="0.46"/>
    <n v="0.45450000000000002"/>
    <n v="0.72"/>
    <n v="0.29849999999999999"/>
    <n v="47"/>
    <n v="47"/>
    <n v="94"/>
    <x v="1"/>
    <x v="0"/>
    <x v="0"/>
    <x v="2"/>
    <x v="1"/>
    <n v="43.875"/>
    <n v="35.884249300021409"/>
    <n v="0.75988628502587752"/>
    <b v="0"/>
  </r>
  <r>
    <n v="15"/>
    <x v="0"/>
    <x v="0"/>
    <x v="14"/>
    <x v="0"/>
    <x v="0"/>
    <x v="1"/>
    <n v="0.46"/>
    <n v="0.45450000000000002"/>
    <n v="0.72"/>
    <n v="0.28360000000000002"/>
    <n v="35"/>
    <n v="71"/>
    <n v="106"/>
    <x v="1"/>
    <x v="0"/>
    <x v="0"/>
    <x v="2"/>
    <x v="1"/>
    <n v="42.416666666666664"/>
    <n v="34.440770413372967"/>
    <n v="0.32005705610425195"/>
    <b v="1"/>
  </r>
  <r>
    <n v="16"/>
    <x v="0"/>
    <x v="0"/>
    <x v="15"/>
    <x v="0"/>
    <x v="0"/>
    <x v="1"/>
    <n v="0.44"/>
    <n v="0.43940000000000001"/>
    <n v="0.77"/>
    <n v="0.29849999999999999"/>
    <n v="40"/>
    <n v="70"/>
    <n v="110"/>
    <x v="1"/>
    <x v="0"/>
    <x v="0"/>
    <x v="2"/>
    <x v="1"/>
    <n v="41.083333333333336"/>
    <n v="32.433097248049705"/>
    <n v="0.70986936681257506"/>
    <b v="0"/>
  </r>
  <r>
    <n v="17"/>
    <x v="0"/>
    <x v="0"/>
    <x v="16"/>
    <x v="0"/>
    <x v="0"/>
    <x v="1"/>
    <n v="0.42"/>
    <n v="0.42420000000000002"/>
    <n v="0.82"/>
    <n v="0.29849999999999999"/>
    <n v="41"/>
    <n v="52"/>
    <n v="93"/>
    <x v="1"/>
    <x v="0"/>
    <x v="0"/>
    <x v="2"/>
    <x v="1"/>
    <n v="39.666666666666664"/>
    <n v="29.938584478557271"/>
    <n v="0.57461652909909389"/>
    <b v="0"/>
  </r>
  <r>
    <n v="18"/>
    <x v="0"/>
    <x v="0"/>
    <x v="17"/>
    <x v="0"/>
    <x v="0"/>
    <x v="1"/>
    <n v="0.44"/>
    <n v="0.28789999999999999"/>
    <n v="0.82"/>
    <n v="0.28360000000000002"/>
    <n v="15"/>
    <n v="52"/>
    <n v="67"/>
    <x v="1"/>
    <x v="0"/>
    <x v="0"/>
    <x v="3"/>
    <x v="1"/>
    <n v="38.5"/>
    <n v="28.268895181499555"/>
    <n v="0.21050023032653659"/>
    <b v="0"/>
  </r>
  <r>
    <n v="19"/>
    <x v="0"/>
    <x v="0"/>
    <x v="18"/>
    <x v="0"/>
    <x v="0"/>
    <x v="2"/>
    <n v="0.42"/>
    <n v="0.42420000000000002"/>
    <n v="0.88"/>
    <n v="0.25369999999999998"/>
    <n v="9"/>
    <n v="26"/>
    <n v="35"/>
    <x v="2"/>
    <x v="0"/>
    <x v="0"/>
    <x v="3"/>
    <x v="1"/>
    <n v="37.916666666666664"/>
    <n v="27.795709188206772"/>
    <n v="-8.0599676449082808E-2"/>
    <b v="0"/>
  </r>
  <r>
    <n v="20"/>
    <x v="0"/>
    <x v="0"/>
    <x v="19"/>
    <x v="0"/>
    <x v="0"/>
    <x v="2"/>
    <n v="0.42"/>
    <n v="0.42420000000000002"/>
    <n v="0.88"/>
    <n v="0.25369999999999998"/>
    <n v="6"/>
    <n v="31"/>
    <n v="37"/>
    <x v="2"/>
    <x v="0"/>
    <x v="0"/>
    <x v="3"/>
    <x v="1"/>
    <n v="37.708333333333336"/>
    <n v="27.837227446066862"/>
    <n v="-0.55300621456237631"/>
    <b v="0"/>
  </r>
  <r>
    <n v="21"/>
    <x v="0"/>
    <x v="0"/>
    <x v="20"/>
    <x v="0"/>
    <x v="0"/>
    <x v="1"/>
    <n v="0.4"/>
    <n v="0.40910000000000002"/>
    <n v="0.87"/>
    <n v="0.25369999999999998"/>
    <n v="11"/>
    <n v="25"/>
    <n v="36"/>
    <x v="1"/>
    <x v="0"/>
    <x v="0"/>
    <x v="3"/>
    <x v="1"/>
    <n v="37.083333333333336"/>
    <n v="28.021601398341538"/>
    <n v="-0.74140500197267778"/>
    <b v="0"/>
  </r>
  <r>
    <n v="22"/>
    <x v="0"/>
    <x v="0"/>
    <x v="21"/>
    <x v="0"/>
    <x v="0"/>
    <x v="1"/>
    <n v="0.4"/>
    <n v="0.40910000000000002"/>
    <n v="0.87"/>
    <n v="0.19400000000000001"/>
    <n v="3"/>
    <n v="31"/>
    <n v="34"/>
    <x v="1"/>
    <x v="0"/>
    <x v="0"/>
    <x v="0"/>
    <x v="1"/>
    <n v="36.875"/>
    <n v="28.048579751690752"/>
    <n v="-0.55249160048864354"/>
    <b v="0"/>
  </r>
  <r>
    <n v="23"/>
    <x v="0"/>
    <x v="0"/>
    <x v="22"/>
    <x v="0"/>
    <x v="0"/>
    <x v="1"/>
    <n v="0.4"/>
    <n v="0.40910000000000002"/>
    <n v="0.94"/>
    <n v="0.22389999999999999"/>
    <n v="11"/>
    <n v="17"/>
    <n v="28"/>
    <x v="1"/>
    <x v="0"/>
    <x v="0"/>
    <x v="0"/>
    <x v="1"/>
    <n v="35.833333333333336"/>
    <n v="28.618429250285963"/>
    <n v="-0.97889467908563599"/>
    <b v="0"/>
  </r>
  <r>
    <n v="24"/>
    <x v="0"/>
    <x v="0"/>
    <x v="23"/>
    <x v="0"/>
    <x v="0"/>
    <x v="1"/>
    <n v="0.46"/>
    <n v="0.2727"/>
    <n v="0.88"/>
    <n v="0.29849999999999999"/>
    <n v="15"/>
    <n v="24"/>
    <n v="39"/>
    <x v="1"/>
    <x v="0"/>
    <x v="0"/>
    <x v="0"/>
    <x v="1"/>
    <n v="35"/>
    <n v="29.142826695879844"/>
    <n v="-0.99233610339842293"/>
    <b v="0"/>
  </r>
  <r>
    <n v="25"/>
    <x v="1"/>
    <x v="0"/>
    <x v="0"/>
    <x v="0"/>
    <x v="1"/>
    <x v="1"/>
    <n v="0.46"/>
    <n v="0.45450000000000002"/>
    <n v="0.88"/>
    <n v="0.29849999999999999"/>
    <n v="4"/>
    <n v="13"/>
    <n v="17"/>
    <x v="1"/>
    <x v="1"/>
    <x v="0"/>
    <x v="0"/>
    <x v="1"/>
    <n v="33.583333333333336"/>
    <n v="29.759787088220772"/>
    <n v="-1.0425127217859353"/>
    <b v="0"/>
  </r>
  <r>
    <n v="26"/>
    <x v="1"/>
    <x v="0"/>
    <x v="1"/>
    <x v="0"/>
    <x v="1"/>
    <x v="1"/>
    <n v="0.44"/>
    <n v="0.43940000000000001"/>
    <n v="0.94"/>
    <n v="0.25369999999999998"/>
    <n v="1"/>
    <n v="16"/>
    <n v="17"/>
    <x v="1"/>
    <x v="1"/>
    <x v="0"/>
    <x v="0"/>
    <x v="1"/>
    <n v="32.958333333333336"/>
    <n v="30.276234282335057"/>
    <n v="-1.0957045988994405"/>
    <b v="0"/>
  </r>
  <r>
    <n v="27"/>
    <x v="1"/>
    <x v="0"/>
    <x v="2"/>
    <x v="0"/>
    <x v="1"/>
    <x v="1"/>
    <n v="0.42"/>
    <n v="0.42420000000000002"/>
    <n v="1"/>
    <n v="0.28360000000000002"/>
    <n v="1"/>
    <n v="8"/>
    <n v="9"/>
    <x v="1"/>
    <x v="1"/>
    <x v="0"/>
    <x v="0"/>
    <x v="1"/>
    <n v="32.291666666666664"/>
    <n v="30.814281226993302"/>
    <n v="-1.115870941210473"/>
    <b v="0"/>
  </r>
  <r>
    <n v="28"/>
    <x v="1"/>
    <x v="0"/>
    <x v="3"/>
    <x v="0"/>
    <x v="1"/>
    <x v="1"/>
    <n v="0.46"/>
    <n v="0.45450000000000002"/>
    <n v="0.94"/>
    <n v="0.19400000000000001"/>
    <n v="2"/>
    <n v="4"/>
    <n v="6"/>
    <x v="1"/>
    <x v="1"/>
    <x v="0"/>
    <x v="0"/>
    <x v="1"/>
    <n v="32.041666666666664"/>
    <n v="31.035014120333106"/>
    <n v="-1.0811544206753694"/>
    <b v="0"/>
  </r>
  <r>
    <n v="29"/>
    <x v="1"/>
    <x v="0"/>
    <x v="4"/>
    <x v="0"/>
    <x v="1"/>
    <x v="1"/>
    <n v="0.46"/>
    <n v="0.33329999999999999"/>
    <n v="0.94"/>
    <n v="0.19400000000000001"/>
    <n v="2"/>
    <n v="1"/>
    <n v="3"/>
    <x v="1"/>
    <x v="1"/>
    <x v="0"/>
    <x v="0"/>
    <x v="1"/>
    <n v="33.041666666666664"/>
    <n v="30.542172079967049"/>
    <n v="-0.57577218134374486"/>
    <b v="0"/>
  </r>
  <r>
    <n v="30"/>
    <x v="1"/>
    <x v="0"/>
    <x v="6"/>
    <x v="0"/>
    <x v="1"/>
    <x v="2"/>
    <n v="0.42"/>
    <n v="0.42420000000000002"/>
    <n v="0.77"/>
    <n v="0.29849999999999999"/>
    <n v="0"/>
    <n v="2"/>
    <n v="2"/>
    <x v="2"/>
    <x v="1"/>
    <x v="0"/>
    <x v="1"/>
    <x v="1"/>
    <n v="35.583333333333336"/>
    <n v="30.471535779373234"/>
    <n v="7.2159446850210349E-2"/>
    <b v="0"/>
  </r>
  <r>
    <n v="31"/>
    <x v="1"/>
    <x v="0"/>
    <x v="7"/>
    <x v="0"/>
    <x v="1"/>
    <x v="1"/>
    <n v="0.4"/>
    <n v="0.40910000000000002"/>
    <n v="0.76"/>
    <n v="0.19400000000000001"/>
    <n v="0"/>
    <n v="1"/>
    <n v="1"/>
    <x v="1"/>
    <x v="1"/>
    <x v="0"/>
    <x v="1"/>
    <x v="1"/>
    <n v="41.916666666666664"/>
    <n v="38.043358177864313"/>
    <n v="1.6364037313631317"/>
    <b v="0"/>
  </r>
  <r>
    <n v="32"/>
    <x v="1"/>
    <x v="0"/>
    <x v="8"/>
    <x v="0"/>
    <x v="1"/>
    <x v="2"/>
    <n v="0.4"/>
    <n v="0.40910000000000002"/>
    <n v="0.71"/>
    <n v="0.22389999999999999"/>
    <n v="0"/>
    <n v="8"/>
    <n v="8"/>
    <x v="2"/>
    <x v="1"/>
    <x v="0"/>
    <x v="1"/>
    <x v="1"/>
    <n v="45.541666666666664"/>
    <n v="38.119924228523935"/>
    <n v="0.48541941621227064"/>
    <b v="0"/>
  </r>
  <r>
    <n v="33"/>
    <x v="1"/>
    <x v="0"/>
    <x v="9"/>
    <x v="0"/>
    <x v="1"/>
    <x v="1"/>
    <n v="0.38"/>
    <n v="0.43940000000000001"/>
    <n v="0.76"/>
    <n v="0.22389999999999999"/>
    <n v="1"/>
    <n v="19"/>
    <n v="20"/>
    <x v="1"/>
    <x v="1"/>
    <x v="0"/>
    <x v="1"/>
    <x v="1"/>
    <n v="47.041666666666664"/>
    <n v="37.277431296402"/>
    <n v="-0.3338047942995569"/>
    <b v="0"/>
  </r>
  <r>
    <n v="34"/>
    <x v="1"/>
    <x v="0"/>
    <x v="10"/>
    <x v="0"/>
    <x v="1"/>
    <x v="1"/>
    <n v="0.36"/>
    <n v="0.34849999999999998"/>
    <n v="0.81"/>
    <n v="0.22389999999999999"/>
    <n v="7"/>
    <n v="46"/>
    <n v="53"/>
    <x v="1"/>
    <x v="1"/>
    <x v="0"/>
    <x v="1"/>
    <x v="1"/>
    <n v="48.333333333333336"/>
    <n v="36.834136655939233"/>
    <n v="-0.20840556448728467"/>
    <b v="0"/>
  </r>
  <r>
    <n v="35"/>
    <x v="1"/>
    <x v="0"/>
    <x v="11"/>
    <x v="0"/>
    <x v="1"/>
    <x v="1"/>
    <n v="0.36"/>
    <n v="0.33329999999999999"/>
    <n v="0.71"/>
    <n v="0.25369999999999998"/>
    <n v="16"/>
    <n v="54"/>
    <n v="70"/>
    <x v="1"/>
    <x v="1"/>
    <x v="0"/>
    <x v="1"/>
    <x v="1"/>
    <n v="48.666666666666664"/>
    <n v="36.914315199752345"/>
    <n v="-3.4970054289326598E-2"/>
    <b v="0"/>
  </r>
  <r>
    <n v="36"/>
    <x v="1"/>
    <x v="0"/>
    <x v="12"/>
    <x v="0"/>
    <x v="1"/>
    <x v="1"/>
    <n v="0.36"/>
    <n v="0.33329999999999999"/>
    <n v="0.66"/>
    <n v="0.29849999999999999"/>
    <n v="20"/>
    <n v="73"/>
    <n v="93"/>
    <x v="1"/>
    <x v="1"/>
    <x v="0"/>
    <x v="2"/>
    <x v="1"/>
    <n v="48.291666666666664"/>
    <n v="36.733445448157376"/>
    <n v="-6.3663170434079708E-2"/>
    <b v="0"/>
  </r>
  <r>
    <n v="37"/>
    <x v="1"/>
    <x v="0"/>
    <x v="13"/>
    <x v="0"/>
    <x v="1"/>
    <x v="1"/>
    <n v="0.36"/>
    <n v="0.34849999999999998"/>
    <n v="0.66"/>
    <n v="0.1343"/>
    <n v="11"/>
    <n v="64"/>
    <n v="75"/>
    <x v="1"/>
    <x v="1"/>
    <x v="0"/>
    <x v="2"/>
    <x v="1"/>
    <n v="47.625"/>
    <n v="36.025127100521047"/>
    <n v="0.2441949981521537"/>
    <b v="0"/>
  </r>
  <r>
    <n v="38"/>
    <x v="1"/>
    <x v="0"/>
    <x v="14"/>
    <x v="0"/>
    <x v="1"/>
    <x v="2"/>
    <n v="0.36"/>
    <n v="0.40910000000000002"/>
    <n v="0.76"/>
    <n v="0.19400000000000001"/>
    <n v="4"/>
    <n v="55"/>
    <n v="59"/>
    <x v="2"/>
    <x v="1"/>
    <x v="0"/>
    <x v="2"/>
    <x v="1"/>
    <n v="47.5"/>
    <n v="35.931093474327632"/>
    <n v="0.15736651697288739"/>
    <b v="1"/>
  </r>
  <r>
    <n v="39"/>
    <x v="1"/>
    <x v="0"/>
    <x v="15"/>
    <x v="0"/>
    <x v="1"/>
    <x v="2"/>
    <n v="0.34"/>
    <n v="0.33329999999999999"/>
    <n v="0.81"/>
    <n v="0.16420000000000001"/>
    <n v="19"/>
    <n v="55"/>
    <n v="74"/>
    <x v="2"/>
    <x v="1"/>
    <x v="0"/>
    <x v="2"/>
    <x v="1"/>
    <n v="48.208333333333336"/>
    <n v="36.332975998774671"/>
    <n v="0.2254210675750925"/>
    <b v="0"/>
  </r>
  <r>
    <n v="40"/>
    <x v="1"/>
    <x v="0"/>
    <x v="16"/>
    <x v="0"/>
    <x v="1"/>
    <x v="2"/>
    <n v="0.34"/>
    <n v="0.33329999999999999"/>
    <n v="0.71"/>
    <n v="0.16420000000000001"/>
    <n v="9"/>
    <n v="67"/>
    <n v="76"/>
    <x v="2"/>
    <x v="1"/>
    <x v="0"/>
    <x v="2"/>
    <x v="1"/>
    <n v="51.666666666666664"/>
    <n v="42.347082099228992"/>
    <n v="1.4525811511174775"/>
    <b v="0"/>
  </r>
  <r>
    <n v="41"/>
    <x v="1"/>
    <x v="0"/>
    <x v="17"/>
    <x v="0"/>
    <x v="1"/>
    <x v="0"/>
    <n v="0.34"/>
    <n v="0.33329999999999999"/>
    <n v="0.56999999999999995"/>
    <n v="0.19400000000000001"/>
    <n v="7"/>
    <n v="58"/>
    <n v="65"/>
    <x v="0"/>
    <x v="1"/>
    <x v="0"/>
    <x v="3"/>
    <x v="1"/>
    <n v="55.041666666666664"/>
    <n v="47.30794506916007"/>
    <n v="1.3939900878543436"/>
    <b v="0"/>
  </r>
  <r>
    <n v="42"/>
    <x v="1"/>
    <x v="0"/>
    <x v="18"/>
    <x v="0"/>
    <x v="1"/>
    <x v="1"/>
    <n v="0.36"/>
    <n v="0.33329999999999999"/>
    <n v="0.46"/>
    <n v="0.32840000000000003"/>
    <n v="10"/>
    <n v="43"/>
    <n v="53"/>
    <x v="1"/>
    <x v="1"/>
    <x v="0"/>
    <x v="3"/>
    <x v="1"/>
    <n v="56.916666666666664"/>
    <n v="48.594074309230486"/>
    <n v="0.68529227617618349"/>
    <b v="0"/>
  </r>
  <r>
    <n v="43"/>
    <x v="1"/>
    <x v="0"/>
    <x v="19"/>
    <x v="0"/>
    <x v="1"/>
    <x v="0"/>
    <n v="0.32"/>
    <n v="0.28789999999999999"/>
    <n v="0.42"/>
    <n v="0.44779999999999998"/>
    <n v="1"/>
    <n v="29"/>
    <n v="30"/>
    <x v="0"/>
    <x v="1"/>
    <x v="0"/>
    <x v="3"/>
    <x v="1"/>
    <n v="56.875"/>
    <n v="48.598007205520538"/>
    <n v="-0.25136795526394878"/>
    <b v="0"/>
  </r>
  <r>
    <n v="44"/>
    <x v="1"/>
    <x v="0"/>
    <x v="20"/>
    <x v="0"/>
    <x v="1"/>
    <x v="0"/>
    <n v="0.3"/>
    <n v="0.42420000000000002"/>
    <n v="0.39"/>
    <n v="0.35820000000000002"/>
    <n v="5"/>
    <n v="17"/>
    <n v="22"/>
    <x v="0"/>
    <x v="1"/>
    <x v="0"/>
    <x v="3"/>
    <x v="1"/>
    <n v="57.791666666666664"/>
    <n v="48.275458853709836"/>
    <n v="-0.24833593886289543"/>
    <b v="0"/>
  </r>
  <r>
    <n v="45"/>
    <x v="1"/>
    <x v="0"/>
    <x v="21"/>
    <x v="0"/>
    <x v="1"/>
    <x v="0"/>
    <n v="0.26"/>
    <n v="0.2273"/>
    <n v="0.44"/>
    <n v="0.32840000000000003"/>
    <n v="11"/>
    <n v="20"/>
    <n v="31"/>
    <x v="0"/>
    <x v="1"/>
    <x v="0"/>
    <x v="0"/>
    <x v="0"/>
    <n v="57.708333333333336"/>
    <n v="48.341609736168877"/>
    <n v="-0.77443167938478596"/>
    <b v="0"/>
  </r>
  <r>
    <n v="46"/>
    <x v="1"/>
    <x v="0"/>
    <x v="22"/>
    <x v="0"/>
    <x v="1"/>
    <x v="0"/>
    <n v="0.24"/>
    <n v="0.21210000000000001"/>
    <n v="0.44"/>
    <n v="0.29849999999999999"/>
    <n v="0"/>
    <n v="9"/>
    <n v="9"/>
    <x v="0"/>
    <x v="1"/>
    <x v="0"/>
    <x v="0"/>
    <x v="0"/>
    <n v="56.916666666666664"/>
    <n v="48.949767212367085"/>
    <n v="-0.89791707075115079"/>
    <b v="0"/>
  </r>
  <r>
    <n v="47"/>
    <x v="1"/>
    <x v="0"/>
    <x v="23"/>
    <x v="0"/>
    <x v="1"/>
    <x v="0"/>
    <n v="0.22"/>
    <n v="0.2273"/>
    <n v="0.47"/>
    <n v="0.16420000000000001"/>
    <n v="0"/>
    <n v="8"/>
    <n v="8"/>
    <x v="0"/>
    <x v="1"/>
    <x v="0"/>
    <x v="0"/>
    <x v="0"/>
    <n v="56.75"/>
    <n v="49.126500419613251"/>
    <n v="-1.0068737855595855"/>
    <b v="1"/>
  </r>
  <r>
    <n v="48"/>
    <x v="2"/>
    <x v="0"/>
    <x v="0"/>
    <x v="0"/>
    <x v="2"/>
    <x v="0"/>
    <n v="0.22"/>
    <n v="0.19700000000000001"/>
    <n v="0.44"/>
    <n v="0.35820000000000002"/>
    <n v="0"/>
    <n v="5"/>
    <n v="5"/>
    <x v="0"/>
    <x v="2"/>
    <x v="1"/>
    <x v="0"/>
    <x v="0"/>
    <n v="56.5"/>
    <n v="49.399876782102972"/>
    <n v="-1.0584020671163603"/>
    <b v="1"/>
  </r>
  <r>
    <n v="49"/>
    <x v="2"/>
    <x v="0"/>
    <x v="1"/>
    <x v="0"/>
    <x v="2"/>
    <x v="0"/>
    <n v="0.2"/>
    <n v="0.40910000000000002"/>
    <n v="0.44"/>
    <n v="0.41789999999999999"/>
    <n v="0"/>
    <n v="2"/>
    <n v="2"/>
    <x v="0"/>
    <x v="2"/>
    <x v="1"/>
    <x v="0"/>
    <x v="0"/>
    <n v="56.333333333333336"/>
    <n v="49.587574413676293"/>
    <n v="-1.0751026914495572"/>
    <b v="0"/>
  </r>
  <r>
    <n v="50"/>
    <x v="2"/>
    <x v="0"/>
    <x v="4"/>
    <x v="0"/>
    <x v="2"/>
    <x v="0"/>
    <n v="0.16"/>
    <n v="0.13639999999999999"/>
    <n v="0.47"/>
    <n v="0.3881"/>
    <n v="0"/>
    <n v="1"/>
    <n v="1"/>
    <x v="0"/>
    <x v="2"/>
    <x v="1"/>
    <x v="0"/>
    <x v="2"/>
    <n v="56.333333333333336"/>
    <n v="49.587574413676293"/>
    <n v="-1.059919509292965"/>
    <b v="0"/>
  </r>
  <r>
    <n v="51"/>
    <x v="2"/>
    <x v="0"/>
    <x v="5"/>
    <x v="0"/>
    <x v="2"/>
    <x v="0"/>
    <n v="0.16"/>
    <n v="0.13639999999999999"/>
    <n v="0.47"/>
    <n v="0.28360000000000002"/>
    <n v="0"/>
    <n v="3"/>
    <n v="3"/>
    <x v="0"/>
    <x v="2"/>
    <x v="1"/>
    <x v="0"/>
    <x v="2"/>
    <n v="56.458333333333336"/>
    <n v="49.445603986837781"/>
    <n v="-1.0279748335322709"/>
    <b v="0"/>
  </r>
  <r>
    <n v="52"/>
    <x v="2"/>
    <x v="0"/>
    <x v="6"/>
    <x v="0"/>
    <x v="2"/>
    <x v="0"/>
    <n v="0.14000000000000001"/>
    <n v="0.1061"/>
    <n v="0.5"/>
    <n v="0.3881"/>
    <n v="0"/>
    <n v="30"/>
    <n v="30"/>
    <x v="0"/>
    <x v="2"/>
    <x v="1"/>
    <x v="1"/>
    <x v="2"/>
    <n v="57.833333333333336"/>
    <n v="48.34087897122005"/>
    <n v="-0.52177094995444284"/>
    <b v="0"/>
  </r>
  <r>
    <n v="53"/>
    <x v="2"/>
    <x v="0"/>
    <x v="7"/>
    <x v="0"/>
    <x v="2"/>
    <x v="0"/>
    <n v="0.14000000000000001"/>
    <n v="0.13639999999999999"/>
    <n v="0.5"/>
    <n v="0.19400000000000001"/>
    <n v="1"/>
    <n v="63"/>
    <n v="64"/>
    <x v="0"/>
    <x v="2"/>
    <x v="1"/>
    <x v="1"/>
    <x v="2"/>
    <n v="60.5"/>
    <n v="48.503697752358775"/>
    <n v="0.42981303921060776"/>
    <b v="0"/>
  </r>
  <r>
    <n v="54"/>
    <x v="2"/>
    <x v="0"/>
    <x v="8"/>
    <x v="0"/>
    <x v="2"/>
    <x v="0"/>
    <n v="0.14000000000000001"/>
    <n v="0.1212"/>
    <n v="0.5"/>
    <n v="0.28360000000000002"/>
    <n v="1"/>
    <n v="153"/>
    <n v="154"/>
    <x v="0"/>
    <x v="2"/>
    <x v="1"/>
    <x v="1"/>
    <x v="2"/>
    <n v="65.291666666666671"/>
    <n v="54.209319884304399"/>
    <n v="1.6599660755043406"/>
    <b v="0"/>
  </r>
  <r>
    <n v="55"/>
    <x v="2"/>
    <x v="0"/>
    <x v="9"/>
    <x v="0"/>
    <x v="2"/>
    <x v="0"/>
    <n v="0.16"/>
    <n v="0.13639999999999999"/>
    <n v="0.43"/>
    <n v="0.3881"/>
    <n v="7"/>
    <n v="81"/>
    <n v="88"/>
    <x v="0"/>
    <x v="2"/>
    <x v="1"/>
    <x v="1"/>
    <x v="2"/>
    <n v="63.041666666666664"/>
    <n v="51.416017777128275"/>
    <n v="0.48999000904473167"/>
    <b v="0"/>
  </r>
  <r>
    <n v="56"/>
    <x v="2"/>
    <x v="0"/>
    <x v="10"/>
    <x v="0"/>
    <x v="2"/>
    <x v="0"/>
    <n v="0.18"/>
    <n v="0.16669999999999999"/>
    <n v="0.43"/>
    <n v="0.25369999999999998"/>
    <n v="11"/>
    <n v="33"/>
    <n v="44"/>
    <x v="0"/>
    <x v="2"/>
    <x v="1"/>
    <x v="1"/>
    <x v="2"/>
    <n v="61.125"/>
    <n v="51.302438708031261"/>
    <n v="-0.44172429755379822"/>
    <b v="0"/>
  </r>
  <r>
    <n v="57"/>
    <x v="2"/>
    <x v="0"/>
    <x v="11"/>
    <x v="0"/>
    <x v="2"/>
    <x v="0"/>
    <n v="0.2"/>
    <n v="0.18179999999999999"/>
    <n v="0.4"/>
    <n v="0.32840000000000003"/>
    <n v="10"/>
    <n v="41"/>
    <n v="51"/>
    <x v="0"/>
    <x v="2"/>
    <x v="1"/>
    <x v="1"/>
    <x v="0"/>
    <n v="61.666666666666664"/>
    <n v="51.182254624096004"/>
    <n v="-0.19547658359099887"/>
    <b v="0"/>
  </r>
  <r>
    <n v="58"/>
    <x v="2"/>
    <x v="0"/>
    <x v="12"/>
    <x v="0"/>
    <x v="2"/>
    <x v="0"/>
    <n v="0.22"/>
    <n v="0.21210000000000001"/>
    <n v="0.35"/>
    <n v="0.29849999999999999"/>
    <n v="13"/>
    <n v="48"/>
    <n v="61"/>
    <x v="0"/>
    <x v="2"/>
    <x v="1"/>
    <x v="2"/>
    <x v="0"/>
    <n v="62.791666666666664"/>
    <n v="51.234311844162868"/>
    <n v="0.13868024386507899"/>
    <b v="0"/>
  </r>
  <r>
    <n v="59"/>
    <x v="2"/>
    <x v="0"/>
    <x v="13"/>
    <x v="0"/>
    <x v="2"/>
    <x v="0"/>
    <n v="0.24"/>
    <n v="0.33329999999999999"/>
    <n v="0.35"/>
    <n v="0.28360000000000002"/>
    <n v="8"/>
    <n v="53"/>
    <n v="61"/>
    <x v="0"/>
    <x v="2"/>
    <x v="1"/>
    <x v="2"/>
    <x v="0"/>
    <n v="64.291666666666671"/>
    <n v="51.704410010102173"/>
    <n v="0.45991806747168129"/>
    <b v="0"/>
  </r>
  <r>
    <n v="60"/>
    <x v="2"/>
    <x v="0"/>
    <x v="14"/>
    <x v="0"/>
    <x v="2"/>
    <x v="0"/>
    <n v="0.26"/>
    <n v="0.2424"/>
    <n v="0.3"/>
    <n v="0.28360000000000002"/>
    <n v="11"/>
    <n v="66"/>
    <n v="77"/>
    <x v="0"/>
    <x v="2"/>
    <x v="1"/>
    <x v="2"/>
    <x v="0"/>
    <n v="64.375"/>
    <n v="51.700485659143517"/>
    <n v="-8.223304794413315E-2"/>
    <b v="0"/>
  </r>
  <r>
    <n v="61"/>
    <x v="2"/>
    <x v="0"/>
    <x v="15"/>
    <x v="0"/>
    <x v="2"/>
    <x v="0"/>
    <n v="0.26"/>
    <n v="0.2424"/>
    <n v="0.3"/>
    <n v="0.25369999999999998"/>
    <n v="14"/>
    <n v="58"/>
    <n v="72"/>
    <x v="0"/>
    <x v="2"/>
    <x v="1"/>
    <x v="2"/>
    <x v="0"/>
    <n v="63.875"/>
    <n v="51.631059492788118"/>
    <n v="-4.8082270953038068E-2"/>
    <b v="1"/>
  </r>
  <r>
    <n v="62"/>
    <x v="2"/>
    <x v="0"/>
    <x v="16"/>
    <x v="0"/>
    <x v="2"/>
    <x v="0"/>
    <n v="0.26"/>
    <n v="0.2424"/>
    <n v="0.3"/>
    <n v="0.25369999999999998"/>
    <n v="9"/>
    <n v="67"/>
    <n v="76"/>
    <x v="0"/>
    <x v="2"/>
    <x v="1"/>
    <x v="2"/>
    <x v="0"/>
    <n v="64.333333333333329"/>
    <n v="51.754996958215806"/>
    <n v="0.23563785884211183"/>
    <b v="0"/>
  </r>
  <r>
    <n v="63"/>
    <x v="2"/>
    <x v="0"/>
    <x v="17"/>
    <x v="0"/>
    <x v="2"/>
    <x v="0"/>
    <n v="0.24"/>
    <n v="0.2273"/>
    <n v="0.3"/>
    <n v="0.22389999999999999"/>
    <n v="11"/>
    <n v="146"/>
    <n v="157"/>
    <x v="0"/>
    <x v="2"/>
    <x v="1"/>
    <x v="3"/>
    <x v="0"/>
    <n v="70"/>
    <n v="59.893383535281657"/>
    <n v="2.1392376392281216"/>
    <b v="0"/>
  </r>
  <r>
    <n v="64"/>
    <x v="2"/>
    <x v="0"/>
    <x v="18"/>
    <x v="0"/>
    <x v="2"/>
    <x v="0"/>
    <n v="0.24"/>
    <n v="0.2576"/>
    <n v="0.32"/>
    <n v="0.1045"/>
    <n v="9"/>
    <n v="148"/>
    <n v="157"/>
    <x v="0"/>
    <x v="2"/>
    <x v="1"/>
    <x v="3"/>
    <x v="0"/>
    <n v="71.041666666666671"/>
    <n v="61.663518329346267"/>
    <n v="1.8013147406208672"/>
    <b v="0"/>
  </r>
  <r>
    <n v="65"/>
    <x v="2"/>
    <x v="0"/>
    <x v="19"/>
    <x v="0"/>
    <x v="2"/>
    <x v="0"/>
    <n v="0.2"/>
    <n v="0.2576"/>
    <n v="0.47"/>
    <n v="0"/>
    <n v="8"/>
    <n v="102"/>
    <n v="110"/>
    <x v="0"/>
    <x v="2"/>
    <x v="1"/>
    <x v="3"/>
    <x v="0"/>
    <n v="69.166666666666671"/>
    <n v="59.585281715382102"/>
    <n v="0.73128771872724208"/>
    <b v="0"/>
  </r>
  <r>
    <n v="66"/>
    <x v="2"/>
    <x v="0"/>
    <x v="20"/>
    <x v="0"/>
    <x v="2"/>
    <x v="0"/>
    <n v="0.2"/>
    <n v="0.40910000000000002"/>
    <n v="0.47"/>
    <n v="0.1045"/>
    <n v="3"/>
    <n v="49"/>
    <n v="52"/>
    <x v="0"/>
    <x v="2"/>
    <x v="1"/>
    <x v="3"/>
    <x v="0"/>
    <n v="66.833333333333329"/>
    <n v="59.010438771949246"/>
    <n v="-0.25160834203746063"/>
    <b v="0"/>
  </r>
  <r>
    <n v="67"/>
    <x v="2"/>
    <x v="0"/>
    <x v="21"/>
    <x v="0"/>
    <x v="2"/>
    <x v="0"/>
    <n v="0.18"/>
    <n v="0.19700000000000001"/>
    <n v="0.64"/>
    <n v="0.1343"/>
    <n v="3"/>
    <n v="49"/>
    <n v="52"/>
    <x v="0"/>
    <x v="2"/>
    <x v="1"/>
    <x v="0"/>
    <x v="2"/>
    <n v="66.666666666666671"/>
    <n v="59.059783025460675"/>
    <n v="-0.34678307427104071"/>
    <b v="0"/>
  </r>
  <r>
    <n v="68"/>
    <x v="2"/>
    <x v="0"/>
    <x v="22"/>
    <x v="0"/>
    <x v="2"/>
    <x v="0"/>
    <n v="0.14000000000000001"/>
    <n v="0.1515"/>
    <n v="0.69"/>
    <n v="0.1343"/>
    <n v="0"/>
    <n v="20"/>
    <n v="20"/>
    <x v="0"/>
    <x v="2"/>
    <x v="1"/>
    <x v="0"/>
    <x v="2"/>
    <n v="65.958333333333329"/>
    <n v="59.344593663630803"/>
    <n v="-0.56638481734005486"/>
    <b v="0"/>
  </r>
  <r>
    <n v="69"/>
    <x v="2"/>
    <x v="0"/>
    <x v="23"/>
    <x v="0"/>
    <x v="2"/>
    <x v="0"/>
    <n v="0.18"/>
    <n v="0.21210000000000001"/>
    <n v="0.55000000000000004"/>
    <n v="0.1045"/>
    <n v="1"/>
    <n v="11"/>
    <n v="12"/>
    <x v="0"/>
    <x v="2"/>
    <x v="1"/>
    <x v="0"/>
    <x v="2"/>
    <n v="65.583333333333329"/>
    <n v="59.675147158643831"/>
    <n v="-0.96136478215563159"/>
    <b v="0"/>
  </r>
  <r>
    <n v="70"/>
    <x v="3"/>
    <x v="0"/>
    <x v="0"/>
    <x v="0"/>
    <x v="3"/>
    <x v="0"/>
    <n v="0.16"/>
    <n v="0.13639999999999999"/>
    <n v="0.55000000000000004"/>
    <n v="0.1045"/>
    <n v="0"/>
    <n v="5"/>
    <n v="5"/>
    <x v="0"/>
    <x v="3"/>
    <x v="1"/>
    <x v="0"/>
    <x v="2"/>
    <n v="65.333333333333329"/>
    <n v="59.921446161995519"/>
    <n v="-1.0470097516127035"/>
    <b v="1"/>
  </r>
  <r>
    <n v="71"/>
    <x v="3"/>
    <x v="0"/>
    <x v="1"/>
    <x v="0"/>
    <x v="3"/>
    <x v="0"/>
    <n v="0.16"/>
    <n v="0.18179999999999999"/>
    <n v="0.59"/>
    <n v="0.1045"/>
    <n v="0"/>
    <n v="2"/>
    <n v="2"/>
    <x v="0"/>
    <x v="3"/>
    <x v="1"/>
    <x v="0"/>
    <x v="2"/>
    <n v="65.375"/>
    <n v="59.878000968636222"/>
    <n v="-1.0439301120187663"/>
    <b v="1"/>
  </r>
  <r>
    <n v="72"/>
    <x v="3"/>
    <x v="0"/>
    <x v="2"/>
    <x v="0"/>
    <x v="3"/>
    <x v="0"/>
    <n v="0.14000000000000001"/>
    <n v="0.1515"/>
    <n v="0.63"/>
    <n v="0.1343"/>
    <n v="0"/>
    <n v="1"/>
    <n v="1"/>
    <x v="0"/>
    <x v="3"/>
    <x v="1"/>
    <x v="0"/>
    <x v="2"/>
    <n v="65.375"/>
    <n v="59.878000968636222"/>
    <n v="-1.1059514527775274"/>
    <b v="0"/>
  </r>
  <r>
    <n v="73"/>
    <x v="3"/>
    <x v="0"/>
    <x v="4"/>
    <x v="0"/>
    <x v="3"/>
    <x v="0"/>
    <n v="0.14000000000000001"/>
    <n v="0.18179999999999999"/>
    <n v="0.63"/>
    <n v="8.9599999999999999E-2"/>
    <n v="0"/>
    <n v="2"/>
    <n v="2"/>
    <x v="0"/>
    <x v="3"/>
    <x v="1"/>
    <x v="0"/>
    <x v="2"/>
    <n v="65.416666666666671"/>
    <n v="59.831587314559108"/>
    <n v="-1.1043295896978131"/>
    <b v="0"/>
  </r>
  <r>
    <n v="74"/>
    <x v="3"/>
    <x v="0"/>
    <x v="5"/>
    <x v="0"/>
    <x v="3"/>
    <x v="0"/>
    <n v="0.12"/>
    <n v="0.1515"/>
    <n v="0.68"/>
    <n v="0.1045"/>
    <n v="0"/>
    <n v="4"/>
    <n v="4"/>
    <x v="0"/>
    <x v="3"/>
    <x v="1"/>
    <x v="0"/>
    <x v="2"/>
    <n v="65.458333333333329"/>
    <n v="59.785834563822505"/>
    <n v="-1.0904744070275108"/>
    <b v="0"/>
  </r>
  <r>
    <n v="75"/>
    <x v="3"/>
    <x v="0"/>
    <x v="6"/>
    <x v="0"/>
    <x v="3"/>
    <x v="0"/>
    <n v="0.12"/>
    <n v="0.1515"/>
    <n v="0.74"/>
    <n v="0.1045"/>
    <n v="0"/>
    <n v="36"/>
    <n v="36"/>
    <x v="0"/>
    <x v="3"/>
    <x v="1"/>
    <x v="1"/>
    <x v="2"/>
    <n v="66.666666666666671"/>
    <n v="58.774193291796436"/>
    <n v="-0.61458004407176137"/>
    <b v="0"/>
  </r>
  <r>
    <n v="76"/>
    <x v="3"/>
    <x v="0"/>
    <x v="7"/>
    <x v="0"/>
    <x v="3"/>
    <x v="0"/>
    <n v="0.12"/>
    <n v="0.1515"/>
    <n v="0.74"/>
    <n v="0.1343"/>
    <n v="2"/>
    <n v="92"/>
    <n v="94"/>
    <x v="0"/>
    <x v="3"/>
    <x v="1"/>
    <x v="1"/>
    <x v="2"/>
    <n v="68.833333333333329"/>
    <n v="58.552590011898268"/>
    <n v="0.29959061174029716"/>
    <b v="0"/>
  </r>
  <r>
    <n v="77"/>
    <x v="3"/>
    <x v="0"/>
    <x v="8"/>
    <x v="0"/>
    <x v="3"/>
    <x v="0"/>
    <n v="0.14000000000000001"/>
    <n v="0.1515"/>
    <n v="0.69"/>
    <n v="0.16420000000000001"/>
    <n v="2"/>
    <n v="177"/>
    <n v="179"/>
    <x v="0"/>
    <x v="3"/>
    <x v="1"/>
    <x v="1"/>
    <x v="2"/>
    <n v="73.041666666666671"/>
    <n v="63.83162577653308"/>
    <n v="1.8359828944690322"/>
    <b v="0"/>
  </r>
  <r>
    <n v="78"/>
    <x v="3"/>
    <x v="0"/>
    <x v="9"/>
    <x v="0"/>
    <x v="3"/>
    <x v="0"/>
    <n v="0.16"/>
    <n v="0.1515"/>
    <n v="0.64"/>
    <n v="0.22389999999999999"/>
    <n v="2"/>
    <n v="98"/>
    <n v="100"/>
    <x v="0"/>
    <x v="3"/>
    <x v="1"/>
    <x v="1"/>
    <x v="2"/>
    <n v="70.375"/>
    <n v="60.460416443502432"/>
    <n v="0.69071118056867509"/>
    <b v="0"/>
  </r>
  <r>
    <n v="79"/>
    <x v="3"/>
    <x v="0"/>
    <x v="10"/>
    <x v="0"/>
    <x v="3"/>
    <x v="1"/>
    <n v="0.16"/>
    <n v="0.13639999999999999"/>
    <n v="0.69"/>
    <n v="0.32840000000000003"/>
    <n v="5"/>
    <n v="37"/>
    <n v="42"/>
    <x v="1"/>
    <x v="3"/>
    <x v="1"/>
    <x v="1"/>
    <x v="2"/>
    <n v="68.583333333333329"/>
    <n v="60.180826548477803"/>
    <n v="-0.2230222433973062"/>
    <b v="0"/>
  </r>
  <r>
    <n v="80"/>
    <x v="3"/>
    <x v="0"/>
    <x v="11"/>
    <x v="0"/>
    <x v="3"/>
    <x v="0"/>
    <n v="0.22"/>
    <n v="0.21210000000000001"/>
    <n v="0.51"/>
    <n v="0.29849999999999999"/>
    <n v="7"/>
    <n v="50"/>
    <n v="57"/>
    <x v="0"/>
    <x v="3"/>
    <x v="1"/>
    <x v="1"/>
    <x v="0"/>
    <n v="68.75"/>
    <n v="60.109501527737223"/>
    <n v="-0.4079544406776146"/>
    <b v="0"/>
  </r>
  <r>
    <n v="81"/>
    <x v="3"/>
    <x v="0"/>
    <x v="12"/>
    <x v="0"/>
    <x v="3"/>
    <x v="0"/>
    <n v="0.22"/>
    <n v="0.2273"/>
    <n v="0.51"/>
    <n v="0.16420000000000001"/>
    <n v="12"/>
    <n v="66"/>
    <n v="78"/>
    <x v="0"/>
    <x v="3"/>
    <x v="1"/>
    <x v="2"/>
    <x v="0"/>
    <n v="69.666666666666671"/>
    <n v="60.09027025825516"/>
    <n v="0.11639686249895921"/>
    <b v="0"/>
  </r>
  <r>
    <n v="82"/>
    <x v="3"/>
    <x v="0"/>
    <x v="13"/>
    <x v="0"/>
    <x v="3"/>
    <x v="0"/>
    <n v="0.24"/>
    <n v="0.2273"/>
    <n v="0.56000000000000005"/>
    <n v="0.19400000000000001"/>
    <n v="18"/>
    <n v="79"/>
    <n v="97"/>
    <x v="0"/>
    <x v="3"/>
    <x v="1"/>
    <x v="2"/>
    <x v="0"/>
    <n v="69.375"/>
    <n v="60.065046263269416"/>
    <n v="-9.0624324121482795E-3"/>
    <b v="0"/>
  </r>
  <r>
    <n v="83"/>
    <x v="3"/>
    <x v="0"/>
    <x v="14"/>
    <x v="0"/>
    <x v="3"/>
    <x v="0"/>
    <n v="0.26"/>
    <n v="0.2576"/>
    <n v="0.52"/>
    <n v="0.22389999999999999"/>
    <n v="9"/>
    <n v="54"/>
    <n v="63"/>
    <x v="0"/>
    <x v="3"/>
    <x v="1"/>
    <x v="2"/>
    <x v="0"/>
    <n v="67.916666666666671"/>
    <n v="59.789425171336447"/>
    <n v="-0.15893914769902104"/>
    <b v="0"/>
  </r>
  <r>
    <n v="84"/>
    <x v="3"/>
    <x v="0"/>
    <x v="15"/>
    <x v="0"/>
    <x v="3"/>
    <x v="0"/>
    <n v="0.28000000000000003"/>
    <n v="0.2727"/>
    <n v="0.52"/>
    <n v="0.25369999999999998"/>
    <n v="17"/>
    <n v="48"/>
    <n v="65"/>
    <x v="0"/>
    <x v="3"/>
    <x v="1"/>
    <x v="2"/>
    <x v="0"/>
    <n v="67.875"/>
    <n v="59.793348837620655"/>
    <n v="-0.15893914769902104"/>
    <b v="1"/>
  </r>
  <r>
    <n v="85"/>
    <x v="3"/>
    <x v="0"/>
    <x v="16"/>
    <x v="0"/>
    <x v="3"/>
    <x v="0"/>
    <n v="0.3"/>
    <n v="0.28789999999999999"/>
    <n v="0.49"/>
    <n v="0.25369999999999998"/>
    <n v="15"/>
    <n v="68"/>
    <n v="83"/>
    <x v="0"/>
    <x v="3"/>
    <x v="1"/>
    <x v="2"/>
    <x v="1"/>
    <n v="68.875"/>
    <n v="59.943678275673001"/>
    <n v="0.27589108783940208"/>
    <b v="0"/>
  </r>
  <r>
    <n v="86"/>
    <x v="3"/>
    <x v="0"/>
    <x v="17"/>
    <x v="0"/>
    <x v="3"/>
    <x v="0"/>
    <n v="0.28000000000000003"/>
    <n v="0.2727"/>
    <n v="0.48"/>
    <n v="0.22389999999999999"/>
    <n v="10"/>
    <n v="202"/>
    <n v="212"/>
    <x v="0"/>
    <x v="3"/>
    <x v="1"/>
    <x v="3"/>
    <x v="0"/>
    <n v="73.333333333333329"/>
    <n v="64.820599695833849"/>
    <n v="1.8070211763387019"/>
    <b v="0"/>
  </r>
  <r>
    <n v="87"/>
    <x v="3"/>
    <x v="0"/>
    <x v="18"/>
    <x v="0"/>
    <x v="3"/>
    <x v="0"/>
    <n v="0.26"/>
    <n v="0.2576"/>
    <n v="0.48"/>
    <n v="0.19400000000000001"/>
    <n v="3"/>
    <n v="179"/>
    <n v="182"/>
    <x v="0"/>
    <x v="3"/>
    <x v="1"/>
    <x v="3"/>
    <x v="0"/>
    <n v="71.541666666666671"/>
    <n v="61.320951215477848"/>
    <n v="1.5386512577483049"/>
    <b v="0"/>
  </r>
  <r>
    <n v="88"/>
    <x v="3"/>
    <x v="0"/>
    <x v="19"/>
    <x v="0"/>
    <x v="3"/>
    <x v="0"/>
    <n v="0.24"/>
    <n v="0.2576"/>
    <n v="0.48"/>
    <n v="0.1045"/>
    <n v="2"/>
    <n v="110"/>
    <n v="112"/>
    <x v="0"/>
    <x v="3"/>
    <x v="1"/>
    <x v="3"/>
    <x v="0"/>
    <n v="69.458333333333329"/>
    <n v="58.173637512616274"/>
    <n v="1.019009616398399"/>
    <b v="0"/>
  </r>
  <r>
    <n v="89"/>
    <x v="3"/>
    <x v="0"/>
    <x v="20"/>
    <x v="0"/>
    <x v="3"/>
    <x v="0"/>
    <n v="0.24"/>
    <n v="0.2576"/>
    <n v="0.48"/>
    <n v="0.1045"/>
    <n v="1"/>
    <n v="53"/>
    <n v="54"/>
    <x v="0"/>
    <x v="3"/>
    <x v="1"/>
    <x v="3"/>
    <x v="0"/>
    <n v="68.5"/>
    <n v="57.629249819710552"/>
    <n v="0.33603179653410925"/>
    <b v="0"/>
  </r>
  <r>
    <n v="90"/>
    <x v="3"/>
    <x v="0"/>
    <x v="21"/>
    <x v="0"/>
    <x v="3"/>
    <x v="0"/>
    <n v="0.22"/>
    <n v="0.2727"/>
    <n v="0.64"/>
    <n v="0"/>
    <n v="0"/>
    <n v="48"/>
    <n v="48"/>
    <x v="0"/>
    <x v="3"/>
    <x v="1"/>
    <x v="0"/>
    <x v="0"/>
    <n v="68.041666666666671"/>
    <n v="57.793093589689995"/>
    <n v="-0.44037824937526121"/>
    <b v="0"/>
  </r>
  <r>
    <n v="91"/>
    <x v="3"/>
    <x v="0"/>
    <x v="22"/>
    <x v="0"/>
    <x v="3"/>
    <x v="0"/>
    <n v="0.22"/>
    <n v="0.2576"/>
    <n v="0.64"/>
    <n v="8.9599999999999999E-2"/>
    <n v="1"/>
    <n v="34"/>
    <n v="35"/>
    <x v="0"/>
    <x v="3"/>
    <x v="1"/>
    <x v="0"/>
    <x v="0"/>
    <n v="67.791666666666671"/>
    <n v="57.896443659397569"/>
    <n v="-0.46564503291257509"/>
    <b v="0"/>
  </r>
  <r>
    <n v="92"/>
    <x v="3"/>
    <x v="0"/>
    <x v="23"/>
    <x v="0"/>
    <x v="3"/>
    <x v="0"/>
    <n v="0.2"/>
    <n v="0.2273"/>
    <n v="0.69"/>
    <n v="8.9599999999999999E-2"/>
    <n v="2"/>
    <n v="9"/>
    <n v="11"/>
    <x v="0"/>
    <x v="3"/>
    <x v="1"/>
    <x v="0"/>
    <x v="0"/>
    <n v="67.125"/>
    <n v="58.380545076919766"/>
    <n v="-0.84821086059243633"/>
    <b v="0"/>
  </r>
  <r>
    <n v="93"/>
    <x v="4"/>
    <x v="0"/>
    <x v="0"/>
    <x v="0"/>
    <x v="4"/>
    <x v="0"/>
    <n v="0.2"/>
    <n v="0.2576"/>
    <n v="0.64"/>
    <n v="0"/>
    <n v="0"/>
    <n v="6"/>
    <n v="6"/>
    <x v="0"/>
    <x v="4"/>
    <x v="1"/>
    <x v="0"/>
    <x v="0"/>
    <n v="67.125"/>
    <n v="58.380545076919766"/>
    <n v="-0.98478341808483827"/>
    <b v="1"/>
  </r>
  <r>
    <n v="94"/>
    <x v="4"/>
    <x v="0"/>
    <x v="1"/>
    <x v="0"/>
    <x v="4"/>
    <x v="0"/>
    <n v="0.16"/>
    <n v="0.19700000000000001"/>
    <n v="0.74"/>
    <n v="8.9599999999999999E-2"/>
    <n v="0"/>
    <n v="6"/>
    <n v="6"/>
    <x v="0"/>
    <x v="4"/>
    <x v="1"/>
    <x v="0"/>
    <x v="2"/>
    <n v="67.041666666666671"/>
    <n v="58.472943699864608"/>
    <n v="-1.1002412431035293"/>
    <b v="1"/>
  </r>
  <r>
    <n v="95"/>
    <x v="4"/>
    <x v="0"/>
    <x v="2"/>
    <x v="0"/>
    <x v="4"/>
    <x v="0"/>
    <n v="0.16"/>
    <n v="0.19700000000000001"/>
    <n v="0.74"/>
    <n v="8.9599999999999999E-2"/>
    <n v="0"/>
    <n v="2"/>
    <n v="2"/>
    <x v="0"/>
    <x v="4"/>
    <x v="1"/>
    <x v="0"/>
    <x v="2"/>
    <n v="66.875"/>
    <n v="58.659898530871786"/>
    <n v="-1.1298786432328825"/>
    <b v="0"/>
  </r>
  <r>
    <n v="96"/>
    <x v="4"/>
    <x v="0"/>
    <x v="4"/>
    <x v="0"/>
    <x v="4"/>
    <x v="0"/>
    <n v="0.24"/>
    <n v="0.2273"/>
    <n v="0.48"/>
    <n v="0.22389999999999999"/>
    <n v="0"/>
    <n v="2"/>
    <n v="2"/>
    <x v="0"/>
    <x v="4"/>
    <x v="1"/>
    <x v="0"/>
    <x v="0"/>
    <n v="66.833333333333329"/>
    <n v="58.708318547431304"/>
    <n v="-1.1454722371542045"/>
    <b v="0"/>
  </r>
  <r>
    <n v="97"/>
    <x v="4"/>
    <x v="0"/>
    <x v="5"/>
    <x v="0"/>
    <x v="4"/>
    <x v="0"/>
    <n v="0.22"/>
    <n v="0.2273"/>
    <n v="0.47"/>
    <n v="0.16420000000000001"/>
    <n v="0"/>
    <n v="3"/>
    <n v="3"/>
    <x v="0"/>
    <x v="4"/>
    <x v="1"/>
    <x v="0"/>
    <x v="0"/>
    <n v="66.916666666666671"/>
    <n v="58.613632979149934"/>
    <n v="-1.1001981056687542"/>
    <b v="0"/>
  </r>
  <r>
    <n v="98"/>
    <x v="4"/>
    <x v="0"/>
    <x v="6"/>
    <x v="0"/>
    <x v="4"/>
    <x v="0"/>
    <n v="0.2"/>
    <n v="0.19700000000000001"/>
    <n v="0.47"/>
    <n v="0.22389999999999999"/>
    <n v="0"/>
    <n v="33"/>
    <n v="33"/>
    <x v="0"/>
    <x v="4"/>
    <x v="1"/>
    <x v="1"/>
    <x v="0"/>
    <n v="68.291666666666671"/>
    <n v="57.424036148082031"/>
    <n v="-0.5783133574903726"/>
    <b v="0"/>
  </r>
  <r>
    <n v="99"/>
    <x v="4"/>
    <x v="0"/>
    <x v="7"/>
    <x v="0"/>
    <x v="4"/>
    <x v="0"/>
    <n v="0.18"/>
    <n v="0.18179999999999999"/>
    <n v="0.43"/>
    <n v="0.19400000000000001"/>
    <n v="1"/>
    <n v="87"/>
    <n v="88"/>
    <x v="0"/>
    <x v="4"/>
    <x v="1"/>
    <x v="1"/>
    <x v="2"/>
    <n v="70.875"/>
    <n v="57.161337267954721"/>
    <n v="0.43224546802703906"/>
    <b v="0"/>
  </r>
  <r>
    <n v="100"/>
    <x v="4"/>
    <x v="0"/>
    <x v="8"/>
    <x v="0"/>
    <x v="4"/>
    <x v="0"/>
    <n v="0.2"/>
    <n v="0.18179999999999999"/>
    <n v="0.4"/>
    <n v="0.29849999999999999"/>
    <n v="3"/>
    <n v="192"/>
    <n v="195"/>
    <x v="0"/>
    <x v="4"/>
    <x v="1"/>
    <x v="1"/>
    <x v="0"/>
    <n v="76.333333333333329"/>
    <n v="64.633862888458538"/>
    <n v="2.282596251894021"/>
    <b v="0"/>
  </r>
  <r>
    <n v="101"/>
    <x v="4"/>
    <x v="0"/>
    <x v="9"/>
    <x v="0"/>
    <x v="4"/>
    <x v="0"/>
    <n v="0.22"/>
    <n v="0.19700000000000001"/>
    <n v="0.37"/>
    <n v="0.32840000000000003"/>
    <n v="6"/>
    <n v="109"/>
    <n v="115"/>
    <x v="0"/>
    <x v="4"/>
    <x v="1"/>
    <x v="1"/>
    <x v="0"/>
    <n v="73.291666666666671"/>
    <n v="60.384621686584111"/>
    <n v="0.88563768008377264"/>
    <b v="0"/>
  </r>
  <r>
    <n v="102"/>
    <x v="4"/>
    <x v="0"/>
    <x v="10"/>
    <x v="0"/>
    <x v="4"/>
    <x v="0"/>
    <n v="0.22"/>
    <n v="0.19700000000000001"/>
    <n v="0.37"/>
    <n v="0.32840000000000003"/>
    <n v="4"/>
    <n v="53"/>
    <n v="57"/>
    <x v="0"/>
    <x v="4"/>
    <x v="1"/>
    <x v="1"/>
    <x v="0"/>
    <n v="70.375"/>
    <n v="59.971596537897405"/>
    <n v="-0.44139082309365923"/>
    <b v="0"/>
  </r>
  <r>
    <n v="103"/>
    <x v="4"/>
    <x v="0"/>
    <x v="11"/>
    <x v="0"/>
    <x v="4"/>
    <x v="0"/>
    <n v="0.26"/>
    <n v="0.2273"/>
    <n v="0.33"/>
    <n v="0.32840000000000003"/>
    <n v="12"/>
    <n v="34"/>
    <n v="46"/>
    <x v="0"/>
    <x v="4"/>
    <x v="1"/>
    <x v="1"/>
    <x v="0"/>
    <n v="70.458333333333329"/>
    <n v="59.953590142830414"/>
    <n v="-0.20657928609447451"/>
    <b v="0"/>
  </r>
  <r>
    <n v="104"/>
    <x v="4"/>
    <x v="0"/>
    <x v="12"/>
    <x v="0"/>
    <x v="4"/>
    <x v="0"/>
    <n v="0.26"/>
    <n v="0.2273"/>
    <n v="0.33"/>
    <n v="0.32840000000000003"/>
    <n v="5"/>
    <n v="74"/>
    <n v="79"/>
    <x v="0"/>
    <x v="4"/>
    <x v="1"/>
    <x v="2"/>
    <x v="0"/>
    <n v="72.041666666666671"/>
    <n v="59.781107359277385"/>
    <n v="0.24578411411240381"/>
    <b v="0"/>
  </r>
  <r>
    <n v="105"/>
    <x v="4"/>
    <x v="0"/>
    <x v="13"/>
    <x v="0"/>
    <x v="4"/>
    <x v="0"/>
    <n v="0.28000000000000003"/>
    <n v="0.2576"/>
    <n v="0.3"/>
    <n v="0.29849999999999999"/>
    <n v="6"/>
    <n v="65"/>
    <n v="71"/>
    <x v="0"/>
    <x v="4"/>
    <x v="1"/>
    <x v="2"/>
    <x v="0"/>
    <n v="71.541666666666671"/>
    <n v="59.770560709568649"/>
    <n v="-5.3599481803289876E-2"/>
    <b v="0"/>
  </r>
  <r>
    <n v="106"/>
    <x v="4"/>
    <x v="0"/>
    <x v="14"/>
    <x v="0"/>
    <x v="4"/>
    <x v="0"/>
    <n v="0.3"/>
    <n v="0.28789999999999999"/>
    <n v="0.28000000000000003"/>
    <n v="0.19400000000000001"/>
    <n v="10"/>
    <n v="52"/>
    <n v="62"/>
    <x v="0"/>
    <x v="4"/>
    <x v="1"/>
    <x v="2"/>
    <x v="1"/>
    <n v="71.5"/>
    <n v="59.771303278849238"/>
    <n v="1.3552137553443448E-2"/>
    <b v="0"/>
  </r>
  <r>
    <n v="107"/>
    <x v="4"/>
    <x v="0"/>
    <x v="15"/>
    <x v="0"/>
    <x v="4"/>
    <x v="0"/>
    <n v="0.3"/>
    <n v="0.28789999999999999"/>
    <n v="0.28000000000000003"/>
    <n v="0.19400000000000001"/>
    <n v="7"/>
    <n v="55"/>
    <n v="62"/>
    <x v="0"/>
    <x v="4"/>
    <x v="1"/>
    <x v="2"/>
    <x v="1"/>
    <n v="71.5"/>
    <n v="59.771303278849238"/>
    <n v="-0.13250336276781269"/>
    <b v="1"/>
  </r>
  <r>
    <n v="108"/>
    <x v="4"/>
    <x v="0"/>
    <x v="16"/>
    <x v="0"/>
    <x v="4"/>
    <x v="0"/>
    <n v="0.3"/>
    <n v="0.31819999999999998"/>
    <n v="0.28000000000000003"/>
    <n v="8.9599999999999999E-2"/>
    <n v="4"/>
    <n v="85"/>
    <n v="89"/>
    <x v="0"/>
    <x v="4"/>
    <x v="1"/>
    <x v="2"/>
    <x v="1"/>
    <n v="72.5"/>
    <n v="59.806208780490778"/>
    <n v="0.28185820462758487"/>
    <b v="1"/>
  </r>
  <r>
    <n v="109"/>
    <x v="4"/>
    <x v="0"/>
    <x v="17"/>
    <x v="0"/>
    <x v="4"/>
    <x v="0"/>
    <n v="0.24"/>
    <n v="0.2273"/>
    <n v="0.38"/>
    <n v="0.19400000000000001"/>
    <n v="4"/>
    <n v="186"/>
    <n v="190"/>
    <x v="0"/>
    <x v="4"/>
    <x v="1"/>
    <x v="3"/>
    <x v="0"/>
    <n v="75.958333333333329"/>
    <n v="63.110310028426085"/>
    <n v="1.615690293563983"/>
    <b v="0"/>
  </r>
  <r>
    <n v="110"/>
    <x v="4"/>
    <x v="0"/>
    <x v="18"/>
    <x v="0"/>
    <x v="4"/>
    <x v="0"/>
    <n v="0.24"/>
    <n v="0.2424"/>
    <n v="0.38"/>
    <n v="0.1343"/>
    <n v="3"/>
    <n v="166"/>
    <n v="169"/>
    <x v="0"/>
    <x v="4"/>
    <x v="1"/>
    <x v="3"/>
    <x v="0"/>
    <n v="74.833333333333329"/>
    <n v="61.200786203153129"/>
    <n v="1.5698454902661314"/>
    <b v="0"/>
  </r>
  <r>
    <n v="111"/>
    <x v="4"/>
    <x v="0"/>
    <x v="19"/>
    <x v="0"/>
    <x v="4"/>
    <x v="0"/>
    <n v="0.24"/>
    <n v="0.2576"/>
    <n v="0.38"/>
    <n v="0.1045"/>
    <n v="5"/>
    <n v="127"/>
    <n v="132"/>
    <x v="0"/>
    <x v="4"/>
    <x v="1"/>
    <x v="3"/>
    <x v="0"/>
    <n v="72.458333333333329"/>
    <n v="58.430917342185168"/>
    <n v="0.77496676021540867"/>
    <b v="0"/>
  </r>
  <r>
    <n v="112"/>
    <x v="4"/>
    <x v="0"/>
    <x v="20"/>
    <x v="0"/>
    <x v="4"/>
    <x v="0"/>
    <n v="0.22"/>
    <n v="0.2273"/>
    <n v="0.47"/>
    <n v="0.16420000000000001"/>
    <n v="7"/>
    <n v="82"/>
    <n v="89"/>
    <x v="0"/>
    <x v="4"/>
    <x v="1"/>
    <x v="3"/>
    <x v="0"/>
    <n v="69.833333333333329"/>
    <n v="57.038253118767408"/>
    <n v="3.3992372298120292E-2"/>
    <b v="0"/>
  </r>
  <r>
    <n v="113"/>
    <x v="4"/>
    <x v="0"/>
    <x v="21"/>
    <x v="0"/>
    <x v="4"/>
    <x v="0"/>
    <n v="0.2"/>
    <n v="0.19700000000000001"/>
    <n v="0.51"/>
    <n v="0.19400000000000001"/>
    <n v="3"/>
    <n v="40"/>
    <n v="43"/>
    <x v="0"/>
    <x v="4"/>
    <x v="1"/>
    <x v="0"/>
    <x v="0"/>
    <n v="68.125"/>
    <n v="57.053226483468165"/>
    <n v="-0.33034558582745649"/>
    <b v="0"/>
  </r>
  <r>
    <n v="114"/>
    <x v="4"/>
    <x v="0"/>
    <x v="22"/>
    <x v="0"/>
    <x v="4"/>
    <x v="0"/>
    <n v="0.18"/>
    <n v="0.19700000000000001"/>
    <n v="0.55000000000000004"/>
    <n v="0.1343"/>
    <n v="1"/>
    <n v="41"/>
    <n v="42"/>
    <x v="0"/>
    <x v="4"/>
    <x v="1"/>
    <x v="0"/>
    <x v="2"/>
    <n v="68.5"/>
    <n v="56.910303185764633"/>
    <n v="-0.24634314924427309"/>
    <b v="0"/>
  </r>
  <r>
    <n v="115"/>
    <x v="4"/>
    <x v="0"/>
    <x v="23"/>
    <x v="0"/>
    <x v="4"/>
    <x v="0"/>
    <n v="0.2"/>
    <n v="0.2576"/>
    <n v="0.47"/>
    <n v="0"/>
    <n v="1"/>
    <n v="18"/>
    <n v="19"/>
    <x v="0"/>
    <x v="4"/>
    <x v="1"/>
    <x v="0"/>
    <x v="0"/>
    <n v="67.708333333333329"/>
    <n v="57.424793287028649"/>
    <n v="-0.73814039880002236"/>
    <b v="0"/>
  </r>
  <r>
    <n v="116"/>
    <x v="5"/>
    <x v="0"/>
    <x v="0"/>
    <x v="0"/>
    <x v="5"/>
    <x v="0"/>
    <n v="0.18"/>
    <n v="0.2424"/>
    <n v="0.55000000000000004"/>
    <n v="0"/>
    <n v="0"/>
    <n v="11"/>
    <n v="11"/>
    <x v="0"/>
    <x v="5"/>
    <x v="1"/>
    <x v="0"/>
    <x v="2"/>
    <n v="67.625"/>
    <n v="57.499952741001373"/>
    <n v="-0.84895765994549777"/>
    <b v="1"/>
  </r>
  <r>
    <n v="117"/>
    <x v="5"/>
    <x v="0"/>
    <x v="1"/>
    <x v="0"/>
    <x v="5"/>
    <x v="0"/>
    <n v="0.16"/>
    <n v="0.2273"/>
    <n v="0.64"/>
    <n v="0"/>
    <n v="0"/>
    <n v="4"/>
    <n v="4"/>
    <x v="0"/>
    <x v="5"/>
    <x v="1"/>
    <x v="0"/>
    <x v="2"/>
    <n v="67.458333333333329"/>
    <n v="57.676744742209323"/>
    <n v="-1.0283009636117193"/>
    <b v="1"/>
  </r>
  <r>
    <n v="118"/>
    <x v="5"/>
    <x v="0"/>
    <x v="2"/>
    <x v="0"/>
    <x v="5"/>
    <x v="0"/>
    <n v="0.16"/>
    <n v="0.2273"/>
    <n v="0.64"/>
    <n v="0"/>
    <n v="0"/>
    <n v="2"/>
    <n v="2"/>
    <x v="0"/>
    <x v="5"/>
    <x v="1"/>
    <x v="0"/>
    <x v="2"/>
    <n v="67.333333333333329"/>
    <n v="57.823319101241999"/>
    <n v="-1.1512378754818249"/>
    <b v="1"/>
  </r>
  <r>
    <n v="119"/>
    <x v="5"/>
    <x v="0"/>
    <x v="4"/>
    <x v="0"/>
    <x v="5"/>
    <x v="1"/>
    <n v="0.16"/>
    <n v="0.19700000000000001"/>
    <n v="0.64"/>
    <n v="8.9599999999999999E-2"/>
    <n v="0"/>
    <n v="1"/>
    <n v="1"/>
    <x v="1"/>
    <x v="5"/>
    <x v="1"/>
    <x v="0"/>
    <x v="2"/>
    <n v="67.291666666666671"/>
    <n v="57.872783395746694"/>
    <n v="-1.161859687709131"/>
    <b v="0"/>
  </r>
  <r>
    <n v="120"/>
    <x v="5"/>
    <x v="0"/>
    <x v="5"/>
    <x v="0"/>
    <x v="5"/>
    <x v="1"/>
    <n v="0.14000000000000001"/>
    <n v="0.18179999999999999"/>
    <n v="0.69"/>
    <n v="8.9599999999999999E-2"/>
    <n v="0"/>
    <n v="4"/>
    <n v="4"/>
    <x v="1"/>
    <x v="5"/>
    <x v="1"/>
    <x v="0"/>
    <x v="2"/>
    <n v="67.458333333333329"/>
    <n v="57.679006177492241"/>
    <n v="-1.0887196680238349"/>
    <b v="0"/>
  </r>
  <r>
    <n v="121"/>
    <x v="5"/>
    <x v="0"/>
    <x v="6"/>
    <x v="0"/>
    <x v="5"/>
    <x v="1"/>
    <n v="0.14000000000000001"/>
    <n v="0.16669999999999999"/>
    <n v="0.63"/>
    <n v="0.1045"/>
    <n v="0"/>
    <n v="36"/>
    <n v="36"/>
    <x v="1"/>
    <x v="5"/>
    <x v="1"/>
    <x v="1"/>
    <x v="2"/>
    <n v="68.708333333333329"/>
    <n v="56.558149504402266"/>
    <n v="-0.55845452530543804"/>
    <b v="0"/>
  </r>
  <r>
    <n v="122"/>
    <x v="5"/>
    <x v="0"/>
    <x v="7"/>
    <x v="0"/>
    <x v="5"/>
    <x v="1"/>
    <n v="0.16"/>
    <n v="0.2273"/>
    <n v="0.59"/>
    <n v="0"/>
    <n v="0"/>
    <n v="95"/>
    <n v="95"/>
    <x v="1"/>
    <x v="5"/>
    <x v="1"/>
    <x v="1"/>
    <x v="2"/>
    <n v="70.708333333333329"/>
    <n v="56.198776999431971"/>
    <n v="0.37231367435476354"/>
    <b v="0"/>
  </r>
  <r>
    <n v="123"/>
    <x v="5"/>
    <x v="0"/>
    <x v="8"/>
    <x v="0"/>
    <x v="5"/>
    <x v="0"/>
    <n v="0.16"/>
    <n v="0.2273"/>
    <n v="0.59"/>
    <n v="0"/>
    <n v="3"/>
    <n v="216"/>
    <n v="219"/>
    <x v="0"/>
    <x v="5"/>
    <x v="1"/>
    <x v="1"/>
    <x v="2"/>
    <n v="75.5"/>
    <n v="62.86700938938656"/>
    <n v="2.6430079198649619"/>
    <b v="0"/>
  </r>
  <r>
    <n v="124"/>
    <x v="5"/>
    <x v="0"/>
    <x v="9"/>
    <x v="0"/>
    <x v="5"/>
    <x v="1"/>
    <n v="0.18"/>
    <n v="0.2424"/>
    <n v="0.51"/>
    <n v="0"/>
    <n v="6"/>
    <n v="116"/>
    <n v="122"/>
    <x v="1"/>
    <x v="5"/>
    <x v="1"/>
    <x v="1"/>
    <x v="2"/>
    <n v="71.958333333333329"/>
    <n v="56.503542918288232"/>
    <n v="1.7258763338899801"/>
    <b v="0"/>
  </r>
  <r>
    <n v="125"/>
    <x v="5"/>
    <x v="0"/>
    <x v="10"/>
    <x v="0"/>
    <x v="5"/>
    <x v="0"/>
    <n v="0.2"/>
    <n v="0.2576"/>
    <n v="0.47"/>
    <n v="0"/>
    <n v="3"/>
    <n v="42"/>
    <n v="45"/>
    <x v="0"/>
    <x v="5"/>
    <x v="1"/>
    <x v="1"/>
    <x v="0"/>
    <n v="69.5"/>
    <n v="55.506364695763772"/>
    <n v="0.35418443723417176"/>
    <b v="0"/>
  </r>
  <r>
    <n v="126"/>
    <x v="5"/>
    <x v="0"/>
    <x v="11"/>
    <x v="0"/>
    <x v="5"/>
    <x v="0"/>
    <n v="0.22"/>
    <n v="0.2576"/>
    <n v="0.44"/>
    <n v="8.9599999999999999E-2"/>
    <n v="2"/>
    <n v="57"/>
    <n v="59"/>
    <x v="0"/>
    <x v="5"/>
    <x v="1"/>
    <x v="1"/>
    <x v="0"/>
    <n v="70.416666666666671"/>
    <n v="55.2653021631874"/>
    <n v="0.44605726614204455"/>
    <b v="0"/>
  </r>
  <r>
    <n v="127"/>
    <x v="5"/>
    <x v="0"/>
    <x v="12"/>
    <x v="0"/>
    <x v="5"/>
    <x v="0"/>
    <n v="0.26"/>
    <n v="0.28789999999999999"/>
    <n v="0.35"/>
    <n v="0"/>
    <n v="6"/>
    <n v="78"/>
    <n v="84"/>
    <x v="0"/>
    <x v="5"/>
    <x v="1"/>
    <x v="2"/>
    <x v="0"/>
    <n v="70.416666666666671"/>
    <n v="55.2653021631874"/>
    <n v="0.27170838973373651"/>
    <b v="0"/>
  </r>
  <r>
    <n v="128"/>
    <x v="5"/>
    <x v="0"/>
    <x v="13"/>
    <x v="0"/>
    <x v="5"/>
    <x v="0"/>
    <n v="0.26"/>
    <n v="0.2727"/>
    <n v="0.35"/>
    <n v="0.1045"/>
    <n v="12"/>
    <n v="55"/>
    <n v="67"/>
    <x v="0"/>
    <x v="5"/>
    <x v="1"/>
    <x v="2"/>
    <x v="0"/>
    <n v="69.958333333333329"/>
    <n v="55.193319670335867"/>
    <n v="0.5360158311829365"/>
    <b v="0"/>
  </r>
  <r>
    <n v="129"/>
    <x v="5"/>
    <x v="0"/>
    <x v="14"/>
    <x v="0"/>
    <x v="5"/>
    <x v="0"/>
    <n v="0.28000000000000003"/>
    <n v="0.2727"/>
    <n v="0.36"/>
    <n v="0.16420000000000001"/>
    <n v="11"/>
    <n v="59"/>
    <n v="70"/>
    <x v="0"/>
    <x v="5"/>
    <x v="1"/>
    <x v="2"/>
    <x v="0"/>
    <n v="69.25"/>
    <n v="55.341823165706678"/>
    <n v="5.355880667091987E-3"/>
    <b v="0"/>
  </r>
  <r>
    <n v="130"/>
    <x v="5"/>
    <x v="0"/>
    <x v="15"/>
    <x v="0"/>
    <x v="5"/>
    <x v="0"/>
    <n v="0.28000000000000003"/>
    <n v="0.2727"/>
    <n v="0.36"/>
    <n v="0"/>
    <n v="8"/>
    <n v="54"/>
    <n v="62"/>
    <x v="0"/>
    <x v="5"/>
    <x v="1"/>
    <x v="2"/>
    <x v="0"/>
    <n v="69.333333333333329"/>
    <n v="55.344507340418374"/>
    <n v="0.42819766029133005"/>
    <b v="0"/>
  </r>
  <r>
    <n v="131"/>
    <x v="5"/>
    <x v="0"/>
    <x v="16"/>
    <x v="0"/>
    <x v="5"/>
    <x v="0"/>
    <n v="0.26"/>
    <n v="0.2576"/>
    <n v="0.38"/>
    <n v="0.16420000000000001"/>
    <n v="12"/>
    <n v="74"/>
    <n v="86"/>
    <x v="0"/>
    <x v="5"/>
    <x v="1"/>
    <x v="2"/>
    <x v="0"/>
    <n v="70.375"/>
    <n v="55.435675610880601"/>
    <n v="0.74107695036990417"/>
    <b v="0"/>
  </r>
  <r>
    <n v="132"/>
    <x v="5"/>
    <x v="0"/>
    <x v="17"/>
    <x v="0"/>
    <x v="5"/>
    <x v="0"/>
    <n v="0.22"/>
    <n v="0.2273"/>
    <n v="0.51"/>
    <n v="0.16420000000000001"/>
    <n v="9"/>
    <n v="163"/>
    <n v="172"/>
    <x v="0"/>
    <x v="5"/>
    <x v="1"/>
    <x v="3"/>
    <x v="0"/>
    <n v="74.583333333333329"/>
    <n v="60.294146133526219"/>
    <n v="2.8687852120586306"/>
    <b v="0"/>
  </r>
  <r>
    <n v="133"/>
    <x v="5"/>
    <x v="0"/>
    <x v="18"/>
    <x v="0"/>
    <x v="5"/>
    <x v="0"/>
    <n v="0.22"/>
    <n v="0.2273"/>
    <n v="0.51"/>
    <n v="0.1343"/>
    <n v="5"/>
    <n v="158"/>
    <n v="163"/>
    <x v="0"/>
    <x v="5"/>
    <x v="1"/>
    <x v="3"/>
    <x v="0"/>
    <n v="72.541666666666671"/>
    <n v="57.622443669916962"/>
    <n v="2.0299485642209367"/>
    <b v="0"/>
  </r>
  <r>
    <n v="134"/>
    <x v="5"/>
    <x v="0"/>
    <x v="19"/>
    <x v="0"/>
    <x v="5"/>
    <x v="0"/>
    <n v="0.22"/>
    <n v="0.2576"/>
    <n v="0.55000000000000004"/>
    <n v="8.9599999999999999E-2"/>
    <n v="3"/>
    <n v="109"/>
    <n v="112"/>
    <x v="0"/>
    <x v="5"/>
    <x v="1"/>
    <x v="3"/>
    <x v="0"/>
    <n v="69.708333333333329"/>
    <n v="54.572233078630802"/>
    <n v="1.5083653305684892"/>
    <b v="0"/>
  </r>
  <r>
    <n v="135"/>
    <x v="5"/>
    <x v="0"/>
    <x v="20"/>
    <x v="0"/>
    <x v="5"/>
    <x v="0"/>
    <n v="0.2"/>
    <n v="0.21210000000000001"/>
    <n v="0.51"/>
    <n v="0.16420000000000001"/>
    <n v="3"/>
    <n v="66"/>
    <n v="69"/>
    <x v="0"/>
    <x v="5"/>
    <x v="1"/>
    <x v="3"/>
    <x v="0"/>
    <n v="67.166666666666671"/>
    <n v="53.933668331665928"/>
    <n v="0.31493196974685589"/>
    <b v="1"/>
  </r>
  <r>
    <n v="136"/>
    <x v="5"/>
    <x v="0"/>
    <x v="21"/>
    <x v="0"/>
    <x v="5"/>
    <x v="1"/>
    <n v="0.22"/>
    <n v="0.21210000000000001"/>
    <n v="0.55000000000000004"/>
    <n v="0.22389999999999999"/>
    <n v="0"/>
    <n v="48"/>
    <n v="48"/>
    <x v="1"/>
    <x v="5"/>
    <x v="1"/>
    <x v="0"/>
    <x v="0"/>
    <n v="65.916666666666671"/>
    <n v="54.236131600755712"/>
    <n v="-2.5688874730144824E-2"/>
    <b v="1"/>
  </r>
  <r>
    <n v="137"/>
    <x v="5"/>
    <x v="0"/>
    <x v="22"/>
    <x v="0"/>
    <x v="5"/>
    <x v="1"/>
    <n v="0.22"/>
    <n v="0.21210000000000001"/>
    <n v="0.51"/>
    <n v="0.28360000000000002"/>
    <n v="1"/>
    <n v="51"/>
    <n v="52"/>
    <x v="1"/>
    <x v="5"/>
    <x v="1"/>
    <x v="0"/>
    <x v="0"/>
    <n v="65.416666666666671"/>
    <n v="54.46332365168697"/>
    <n v="-0.1155828253724383"/>
    <b v="1"/>
  </r>
  <r>
    <n v="138"/>
    <x v="5"/>
    <x v="0"/>
    <x v="23"/>
    <x v="0"/>
    <x v="5"/>
    <x v="1"/>
    <n v="0.2"/>
    <n v="0.19700000000000001"/>
    <n v="0.59"/>
    <n v="0.19400000000000001"/>
    <n v="4"/>
    <n v="19"/>
    <n v="23"/>
    <x v="1"/>
    <x v="5"/>
    <x v="1"/>
    <x v="0"/>
    <x v="0"/>
    <n v="63.875"/>
    <n v="55.375644073200078"/>
    <n v="-0.75998260268713758"/>
    <b v="0"/>
  </r>
  <r>
    <n v="139"/>
    <x v="6"/>
    <x v="0"/>
    <x v="0"/>
    <x v="0"/>
    <x v="6"/>
    <x v="1"/>
    <n v="0.2"/>
    <n v="0.19700000000000001"/>
    <n v="0.64"/>
    <n v="0.19400000000000001"/>
    <n v="4"/>
    <n v="13"/>
    <n v="17"/>
    <x v="1"/>
    <x v="6"/>
    <x v="1"/>
    <x v="0"/>
    <x v="0"/>
    <n v="63.958333333333336"/>
    <n v="55.312927309411421"/>
    <n v="-0.46373201493421362"/>
    <b v="0"/>
  </r>
  <r>
    <n v="140"/>
    <x v="6"/>
    <x v="0"/>
    <x v="1"/>
    <x v="0"/>
    <x v="6"/>
    <x v="1"/>
    <n v="0.2"/>
    <n v="0.19700000000000001"/>
    <n v="0.69"/>
    <n v="0.22389999999999999"/>
    <n v="2"/>
    <n v="5"/>
    <n v="7"/>
    <x v="1"/>
    <x v="6"/>
    <x v="1"/>
    <x v="0"/>
    <x v="0"/>
    <n v="63.916666666666664"/>
    <n v="55.350202597065817"/>
    <n v="-0.74274626347401906"/>
    <b v="0"/>
  </r>
  <r>
    <n v="141"/>
    <x v="6"/>
    <x v="0"/>
    <x v="2"/>
    <x v="0"/>
    <x v="6"/>
    <x v="1"/>
    <n v="0.2"/>
    <n v="0.19700000000000001"/>
    <n v="0.69"/>
    <n v="0.22389999999999999"/>
    <n v="0"/>
    <n v="1"/>
    <n v="1"/>
    <x v="1"/>
    <x v="6"/>
    <x v="1"/>
    <x v="0"/>
    <x v="0"/>
    <n v="64.291666666666671"/>
    <n v="54.977053843174993"/>
    <n v="-0.73440989203297014"/>
    <b v="0"/>
  </r>
  <r>
    <n v="142"/>
    <x v="6"/>
    <x v="0"/>
    <x v="4"/>
    <x v="0"/>
    <x v="6"/>
    <x v="1"/>
    <n v="0.2"/>
    <n v="0.21210000000000001"/>
    <n v="0.69"/>
    <n v="0.1343"/>
    <n v="0"/>
    <n v="1"/>
    <n v="1"/>
    <x v="1"/>
    <x v="6"/>
    <x v="1"/>
    <x v="0"/>
    <x v="0"/>
    <n v="64.541666666666671"/>
    <n v="54.689621594457272"/>
    <n v="-1.0003823008918709"/>
    <b v="0"/>
  </r>
  <r>
    <n v="143"/>
    <x v="6"/>
    <x v="0"/>
    <x v="5"/>
    <x v="0"/>
    <x v="6"/>
    <x v="2"/>
    <n v="0.22"/>
    <n v="0.2727"/>
    <n v="0.55000000000000004"/>
    <n v="0"/>
    <n v="0"/>
    <n v="5"/>
    <n v="5"/>
    <x v="2"/>
    <x v="6"/>
    <x v="1"/>
    <x v="0"/>
    <x v="0"/>
    <n v="64.541666666666671"/>
    <n v="54.689621594457272"/>
    <n v="-1.1758498981492318"/>
    <b v="0"/>
  </r>
  <r>
    <n v="144"/>
    <x v="6"/>
    <x v="0"/>
    <x v="6"/>
    <x v="0"/>
    <x v="6"/>
    <x v="1"/>
    <n v="0.2"/>
    <n v="0.2576"/>
    <n v="0.69"/>
    <n v="0"/>
    <n v="8"/>
    <n v="26"/>
    <n v="34"/>
    <x v="1"/>
    <x v="6"/>
    <x v="1"/>
    <x v="1"/>
    <x v="0"/>
    <n v="64.541666666666671"/>
    <n v="54.689621594457272"/>
    <n v="-1.0535513171932986"/>
    <b v="0"/>
  </r>
  <r>
    <n v="145"/>
    <x v="6"/>
    <x v="0"/>
    <x v="7"/>
    <x v="0"/>
    <x v="6"/>
    <x v="0"/>
    <n v="0.2"/>
    <n v="0.21210000000000001"/>
    <n v="0.69"/>
    <n v="0.1343"/>
    <n v="8"/>
    <n v="76"/>
    <n v="84"/>
    <x v="0"/>
    <x v="6"/>
    <x v="1"/>
    <x v="1"/>
    <x v="0"/>
    <n v="63.208333333333336"/>
    <n v="55.844488394630055"/>
    <n v="-1.1334960466271846"/>
    <b v="0"/>
  </r>
  <r>
    <n v="146"/>
    <x v="6"/>
    <x v="0"/>
    <x v="8"/>
    <x v="0"/>
    <x v="6"/>
    <x v="0"/>
    <n v="0.2"/>
    <n v="0.19700000000000001"/>
    <n v="0.51"/>
    <n v="0.25369999999999998"/>
    <n v="20"/>
    <n v="190"/>
    <n v="210"/>
    <x v="0"/>
    <x v="6"/>
    <x v="1"/>
    <x v="1"/>
    <x v="0"/>
    <n v="60.083333333333336"/>
    <n v="56.721989192649218"/>
    <n v="-0.91806974976698574"/>
    <b v="0"/>
  </r>
  <r>
    <n v="147"/>
    <x v="6"/>
    <x v="0"/>
    <x v="9"/>
    <x v="0"/>
    <x v="6"/>
    <x v="0"/>
    <n v="0.2"/>
    <n v="0.18179999999999999"/>
    <n v="0.47"/>
    <n v="0.29849999999999999"/>
    <n v="9"/>
    <n v="125"/>
    <n v="134"/>
    <x v="0"/>
    <x v="6"/>
    <x v="1"/>
    <x v="1"/>
    <x v="0"/>
    <n v="51.958333333333336"/>
    <n v="47.536237131053092"/>
    <n v="-0.72940800888187396"/>
    <b v="0"/>
  </r>
  <r>
    <n v="148"/>
    <x v="6"/>
    <x v="0"/>
    <x v="10"/>
    <x v="0"/>
    <x v="6"/>
    <x v="0"/>
    <n v="0.22"/>
    <n v="0.19700000000000001"/>
    <n v="0.37"/>
    <n v="0.32840000000000003"/>
    <n v="16"/>
    <n v="47"/>
    <n v="63"/>
    <x v="0"/>
    <x v="6"/>
    <x v="1"/>
    <x v="1"/>
    <x v="0"/>
    <n v="47.208333333333336"/>
    <n v="44.585998159557427"/>
    <n v="-0.56894584643994706"/>
    <b v="0"/>
  </r>
  <r>
    <n v="149"/>
    <x v="6"/>
    <x v="0"/>
    <x v="11"/>
    <x v="0"/>
    <x v="6"/>
    <x v="1"/>
    <n v="0.2"/>
    <n v="0.19700000000000001"/>
    <n v="0.4"/>
    <n v="0.22389999999999999"/>
    <n v="19"/>
    <n v="48"/>
    <n v="67"/>
    <x v="1"/>
    <x v="6"/>
    <x v="1"/>
    <x v="1"/>
    <x v="0"/>
    <n v="47.125"/>
    <n v="44.557059168431778"/>
    <n v="0.66493402239015986"/>
    <b v="0"/>
  </r>
  <r>
    <n v="150"/>
    <x v="6"/>
    <x v="0"/>
    <x v="12"/>
    <x v="0"/>
    <x v="6"/>
    <x v="1"/>
    <n v="0.2"/>
    <n v="0.19700000000000001"/>
    <n v="0.37"/>
    <n v="0.25369999999999998"/>
    <n v="9"/>
    <n v="50"/>
    <n v="59"/>
    <x v="1"/>
    <x v="6"/>
    <x v="1"/>
    <x v="2"/>
    <x v="0"/>
    <n v="46.916666666666664"/>
    <n v="44.471697562134629"/>
    <n v="0.71555742658150201"/>
    <b v="0"/>
  </r>
  <r>
    <n v="151"/>
    <x v="6"/>
    <x v="0"/>
    <x v="13"/>
    <x v="0"/>
    <x v="6"/>
    <x v="1"/>
    <n v="0.2"/>
    <n v="0.18179999999999999"/>
    <n v="0.37"/>
    <n v="0.28360000000000002"/>
    <n v="9"/>
    <n v="64"/>
    <n v="73"/>
    <x v="1"/>
    <x v="6"/>
    <x v="1"/>
    <x v="2"/>
    <x v="0"/>
    <n v="48.541666666666664"/>
    <n v="45.629871191222271"/>
    <n v="1.8389999832455808"/>
    <b v="0"/>
  </r>
  <r>
    <n v="152"/>
    <x v="6"/>
    <x v="0"/>
    <x v="14"/>
    <x v="0"/>
    <x v="6"/>
    <x v="1"/>
    <n v="0.2"/>
    <n v="0.19700000000000001"/>
    <n v="0.4"/>
    <n v="0.25369999999999998"/>
    <n v="7"/>
    <n v="43"/>
    <n v="50"/>
    <x v="1"/>
    <x v="6"/>
    <x v="1"/>
    <x v="2"/>
    <x v="0"/>
    <n v="49.75"/>
    <n v="46.677664335590819"/>
    <n v="2.0475593245009471"/>
    <b v="0"/>
  </r>
  <r>
    <n v="153"/>
    <x v="6"/>
    <x v="0"/>
    <x v="15"/>
    <x v="0"/>
    <x v="6"/>
    <x v="1"/>
    <n v="0.2"/>
    <n v="0.21210000000000001"/>
    <n v="0.37"/>
    <n v="0.16420000000000001"/>
    <n v="9"/>
    <n v="63"/>
    <n v="72"/>
    <x v="1"/>
    <x v="6"/>
    <x v="1"/>
    <x v="2"/>
    <x v="0"/>
    <n v="51.625"/>
    <n v="47.583165181560297"/>
    <n v="1.9865794258933298"/>
    <b v="0"/>
  </r>
  <r>
    <n v="154"/>
    <x v="6"/>
    <x v="0"/>
    <x v="16"/>
    <x v="0"/>
    <x v="6"/>
    <x v="1"/>
    <n v="0.2"/>
    <n v="0.21210000000000001"/>
    <n v="0.37"/>
    <n v="0.16420000000000001"/>
    <n v="5"/>
    <n v="82"/>
    <n v="87"/>
    <x v="1"/>
    <x v="6"/>
    <x v="1"/>
    <x v="2"/>
    <x v="0"/>
    <n v="51.708333333333336"/>
    <n v="47.622135122474177"/>
    <n v="1.3885998303119393"/>
    <b v="0"/>
  </r>
  <r>
    <n v="155"/>
    <x v="6"/>
    <x v="0"/>
    <x v="17"/>
    <x v="0"/>
    <x v="6"/>
    <x v="1"/>
    <n v="0.2"/>
    <n v="0.2576"/>
    <n v="0.37"/>
    <n v="0"/>
    <n v="9"/>
    <n v="178"/>
    <n v="187"/>
    <x v="1"/>
    <x v="6"/>
    <x v="1"/>
    <x v="3"/>
    <x v="0"/>
    <n v="51.25"/>
    <n v="47.319680619305153"/>
    <n v="1.4214418782529457"/>
    <b v="0"/>
  </r>
  <r>
    <n v="156"/>
    <x v="6"/>
    <x v="0"/>
    <x v="18"/>
    <x v="0"/>
    <x v="6"/>
    <x v="0"/>
    <n v="0.2"/>
    <n v="0.2273"/>
    <n v="0.4"/>
    <n v="8.9599999999999999E-2"/>
    <n v="7"/>
    <n v="116"/>
    <n v="123"/>
    <x v="0"/>
    <x v="6"/>
    <x v="1"/>
    <x v="3"/>
    <x v="0"/>
    <n v="46.333333333333336"/>
    <n v="37.767787823771855"/>
    <n v="1.1078705524497456"/>
    <b v="0"/>
  </r>
  <r>
    <n v="157"/>
    <x v="6"/>
    <x v="0"/>
    <x v="19"/>
    <x v="0"/>
    <x v="6"/>
    <x v="0"/>
    <n v="0.16"/>
    <n v="0.19700000000000001"/>
    <n v="0.55000000000000004"/>
    <n v="8.9599999999999999E-2"/>
    <n v="3"/>
    <n v="92"/>
    <n v="95"/>
    <x v="0"/>
    <x v="6"/>
    <x v="1"/>
    <x v="3"/>
    <x v="2"/>
    <n v="43.5"/>
    <n v="34.142922113298717"/>
    <n v="0.65259985176897883"/>
    <b v="0"/>
  </r>
  <r>
    <n v="158"/>
    <x v="6"/>
    <x v="0"/>
    <x v="20"/>
    <x v="0"/>
    <x v="6"/>
    <x v="0"/>
    <n v="0.18"/>
    <n v="0.21210000000000001"/>
    <n v="0.47"/>
    <n v="0.1045"/>
    <n v="1"/>
    <n v="50"/>
    <n v="51"/>
    <x v="0"/>
    <x v="6"/>
    <x v="1"/>
    <x v="3"/>
    <x v="2"/>
    <n v="40.791666666666664"/>
    <n v="32.414407916537826"/>
    <n v="-0.18974809016327854"/>
    <b v="0"/>
  </r>
  <r>
    <n v="159"/>
    <x v="6"/>
    <x v="0"/>
    <x v="21"/>
    <x v="0"/>
    <x v="6"/>
    <x v="0"/>
    <n v="0.18"/>
    <n v="0.19700000000000001"/>
    <n v="0.47"/>
    <n v="0.1343"/>
    <n v="0"/>
    <n v="39"/>
    <n v="39"/>
    <x v="0"/>
    <x v="6"/>
    <x v="1"/>
    <x v="0"/>
    <x v="2"/>
    <n v="39.833333333333336"/>
    <n v="32.43946424618801"/>
    <n v="-0.2739636620234896"/>
    <b v="0"/>
  </r>
  <r>
    <n v="160"/>
    <x v="6"/>
    <x v="0"/>
    <x v="22"/>
    <x v="0"/>
    <x v="6"/>
    <x v="1"/>
    <n v="0.18"/>
    <n v="0.19700000000000001"/>
    <n v="0.43"/>
    <n v="0.16420000000000001"/>
    <n v="2"/>
    <n v="34"/>
    <n v="36"/>
    <x v="1"/>
    <x v="6"/>
    <x v="1"/>
    <x v="0"/>
    <x v="2"/>
    <n v="39.75"/>
    <n v="32.444266593384548"/>
    <n v="2.0009277080818535E-2"/>
    <b v="0"/>
  </r>
  <r>
    <n v="161"/>
    <x v="6"/>
    <x v="0"/>
    <x v="23"/>
    <x v="0"/>
    <x v="6"/>
    <x v="1"/>
    <n v="0.18"/>
    <n v="0.19700000000000001"/>
    <n v="0.51"/>
    <n v="0.16420000000000001"/>
    <n v="1"/>
    <n v="14"/>
    <n v="15"/>
    <x v="1"/>
    <x v="6"/>
    <x v="1"/>
    <x v="0"/>
    <x v="2"/>
    <n v="39.666666666666664"/>
    <n v="32.456883327921659"/>
    <n v="-5.8216965762217493E-2"/>
    <b v="0"/>
  </r>
  <r>
    <n v="162"/>
    <x v="7"/>
    <x v="0"/>
    <x v="0"/>
    <x v="0"/>
    <x v="0"/>
    <x v="1"/>
    <n v="0.18"/>
    <n v="0.19700000000000001"/>
    <n v="0.51"/>
    <n v="0.16420000000000001"/>
    <n v="1"/>
    <n v="24"/>
    <n v="25"/>
    <x v="1"/>
    <x v="0"/>
    <x v="0"/>
    <x v="0"/>
    <x v="2"/>
    <n v="39.958333333333336"/>
    <n v="32.256417179770018"/>
    <n v="-0.43568092485506149"/>
    <b v="0"/>
  </r>
  <r>
    <n v="163"/>
    <x v="7"/>
    <x v="0"/>
    <x v="1"/>
    <x v="0"/>
    <x v="0"/>
    <x v="1"/>
    <n v="0.18"/>
    <n v="0.21210000000000001"/>
    <n v="0.55000000000000004"/>
    <n v="8.9599999999999999E-2"/>
    <n v="1"/>
    <n v="15"/>
    <n v="16"/>
    <x v="1"/>
    <x v="0"/>
    <x v="0"/>
    <x v="0"/>
    <x v="2"/>
    <n v="39.958333333333336"/>
    <n v="32.256417179770018"/>
    <n v="-0.30704187526587062"/>
    <b v="0"/>
  </r>
  <r>
    <n v="164"/>
    <x v="7"/>
    <x v="0"/>
    <x v="2"/>
    <x v="0"/>
    <x v="0"/>
    <x v="1"/>
    <n v="0.18"/>
    <n v="0.2424"/>
    <n v="0.55000000000000004"/>
    <n v="0"/>
    <n v="3"/>
    <n v="13"/>
    <n v="16"/>
    <x v="1"/>
    <x v="0"/>
    <x v="0"/>
    <x v="0"/>
    <x v="2"/>
    <n v="39.791666666666664"/>
    <n v="32.395623921686742"/>
    <n v="-0.69840813314056238"/>
    <b v="0"/>
  </r>
  <r>
    <n v="165"/>
    <x v="7"/>
    <x v="0"/>
    <x v="3"/>
    <x v="0"/>
    <x v="0"/>
    <x v="2"/>
    <n v="0.18"/>
    <n v="0.19700000000000001"/>
    <n v="0.55000000000000004"/>
    <n v="0.16420000000000001"/>
    <n v="0"/>
    <n v="7"/>
    <n v="7"/>
    <x v="2"/>
    <x v="0"/>
    <x v="0"/>
    <x v="0"/>
    <x v="2"/>
    <n v="39.583333333333336"/>
    <n v="32.570881456303567"/>
    <n v="-0.70654615936858289"/>
    <b v="0"/>
  </r>
  <r>
    <n v="166"/>
    <x v="7"/>
    <x v="0"/>
    <x v="4"/>
    <x v="0"/>
    <x v="0"/>
    <x v="2"/>
    <n v="0.18"/>
    <n v="0.19700000000000001"/>
    <n v="0.55000000000000004"/>
    <n v="0.16420000000000001"/>
    <n v="0"/>
    <n v="1"/>
    <n v="1"/>
    <x v="2"/>
    <x v="0"/>
    <x v="0"/>
    <x v="0"/>
    <x v="2"/>
    <n v="39.458333333333336"/>
    <n v="32.706839022451859"/>
    <n v="-0.91261988427308915"/>
    <b v="0"/>
  </r>
  <r>
    <n v="167"/>
    <x v="7"/>
    <x v="0"/>
    <x v="5"/>
    <x v="0"/>
    <x v="0"/>
    <x v="1"/>
    <n v="0.16"/>
    <n v="0.16669999999999999"/>
    <n v="0.74"/>
    <n v="0.16420000000000001"/>
    <n v="0"/>
    <n v="5"/>
    <n v="5"/>
    <x v="1"/>
    <x v="0"/>
    <x v="0"/>
    <x v="0"/>
    <x v="2"/>
    <n v="39.458333333333336"/>
    <n v="32.706839022451859"/>
    <n v="-1.0003013839069148"/>
    <b v="0"/>
  </r>
  <r>
    <n v="168"/>
    <x v="7"/>
    <x v="0"/>
    <x v="6"/>
    <x v="0"/>
    <x v="0"/>
    <x v="1"/>
    <n v="0.16"/>
    <n v="0.16669999999999999"/>
    <n v="0.74"/>
    <n v="0.16420000000000001"/>
    <n v="0"/>
    <n v="2"/>
    <n v="2"/>
    <x v="1"/>
    <x v="0"/>
    <x v="0"/>
    <x v="1"/>
    <x v="2"/>
    <n v="39.291666666666664"/>
    <n v="32.89968833824453"/>
    <n v="-1.0056445709461079"/>
    <b v="0"/>
  </r>
  <r>
    <n v="169"/>
    <x v="7"/>
    <x v="0"/>
    <x v="7"/>
    <x v="0"/>
    <x v="0"/>
    <x v="1"/>
    <n v="0.16"/>
    <n v="0.18179999999999999"/>
    <n v="0.74"/>
    <n v="0.1045"/>
    <n v="1"/>
    <n v="8"/>
    <n v="9"/>
    <x v="1"/>
    <x v="0"/>
    <x v="0"/>
    <x v="1"/>
    <x v="2"/>
    <n v="39.25"/>
    <n v="32.949566204177536"/>
    <n v="-1.0110313884395024"/>
    <b v="0"/>
  </r>
  <r>
    <n v="170"/>
    <x v="7"/>
    <x v="0"/>
    <x v="8"/>
    <x v="0"/>
    <x v="0"/>
    <x v="2"/>
    <n v="0.16"/>
    <n v="0.18179999999999999"/>
    <n v="0.93"/>
    <n v="0.1045"/>
    <n v="0"/>
    <n v="15"/>
    <n v="15"/>
    <x v="2"/>
    <x v="0"/>
    <x v="0"/>
    <x v="1"/>
    <x v="2"/>
    <n v="39.125"/>
    <n v="33.074767079925209"/>
    <n v="-0.91253071701665056"/>
    <b v="0"/>
  </r>
  <r>
    <n v="171"/>
    <x v="7"/>
    <x v="0"/>
    <x v="9"/>
    <x v="0"/>
    <x v="0"/>
    <x v="2"/>
    <n v="0.16"/>
    <n v="0.18179999999999999"/>
    <n v="0.93"/>
    <n v="0.1045"/>
    <n v="0"/>
    <n v="20"/>
    <n v="20"/>
    <x v="2"/>
    <x v="0"/>
    <x v="0"/>
    <x v="1"/>
    <x v="2"/>
    <n v="38.916666666666664"/>
    <n v="33.248624249625031"/>
    <n v="-0.86131078898649804"/>
    <b v="0"/>
  </r>
  <r>
    <n v="172"/>
    <x v="7"/>
    <x v="0"/>
    <x v="10"/>
    <x v="0"/>
    <x v="0"/>
    <x v="1"/>
    <n v="0.18"/>
    <n v="0.19700000000000001"/>
    <n v="0.8"/>
    <n v="0.16420000000000001"/>
    <n v="5"/>
    <n v="56"/>
    <n v="61"/>
    <x v="1"/>
    <x v="0"/>
    <x v="0"/>
    <x v="1"/>
    <x v="2"/>
    <n v="38.875"/>
    <n v="33.273977951180591"/>
    <n v="-0.5836533769189427"/>
    <b v="0"/>
  </r>
  <r>
    <n v="173"/>
    <x v="7"/>
    <x v="0"/>
    <x v="11"/>
    <x v="0"/>
    <x v="0"/>
    <x v="1"/>
    <n v="0.2"/>
    <n v="0.18179999999999999"/>
    <n v="0.69"/>
    <n v="0.3881"/>
    <n v="2"/>
    <n v="60"/>
    <n v="62"/>
    <x v="1"/>
    <x v="0"/>
    <x v="0"/>
    <x v="1"/>
    <x v="0"/>
    <n v="38.375"/>
    <n v="33.016218017421572"/>
    <n v="3.5881116066772183E-2"/>
    <b v="0"/>
  </r>
  <r>
    <n v="174"/>
    <x v="7"/>
    <x v="0"/>
    <x v="12"/>
    <x v="0"/>
    <x v="0"/>
    <x v="1"/>
    <n v="0.2"/>
    <n v="0.18179999999999999"/>
    <n v="0.59"/>
    <n v="0.35820000000000002"/>
    <n v="8"/>
    <n v="90"/>
    <n v="98"/>
    <x v="1"/>
    <x v="0"/>
    <x v="0"/>
    <x v="2"/>
    <x v="0"/>
    <n v="37.833333333333336"/>
    <n v="32.717056669288716"/>
    <n v="5.2728416186930069E-2"/>
    <b v="0"/>
  </r>
  <r>
    <n v="175"/>
    <x v="7"/>
    <x v="0"/>
    <x v="13"/>
    <x v="0"/>
    <x v="0"/>
    <x v="0"/>
    <n v="0.2"/>
    <n v="0.18179999999999999"/>
    <n v="0.44"/>
    <n v="0.32840000000000003"/>
    <n v="7"/>
    <n v="95"/>
    <n v="102"/>
    <x v="0"/>
    <x v="0"/>
    <x v="0"/>
    <x v="2"/>
    <x v="0"/>
    <n v="37.208333333333336"/>
    <n v="31.643364805783282"/>
    <n v="0.83656069943728628"/>
    <b v="0"/>
  </r>
  <r>
    <n v="176"/>
    <x v="7"/>
    <x v="0"/>
    <x v="14"/>
    <x v="0"/>
    <x v="0"/>
    <x v="0"/>
    <n v="0.2"/>
    <n v="0.16669999999999999"/>
    <n v="0.32"/>
    <n v="0.49249999999999999"/>
    <n v="12"/>
    <n v="83"/>
    <n v="95"/>
    <x v="0"/>
    <x v="0"/>
    <x v="0"/>
    <x v="2"/>
    <x v="0"/>
    <n v="36.083333333333336"/>
    <n v="29.657342615522598"/>
    <n v="0.69608932292063019"/>
    <b v="0"/>
  </r>
  <r>
    <n v="177"/>
    <x v="7"/>
    <x v="0"/>
    <x v="15"/>
    <x v="0"/>
    <x v="0"/>
    <x v="0"/>
    <n v="0.2"/>
    <n v="0.16669999999999999"/>
    <n v="0.32"/>
    <n v="0.44779999999999998"/>
    <n v="5"/>
    <n v="69"/>
    <n v="74"/>
    <x v="0"/>
    <x v="0"/>
    <x v="0"/>
    <x v="2"/>
    <x v="0"/>
    <n v="35.125"/>
    <n v="27.995826552324296"/>
    <n v="0.65385372930036001"/>
    <b v="0"/>
  </r>
  <r>
    <n v="178"/>
    <x v="7"/>
    <x v="0"/>
    <x v="16"/>
    <x v="0"/>
    <x v="0"/>
    <x v="0"/>
    <n v="0.18"/>
    <n v="0.13639999999999999"/>
    <n v="0.28999999999999998"/>
    <n v="0.44779999999999998"/>
    <n v="8"/>
    <n v="68"/>
    <n v="76"/>
    <x v="0"/>
    <x v="0"/>
    <x v="0"/>
    <x v="2"/>
    <x v="2"/>
    <n v="35.458333333333336"/>
    <n v="28.521508537862477"/>
    <n v="0.91777304852465624"/>
    <b v="0"/>
  </r>
  <r>
    <n v="179"/>
    <x v="7"/>
    <x v="0"/>
    <x v="17"/>
    <x v="0"/>
    <x v="0"/>
    <x v="0"/>
    <n v="0.16"/>
    <n v="0.1212"/>
    <n v="0.37"/>
    <n v="0.55220000000000002"/>
    <n v="5"/>
    <n v="64"/>
    <n v="69"/>
    <x v="0"/>
    <x v="0"/>
    <x v="0"/>
    <x v="3"/>
    <x v="2"/>
    <n v="36.125"/>
    <n v="29.674044433536157"/>
    <n v="1.2101970636611967"/>
    <b v="1"/>
  </r>
  <r>
    <n v="180"/>
    <x v="7"/>
    <x v="0"/>
    <x v="18"/>
    <x v="0"/>
    <x v="0"/>
    <x v="0"/>
    <n v="0.14000000000000001"/>
    <n v="0.1212"/>
    <n v="0.39"/>
    <n v="0.29849999999999999"/>
    <n v="3"/>
    <n v="52"/>
    <n v="55"/>
    <x v="0"/>
    <x v="0"/>
    <x v="0"/>
    <x v="3"/>
    <x v="2"/>
    <n v="35.833333333333336"/>
    <n v="29.369707355452615"/>
    <n v="0.5243115080437708"/>
    <b v="0"/>
  </r>
  <r>
    <n v="181"/>
    <x v="7"/>
    <x v="0"/>
    <x v="19"/>
    <x v="0"/>
    <x v="0"/>
    <x v="0"/>
    <n v="0.14000000000000001"/>
    <n v="0.1212"/>
    <n v="0.36"/>
    <n v="0.25369999999999998"/>
    <n v="4"/>
    <n v="26"/>
    <n v="30"/>
    <x v="0"/>
    <x v="0"/>
    <x v="0"/>
    <x v="3"/>
    <x v="2"/>
    <n v="35.541666666666664"/>
    <n v="29.205388375177062"/>
    <n v="5.6059018948878776E-2"/>
    <b v="0"/>
  </r>
  <r>
    <n v="182"/>
    <x v="7"/>
    <x v="0"/>
    <x v="20"/>
    <x v="0"/>
    <x v="0"/>
    <x v="0"/>
    <n v="0.12"/>
    <n v="0.1212"/>
    <n v="0.36"/>
    <n v="0.25369999999999998"/>
    <n v="0"/>
    <n v="28"/>
    <n v="28"/>
    <x v="0"/>
    <x v="0"/>
    <x v="0"/>
    <x v="3"/>
    <x v="2"/>
    <n v="36"/>
    <n v="29.200952932634117"/>
    <n v="-0.15868312391666287"/>
    <b v="0"/>
  </r>
  <r>
    <n v="183"/>
    <x v="7"/>
    <x v="0"/>
    <x v="21"/>
    <x v="0"/>
    <x v="0"/>
    <x v="0"/>
    <n v="0.12"/>
    <n v="0.1061"/>
    <n v="0.39"/>
    <n v="0.35820000000000002"/>
    <n v="2"/>
    <n v="35"/>
    <n v="37"/>
    <x v="0"/>
    <x v="0"/>
    <x v="0"/>
    <x v="0"/>
    <x v="2"/>
    <n v="36.416666666666664"/>
    <n v="29.153143863080174"/>
    <n v="-0.25142580364760958"/>
    <b v="0"/>
  </r>
  <r>
    <n v="184"/>
    <x v="7"/>
    <x v="0"/>
    <x v="22"/>
    <x v="0"/>
    <x v="0"/>
    <x v="0"/>
    <n v="0.12"/>
    <n v="0.1061"/>
    <n v="0.36"/>
    <n v="0.3881"/>
    <n v="1"/>
    <n v="33"/>
    <n v="34"/>
    <x v="0"/>
    <x v="0"/>
    <x v="0"/>
    <x v="0"/>
    <x v="2"/>
    <n v="35.708333333333336"/>
    <n v="29.344252332058762"/>
    <n v="-0.60269754437035872"/>
    <b v="0"/>
  </r>
  <r>
    <n v="185"/>
    <x v="7"/>
    <x v="0"/>
    <x v="23"/>
    <x v="0"/>
    <x v="0"/>
    <x v="0"/>
    <n v="0.1"/>
    <n v="6.0600000000000001E-2"/>
    <n v="0.39"/>
    <n v="0.44779999999999998"/>
    <n v="0"/>
    <n v="22"/>
    <n v="22"/>
    <x v="0"/>
    <x v="0"/>
    <x v="0"/>
    <x v="0"/>
    <x v="2"/>
    <n v="34.916666666666664"/>
    <n v="29.647078698622547"/>
    <n v="-0.71090462988609171"/>
    <b v="0"/>
  </r>
  <r>
    <n v="186"/>
    <x v="8"/>
    <x v="0"/>
    <x v="0"/>
    <x v="0"/>
    <x v="1"/>
    <x v="0"/>
    <n v="0.1"/>
    <n v="7.5800000000000006E-2"/>
    <n v="0.42"/>
    <n v="0.3881"/>
    <n v="1"/>
    <n v="24"/>
    <n v="25"/>
    <x v="0"/>
    <x v="1"/>
    <x v="0"/>
    <x v="0"/>
    <x v="2"/>
    <n v="34.25"/>
    <n v="30.126183902408535"/>
    <n v="-0.88505369830647185"/>
    <b v="0"/>
  </r>
  <r>
    <n v="187"/>
    <x v="8"/>
    <x v="0"/>
    <x v="1"/>
    <x v="0"/>
    <x v="1"/>
    <x v="0"/>
    <n v="0.1"/>
    <n v="6.0600000000000001E-2"/>
    <n v="0.42"/>
    <n v="0.4627"/>
    <n v="0"/>
    <n v="12"/>
    <n v="12"/>
    <x v="0"/>
    <x v="1"/>
    <x v="0"/>
    <x v="0"/>
    <x v="2"/>
    <n v="33.416666666666664"/>
    <n v="30.664973173152212"/>
    <n v="-0.91925121261866016"/>
    <b v="0"/>
  </r>
  <r>
    <n v="188"/>
    <x v="8"/>
    <x v="0"/>
    <x v="2"/>
    <x v="0"/>
    <x v="1"/>
    <x v="0"/>
    <n v="0.1"/>
    <n v="6.0600000000000001E-2"/>
    <n v="0.46"/>
    <n v="0.4627"/>
    <n v="0"/>
    <n v="11"/>
    <n v="11"/>
    <x v="0"/>
    <x v="1"/>
    <x v="0"/>
    <x v="0"/>
    <x v="2"/>
    <n v="32.958333333333336"/>
    <n v="31.078412984307747"/>
    <n v="-1.002908297977487"/>
    <b v="1"/>
  </r>
  <r>
    <n v="189"/>
    <x v="8"/>
    <x v="0"/>
    <x v="3"/>
    <x v="0"/>
    <x v="1"/>
    <x v="0"/>
    <n v="0.1"/>
    <n v="7.5800000000000006E-2"/>
    <n v="0.46"/>
    <n v="0.41789999999999999"/>
    <n v="0"/>
    <n v="4"/>
    <n v="4"/>
    <x v="0"/>
    <x v="1"/>
    <x v="0"/>
    <x v="0"/>
    <x v="2"/>
    <n v="32.625"/>
    <n v="31.365742181697147"/>
    <n v="-0.96906327915597479"/>
    <b v="1"/>
  </r>
  <r>
    <n v="190"/>
    <x v="8"/>
    <x v="0"/>
    <x v="4"/>
    <x v="0"/>
    <x v="1"/>
    <x v="0"/>
    <n v="0.08"/>
    <n v="9.0899999999999995E-2"/>
    <n v="0.53"/>
    <n v="0.19400000000000001"/>
    <n v="0"/>
    <n v="1"/>
    <n v="1"/>
    <x v="0"/>
    <x v="1"/>
    <x v="0"/>
    <x v="0"/>
    <x v="2"/>
    <n v="32.5"/>
    <n v="31.490509267286285"/>
    <n v="-1.0060386665959484"/>
    <b v="0"/>
  </r>
  <r>
    <n v="191"/>
    <x v="8"/>
    <x v="0"/>
    <x v="5"/>
    <x v="0"/>
    <x v="1"/>
    <x v="0"/>
    <n v="0.08"/>
    <n v="9.0899999999999995E-2"/>
    <n v="0.53"/>
    <n v="0.19400000000000001"/>
    <n v="0"/>
    <n v="1"/>
    <n v="1"/>
    <x v="0"/>
    <x v="1"/>
    <x v="0"/>
    <x v="0"/>
    <x v="2"/>
    <n v="32.583333333333336"/>
    <n v="31.406059601773428"/>
    <n v="-0.97669745040546141"/>
    <b v="0"/>
  </r>
  <r>
    <n v="192"/>
    <x v="8"/>
    <x v="0"/>
    <x v="6"/>
    <x v="0"/>
    <x v="1"/>
    <x v="0"/>
    <n v="0.1"/>
    <n v="9.0899999999999995E-2"/>
    <n v="0.49"/>
    <n v="0.28360000000000002"/>
    <n v="0"/>
    <n v="1"/>
    <n v="1"/>
    <x v="0"/>
    <x v="1"/>
    <x v="0"/>
    <x v="1"/>
    <x v="2"/>
    <n v="32.666666666666664"/>
    <n v="31.321150884883256"/>
    <n v="-1.0103030850003585"/>
    <b v="0"/>
  </r>
  <r>
    <n v="193"/>
    <x v="8"/>
    <x v="0"/>
    <x v="7"/>
    <x v="0"/>
    <x v="1"/>
    <x v="0"/>
    <n v="0.08"/>
    <n v="9.0899999999999995E-2"/>
    <n v="0.53"/>
    <n v="0.19400000000000001"/>
    <n v="1"/>
    <n v="5"/>
    <n v="6"/>
    <x v="0"/>
    <x v="1"/>
    <x v="0"/>
    <x v="1"/>
    <x v="2"/>
    <n v="33.916666666666664"/>
    <n v="30.592577483785984"/>
    <n v="-0.56455349960658396"/>
    <b v="0"/>
  </r>
  <r>
    <n v="194"/>
    <x v="8"/>
    <x v="0"/>
    <x v="8"/>
    <x v="0"/>
    <x v="1"/>
    <x v="0"/>
    <n v="0.1"/>
    <n v="9.0899999999999995E-2"/>
    <n v="0.49"/>
    <n v="0.28360000000000002"/>
    <n v="0"/>
    <n v="10"/>
    <n v="10"/>
    <x v="0"/>
    <x v="1"/>
    <x v="0"/>
    <x v="1"/>
    <x v="2"/>
    <n v="36.875"/>
    <n v="31.20244207276648"/>
    <n v="0.14148884580472681"/>
    <b v="0"/>
  </r>
  <r>
    <n v="195"/>
    <x v="8"/>
    <x v="0"/>
    <x v="9"/>
    <x v="0"/>
    <x v="1"/>
    <x v="0"/>
    <n v="0.12"/>
    <n v="7.5800000000000006E-2"/>
    <n v="0.46"/>
    <n v="0.52239999999999998"/>
    <n v="0"/>
    <n v="19"/>
    <n v="19"/>
    <x v="0"/>
    <x v="1"/>
    <x v="0"/>
    <x v="1"/>
    <x v="2"/>
    <n v="44.291666666666664"/>
    <n v="43.333368171669385"/>
    <n v="1.8867683987073456"/>
    <b v="0"/>
  </r>
  <r>
    <n v="196"/>
    <x v="8"/>
    <x v="0"/>
    <x v="10"/>
    <x v="0"/>
    <x v="1"/>
    <x v="0"/>
    <n v="0.14000000000000001"/>
    <n v="0.1061"/>
    <n v="0.43"/>
    <n v="0.3881"/>
    <n v="0"/>
    <n v="49"/>
    <n v="49"/>
    <x v="0"/>
    <x v="1"/>
    <x v="0"/>
    <x v="1"/>
    <x v="2"/>
    <n v="47.416666666666664"/>
    <n v="44.127204136762806"/>
    <n v="0.50847602241678136"/>
    <b v="0"/>
  </r>
  <r>
    <n v="197"/>
    <x v="8"/>
    <x v="0"/>
    <x v="11"/>
    <x v="0"/>
    <x v="1"/>
    <x v="0"/>
    <n v="0.16"/>
    <n v="0.1212"/>
    <n v="0.4"/>
    <n v="0.52239999999999998"/>
    <n v="2"/>
    <n v="47"/>
    <n v="49"/>
    <x v="0"/>
    <x v="1"/>
    <x v="0"/>
    <x v="1"/>
    <x v="2"/>
    <n v="46.666666666666664"/>
    <n v="44.251913902767768"/>
    <n v="-0.55335902484578114"/>
    <b v="0"/>
  </r>
  <r>
    <n v="198"/>
    <x v="8"/>
    <x v="0"/>
    <x v="12"/>
    <x v="0"/>
    <x v="1"/>
    <x v="0"/>
    <n v="0.18"/>
    <n v="0.13639999999999999"/>
    <n v="0.37"/>
    <n v="0.44779999999999998"/>
    <n v="4"/>
    <n v="79"/>
    <n v="83"/>
    <x v="0"/>
    <x v="1"/>
    <x v="0"/>
    <x v="2"/>
    <x v="2"/>
    <n v="45.875"/>
    <n v="44.378130630535459"/>
    <n v="-0.59386472331183549"/>
    <b v="0"/>
  </r>
  <r>
    <n v="199"/>
    <x v="8"/>
    <x v="0"/>
    <x v="13"/>
    <x v="0"/>
    <x v="1"/>
    <x v="0"/>
    <n v="0.2"/>
    <n v="0.16669999999999999"/>
    <n v="0.34"/>
    <n v="0.44779999999999998"/>
    <n v="6"/>
    <n v="69"/>
    <n v="75"/>
    <x v="0"/>
    <x v="1"/>
    <x v="0"/>
    <x v="2"/>
    <x v="0"/>
    <n v="44.583333333333336"/>
    <n v="43.69649937890923"/>
    <n v="-0.22304493277080084"/>
    <b v="0"/>
  </r>
  <r>
    <n v="200"/>
    <x v="8"/>
    <x v="0"/>
    <x v="14"/>
    <x v="0"/>
    <x v="1"/>
    <x v="0"/>
    <n v="0.22"/>
    <n v="0.18179999999999999"/>
    <n v="0.32"/>
    <n v="0.4627"/>
    <n v="8"/>
    <n v="64"/>
    <n v="72"/>
    <x v="0"/>
    <x v="1"/>
    <x v="0"/>
    <x v="2"/>
    <x v="0"/>
    <n v="43.708333333333336"/>
    <n v="43.269106527754246"/>
    <n v="-0.1958429607367119"/>
    <b v="0"/>
  </r>
  <r>
    <n v="201"/>
    <x v="8"/>
    <x v="0"/>
    <x v="15"/>
    <x v="0"/>
    <x v="1"/>
    <x v="0"/>
    <n v="0.22"/>
    <n v="0.19700000000000001"/>
    <n v="0.35"/>
    <n v="0.35820000000000002"/>
    <n v="5"/>
    <n v="77"/>
    <n v="82"/>
    <x v="0"/>
    <x v="1"/>
    <x v="0"/>
    <x v="2"/>
    <x v="0"/>
    <n v="42.666666666666664"/>
    <n v="42.857363698533838"/>
    <n v="-0.31484181046054865"/>
    <b v="1"/>
  </r>
  <r>
    <n v="202"/>
    <x v="8"/>
    <x v="0"/>
    <x v="16"/>
    <x v="0"/>
    <x v="1"/>
    <x v="0"/>
    <n v="0.2"/>
    <n v="0.16669999999999999"/>
    <n v="0.34"/>
    <n v="0.44779999999999998"/>
    <n v="13"/>
    <n v="79"/>
    <n v="92"/>
    <x v="0"/>
    <x v="1"/>
    <x v="0"/>
    <x v="2"/>
    <x v="0"/>
    <n v="41.125"/>
    <n v="42.038608031396464"/>
    <n v="-0.37245011845496839"/>
    <b v="1"/>
  </r>
  <r>
    <n v="203"/>
    <x v="8"/>
    <x v="0"/>
    <x v="17"/>
    <x v="0"/>
    <x v="1"/>
    <x v="0"/>
    <n v="0.18"/>
    <n v="0.1515"/>
    <n v="0.37"/>
    <n v="0.3881"/>
    <n v="3"/>
    <n v="59"/>
    <n v="62"/>
    <x v="0"/>
    <x v="1"/>
    <x v="0"/>
    <x v="3"/>
    <x v="2"/>
    <n v="40.375"/>
    <n v="41.244564859321557"/>
    <n v="7.4332736215245609E-2"/>
    <b v="0"/>
  </r>
  <r>
    <n v="204"/>
    <x v="8"/>
    <x v="0"/>
    <x v="18"/>
    <x v="0"/>
    <x v="1"/>
    <x v="0"/>
    <n v="0.16"/>
    <n v="0.13639999999999999"/>
    <n v="0.4"/>
    <n v="0.32840000000000003"/>
    <n v="4"/>
    <n v="44"/>
    <n v="48"/>
    <x v="0"/>
    <x v="1"/>
    <x v="0"/>
    <x v="3"/>
    <x v="2"/>
    <n v="45.208333333333336"/>
    <n v="49.798707130648062"/>
    <n v="1.8532114770301304"/>
    <b v="0"/>
  </r>
  <r>
    <n v="205"/>
    <x v="8"/>
    <x v="0"/>
    <x v="19"/>
    <x v="0"/>
    <x v="1"/>
    <x v="0"/>
    <n v="0.16"/>
    <n v="0.13639999999999999"/>
    <n v="0.43"/>
    <n v="0.32840000000000003"/>
    <n v="1"/>
    <n v="40"/>
    <n v="41"/>
    <x v="0"/>
    <x v="1"/>
    <x v="0"/>
    <x v="3"/>
    <x v="2"/>
    <n v="49.666666666666664"/>
    <n v="54.61618383072809"/>
    <n v="1.6817390489472932"/>
    <b v="0"/>
  </r>
  <r>
    <n v="206"/>
    <x v="8"/>
    <x v="0"/>
    <x v="20"/>
    <x v="0"/>
    <x v="1"/>
    <x v="0"/>
    <n v="0.14000000000000001"/>
    <n v="0.1212"/>
    <n v="0.46"/>
    <n v="0.25369999999999998"/>
    <n v="0"/>
    <n v="38"/>
    <n v="38"/>
    <x v="0"/>
    <x v="1"/>
    <x v="0"/>
    <x v="3"/>
    <x v="2"/>
    <n v="51.916666666666664"/>
    <n v="55.350988103718358"/>
    <n v="0.69440397953567956"/>
    <b v="0"/>
  </r>
  <r>
    <n v="207"/>
    <x v="8"/>
    <x v="0"/>
    <x v="21"/>
    <x v="0"/>
    <x v="1"/>
    <x v="0"/>
    <n v="0.14000000000000001"/>
    <n v="0.1061"/>
    <n v="0.46"/>
    <n v="0.41789999999999999"/>
    <n v="1"/>
    <n v="19"/>
    <n v="20"/>
    <x v="0"/>
    <x v="1"/>
    <x v="0"/>
    <x v="0"/>
    <x v="2"/>
    <n v="53.416666666666664"/>
    <n v="55.445168109283124"/>
    <n v="0.33758240140043894"/>
    <b v="0"/>
  </r>
  <r>
    <n v="208"/>
    <x v="8"/>
    <x v="0"/>
    <x v="22"/>
    <x v="0"/>
    <x v="1"/>
    <x v="0"/>
    <n v="0.14000000000000001"/>
    <n v="0.1212"/>
    <n v="0.46"/>
    <n v="0.29849999999999999"/>
    <n v="5"/>
    <n v="10"/>
    <n v="15"/>
    <x v="0"/>
    <x v="1"/>
    <x v="0"/>
    <x v="0"/>
    <x v="2"/>
    <n v="54.166666666666664"/>
    <n v="55.094122362014076"/>
    <n v="-0.34051623404806719"/>
    <b v="0"/>
  </r>
  <r>
    <n v="209"/>
    <x v="8"/>
    <x v="0"/>
    <x v="23"/>
    <x v="0"/>
    <x v="1"/>
    <x v="0"/>
    <n v="0.12"/>
    <n v="0.13639999999999999"/>
    <n v="0.5"/>
    <n v="0.19400000000000001"/>
    <n v="0"/>
    <n v="6"/>
    <n v="6"/>
    <x v="0"/>
    <x v="1"/>
    <x v="0"/>
    <x v="0"/>
    <x v="2"/>
    <n v="54.541666666666664"/>
    <n v="54.846013026723611"/>
    <n v="-0.59743551343314505"/>
    <b v="0"/>
  </r>
  <r>
    <n v="210"/>
    <x v="9"/>
    <x v="0"/>
    <x v="0"/>
    <x v="0"/>
    <x v="2"/>
    <x v="0"/>
    <n v="0.12"/>
    <n v="0.1212"/>
    <n v="0.5"/>
    <n v="0.28360000000000002"/>
    <n v="2"/>
    <n v="3"/>
    <n v="5"/>
    <x v="0"/>
    <x v="2"/>
    <x v="1"/>
    <x v="0"/>
    <x v="2"/>
    <n v="55.041666666666664"/>
    <n v="54.437422523614146"/>
    <n v="-0.69391399395688647"/>
    <b v="1"/>
  </r>
  <r>
    <n v="211"/>
    <x v="9"/>
    <x v="0"/>
    <x v="1"/>
    <x v="0"/>
    <x v="2"/>
    <x v="0"/>
    <n v="0.12"/>
    <n v="0.1212"/>
    <n v="0.5"/>
    <n v="0.28360000000000002"/>
    <n v="1"/>
    <n v="0"/>
    <n v="1"/>
    <x v="0"/>
    <x v="2"/>
    <x v="1"/>
    <x v="0"/>
    <x v="2"/>
    <n v="55.333333333333336"/>
    <n v="54.175774039266138"/>
    <n v="-0.79444777560308277"/>
    <b v="0"/>
  </r>
  <r>
    <n v="212"/>
    <x v="9"/>
    <x v="0"/>
    <x v="2"/>
    <x v="0"/>
    <x v="2"/>
    <x v="0"/>
    <n v="0.12"/>
    <n v="0.1212"/>
    <n v="0.5"/>
    <n v="0.22389999999999999"/>
    <n v="0"/>
    <n v="3"/>
    <n v="3"/>
    <x v="0"/>
    <x v="2"/>
    <x v="1"/>
    <x v="0"/>
    <x v="2"/>
    <n v="55.416666666666664"/>
    <n v="54.090034979263706"/>
    <n v="-0.95145021216008085"/>
    <b v="0"/>
  </r>
  <r>
    <n v="213"/>
    <x v="9"/>
    <x v="0"/>
    <x v="3"/>
    <x v="0"/>
    <x v="2"/>
    <x v="0"/>
    <n v="0.12"/>
    <n v="0.1212"/>
    <n v="0.5"/>
    <n v="0.22389999999999999"/>
    <n v="0"/>
    <n v="1"/>
    <n v="1"/>
    <x v="0"/>
    <x v="2"/>
    <x v="1"/>
    <x v="0"/>
    <x v="2"/>
    <n v="55.416666666666664"/>
    <n v="54.090034979263706"/>
    <n v="-0.95452886833660866"/>
    <b v="0"/>
  </r>
  <r>
    <n v="214"/>
    <x v="9"/>
    <x v="0"/>
    <x v="4"/>
    <x v="0"/>
    <x v="2"/>
    <x v="0"/>
    <n v="0.1"/>
    <n v="0.1212"/>
    <n v="0.54"/>
    <n v="0.1343"/>
    <n v="1"/>
    <n v="2"/>
    <n v="3"/>
    <x v="0"/>
    <x v="2"/>
    <x v="1"/>
    <x v="0"/>
    <x v="2"/>
    <n v="55.625"/>
    <n v="53.880554288488739"/>
    <n v="-0.91572559367645934"/>
    <b v="0"/>
  </r>
  <r>
    <n v="215"/>
    <x v="9"/>
    <x v="0"/>
    <x v="5"/>
    <x v="0"/>
    <x v="2"/>
    <x v="0"/>
    <n v="0.1"/>
    <n v="0.1061"/>
    <n v="0.54"/>
    <n v="0.25369999999999998"/>
    <n v="0"/>
    <n v="3"/>
    <n v="3"/>
    <x v="0"/>
    <x v="2"/>
    <x v="1"/>
    <x v="0"/>
    <x v="2"/>
    <n v="56.625"/>
    <n v="53.078131499500444"/>
    <n v="-0.55887092677217665"/>
    <b v="0"/>
  </r>
  <r>
    <n v="216"/>
    <x v="9"/>
    <x v="0"/>
    <x v="6"/>
    <x v="0"/>
    <x v="2"/>
    <x v="0"/>
    <n v="0.12"/>
    <n v="0.1212"/>
    <n v="0.5"/>
    <n v="0.28360000000000002"/>
    <n v="0"/>
    <n v="31"/>
    <n v="31"/>
    <x v="0"/>
    <x v="2"/>
    <x v="1"/>
    <x v="1"/>
    <x v="2"/>
    <n v="60.625"/>
    <n v="52.475097613679743"/>
    <n v="0.75292936468199656"/>
    <b v="0"/>
  </r>
  <r>
    <n v="217"/>
    <x v="9"/>
    <x v="0"/>
    <x v="7"/>
    <x v="0"/>
    <x v="2"/>
    <x v="0"/>
    <n v="0.12"/>
    <n v="0.1212"/>
    <n v="0.5"/>
    <n v="0.22389999999999999"/>
    <n v="2"/>
    <n v="75"/>
    <n v="77"/>
    <x v="0"/>
    <x v="2"/>
    <x v="1"/>
    <x v="1"/>
    <x v="2"/>
    <n v="68.375"/>
    <n v="60.958868884290936"/>
    <n v="3.0457519553742345"/>
    <b v="0"/>
  </r>
  <r>
    <n v="218"/>
    <x v="9"/>
    <x v="0"/>
    <x v="8"/>
    <x v="0"/>
    <x v="2"/>
    <x v="1"/>
    <n v="0.12"/>
    <n v="0.1212"/>
    <n v="0.5"/>
    <n v="0.28360000000000002"/>
    <n v="4"/>
    <n v="184"/>
    <n v="188"/>
    <x v="1"/>
    <x v="2"/>
    <x v="1"/>
    <x v="1"/>
    <x v="2"/>
    <n v="70.583333333333329"/>
    <n v="62.231626704745878"/>
    <n v="1.9846011158604842"/>
    <b v="0"/>
  </r>
  <r>
    <n v="219"/>
    <x v="9"/>
    <x v="0"/>
    <x v="9"/>
    <x v="0"/>
    <x v="2"/>
    <x v="1"/>
    <n v="0.14000000000000001"/>
    <n v="0.1212"/>
    <n v="0.5"/>
    <n v="0.25369999999999998"/>
    <n v="2"/>
    <n v="92"/>
    <n v="94"/>
    <x v="1"/>
    <x v="2"/>
    <x v="1"/>
    <x v="1"/>
    <x v="2"/>
    <n v="65"/>
    <n v="57.033171126070592"/>
    <n v="0.18286474693234536"/>
    <b v="0"/>
  </r>
  <r>
    <n v="220"/>
    <x v="9"/>
    <x v="0"/>
    <x v="10"/>
    <x v="0"/>
    <x v="2"/>
    <x v="1"/>
    <n v="0.14000000000000001"/>
    <n v="0.1212"/>
    <n v="0.5"/>
    <n v="0.29849999999999999"/>
    <n v="0"/>
    <n v="31"/>
    <n v="31"/>
    <x v="1"/>
    <x v="2"/>
    <x v="1"/>
    <x v="1"/>
    <x v="2"/>
    <n v="62.541666666666664"/>
    <n v="57.000365495904205"/>
    <n v="-0.3459722154929491"/>
    <b v="0"/>
  </r>
  <r>
    <n v="221"/>
    <x v="9"/>
    <x v="0"/>
    <x v="11"/>
    <x v="0"/>
    <x v="2"/>
    <x v="1"/>
    <n v="0.16"/>
    <n v="0.13639999999999999"/>
    <n v="0.47"/>
    <n v="0.28360000000000002"/>
    <n v="2"/>
    <n v="28"/>
    <n v="30"/>
    <x v="1"/>
    <x v="2"/>
    <x v="1"/>
    <x v="1"/>
    <x v="2"/>
    <n v="63.625"/>
    <n v="56.620638808922273"/>
    <n v="0.24945022807295639"/>
    <b v="0"/>
  </r>
  <r>
    <n v="222"/>
    <x v="9"/>
    <x v="0"/>
    <x v="12"/>
    <x v="0"/>
    <x v="2"/>
    <x v="1"/>
    <n v="0.2"/>
    <n v="0.18179999999999999"/>
    <n v="0.4"/>
    <n v="0.28360000000000002"/>
    <n v="5"/>
    <n v="47"/>
    <n v="52"/>
    <x v="1"/>
    <x v="2"/>
    <x v="1"/>
    <x v="2"/>
    <x v="0"/>
    <n v="64.541666666666671"/>
    <n v="56.229327924496658"/>
    <n v="0.12545537491431169"/>
    <b v="0"/>
  </r>
  <r>
    <n v="223"/>
    <x v="9"/>
    <x v="0"/>
    <x v="13"/>
    <x v="0"/>
    <x v="2"/>
    <x v="1"/>
    <n v="0.2"/>
    <n v="0.18179999999999999"/>
    <n v="0.4"/>
    <n v="0.28360000000000002"/>
    <n v="4"/>
    <n v="50"/>
    <n v="54"/>
    <x v="1"/>
    <x v="2"/>
    <x v="1"/>
    <x v="2"/>
    <x v="0"/>
    <n v="65"/>
    <n v="56.167451506149469"/>
    <n v="0.4357442482560186"/>
    <b v="1"/>
  </r>
  <r>
    <n v="224"/>
    <x v="9"/>
    <x v="0"/>
    <x v="14"/>
    <x v="0"/>
    <x v="2"/>
    <x v="1"/>
    <n v="0.2"/>
    <n v="0.19700000000000001"/>
    <n v="0.4"/>
    <n v="0.22389999999999999"/>
    <n v="0"/>
    <n v="47"/>
    <n v="47"/>
    <x v="1"/>
    <x v="2"/>
    <x v="1"/>
    <x v="2"/>
    <x v="0"/>
    <n v="64.708333333333329"/>
    <n v="56.245176926881754"/>
    <n v="-1.6218446367422701E-2"/>
    <b v="0"/>
  </r>
  <r>
    <n v="225"/>
    <x v="9"/>
    <x v="0"/>
    <x v="15"/>
    <x v="0"/>
    <x v="2"/>
    <x v="1"/>
    <n v="0.2"/>
    <n v="0.19700000000000001"/>
    <n v="0.4"/>
    <n v="0.22389999999999999"/>
    <n v="2"/>
    <n v="43"/>
    <n v="45"/>
    <x v="1"/>
    <x v="2"/>
    <x v="1"/>
    <x v="2"/>
    <x v="0"/>
    <n v="65.916666666666671"/>
    <n v="56.159645628346418"/>
    <n v="0.60673794372849166"/>
    <b v="0"/>
  </r>
  <r>
    <n v="226"/>
    <x v="9"/>
    <x v="0"/>
    <x v="16"/>
    <x v="0"/>
    <x v="2"/>
    <x v="0"/>
    <n v="0.2"/>
    <n v="0.21210000000000001"/>
    <n v="0.4"/>
    <n v="0.1343"/>
    <n v="4"/>
    <n v="70"/>
    <n v="74"/>
    <x v="0"/>
    <x v="2"/>
    <x v="1"/>
    <x v="2"/>
    <x v="0"/>
    <n v="69.708333333333329"/>
    <n v="57.735889800145046"/>
    <n v="1.8688912151921224"/>
    <b v="0"/>
  </r>
  <r>
    <n v="227"/>
    <x v="9"/>
    <x v="0"/>
    <x v="17"/>
    <x v="0"/>
    <x v="2"/>
    <x v="0"/>
    <n v="0.2"/>
    <n v="0.2273"/>
    <n v="0.4"/>
    <n v="0.1045"/>
    <n v="4"/>
    <n v="174"/>
    <n v="178"/>
    <x v="0"/>
    <x v="2"/>
    <x v="1"/>
    <x v="3"/>
    <x v="0"/>
    <n v="70.583333333333329"/>
    <n v="57.962444112858385"/>
    <n v="1.0596093449634494"/>
    <b v="0"/>
  </r>
  <r>
    <n v="228"/>
    <x v="9"/>
    <x v="0"/>
    <x v="18"/>
    <x v="0"/>
    <x v="2"/>
    <x v="0"/>
    <n v="0.2"/>
    <n v="0.19700000000000001"/>
    <n v="0.4"/>
    <n v="0.22389999999999999"/>
    <n v="1"/>
    <n v="154"/>
    <n v="155"/>
    <x v="0"/>
    <x v="2"/>
    <x v="1"/>
    <x v="3"/>
    <x v="0"/>
    <n v="65.291666666666671"/>
    <n v="53.342599964891967"/>
    <n v="2.1994070869814791E-2"/>
    <b v="0"/>
  </r>
  <r>
    <n v="229"/>
    <x v="9"/>
    <x v="0"/>
    <x v="19"/>
    <x v="0"/>
    <x v="2"/>
    <x v="0"/>
    <n v="0.16"/>
    <n v="0.16669999999999999"/>
    <n v="0.47"/>
    <n v="0.16420000000000001"/>
    <n v="3"/>
    <n v="92"/>
    <n v="95"/>
    <x v="0"/>
    <x v="2"/>
    <x v="1"/>
    <x v="3"/>
    <x v="2"/>
    <n v="60.166666666666664"/>
    <n v="50.162922966865779"/>
    <n v="-0.46159027329955604"/>
    <b v="0"/>
  </r>
  <r>
    <n v="230"/>
    <x v="9"/>
    <x v="0"/>
    <x v="20"/>
    <x v="0"/>
    <x v="2"/>
    <x v="0"/>
    <n v="0.16"/>
    <n v="0.16669999999999999"/>
    <n v="0.5"/>
    <n v="0.16420000000000001"/>
    <n v="1"/>
    <n v="73"/>
    <n v="74"/>
    <x v="0"/>
    <x v="2"/>
    <x v="1"/>
    <x v="3"/>
    <x v="2"/>
    <n v="57.041666666666664"/>
    <n v="50.23464867535386"/>
    <n v="-0.76445911501215946"/>
    <b v="0"/>
  </r>
  <r>
    <n v="231"/>
    <x v="9"/>
    <x v="0"/>
    <x v="21"/>
    <x v="0"/>
    <x v="2"/>
    <x v="0"/>
    <n v="0.14000000000000001"/>
    <n v="0.13639999999999999"/>
    <n v="0.59"/>
    <n v="0.19400000000000001"/>
    <n v="1"/>
    <n v="37"/>
    <n v="38"/>
    <x v="0"/>
    <x v="2"/>
    <x v="1"/>
    <x v="0"/>
    <x v="2"/>
    <n v="55.166666666666664"/>
    <n v="50.413651245313083"/>
    <n v="-0.53826299330993144"/>
    <b v="0"/>
  </r>
  <r>
    <n v="232"/>
    <x v="9"/>
    <x v="0"/>
    <x v="22"/>
    <x v="0"/>
    <x v="2"/>
    <x v="0"/>
    <n v="0.14000000000000001"/>
    <n v="0.1515"/>
    <n v="0.59"/>
    <n v="0.16420000000000001"/>
    <n v="2"/>
    <n v="22"/>
    <n v="24"/>
    <x v="0"/>
    <x v="2"/>
    <x v="1"/>
    <x v="0"/>
    <x v="2"/>
    <n v="54.375"/>
    <n v="50.842307357075214"/>
    <n v="-0.75216735158283643"/>
    <b v="1"/>
  </r>
  <r>
    <n v="233"/>
    <x v="9"/>
    <x v="0"/>
    <x v="23"/>
    <x v="0"/>
    <x v="2"/>
    <x v="0"/>
    <n v="0.14000000000000001"/>
    <n v="0.1515"/>
    <n v="0.59"/>
    <n v="0.16420000000000001"/>
    <n v="0"/>
    <n v="18"/>
    <n v="18"/>
    <x v="0"/>
    <x v="2"/>
    <x v="1"/>
    <x v="0"/>
    <x v="2"/>
    <n v="53.666666666666664"/>
    <n v="51.399261259000738"/>
    <n v="-1.0131828223841401"/>
    <b v="0"/>
  </r>
  <r>
    <n v="234"/>
    <x v="10"/>
    <x v="0"/>
    <x v="0"/>
    <x v="0"/>
    <x v="3"/>
    <x v="0"/>
    <n v="0.14000000000000001"/>
    <n v="0.16669999999999999"/>
    <n v="0.59"/>
    <n v="0.1045"/>
    <n v="2"/>
    <n v="10"/>
    <n v="12"/>
    <x v="0"/>
    <x v="3"/>
    <x v="1"/>
    <x v="0"/>
    <x v="2"/>
    <n v="53.166666666666664"/>
    <n v="51.817964541994144"/>
    <n v="-1.0265958679680862"/>
    <b v="0"/>
  </r>
  <r>
    <n v="235"/>
    <x v="10"/>
    <x v="0"/>
    <x v="1"/>
    <x v="0"/>
    <x v="3"/>
    <x v="0"/>
    <n v="0.14000000000000001"/>
    <n v="0.1515"/>
    <n v="0.59"/>
    <n v="0.16420000000000001"/>
    <n v="0"/>
    <n v="3"/>
    <n v="3"/>
    <x v="0"/>
    <x v="3"/>
    <x v="1"/>
    <x v="0"/>
    <x v="2"/>
    <n v="52.708333333333336"/>
    <n v="52.244807661012892"/>
    <n v="-1.1403229470768499"/>
    <b v="0"/>
  </r>
  <r>
    <n v="236"/>
    <x v="10"/>
    <x v="0"/>
    <x v="2"/>
    <x v="0"/>
    <x v="3"/>
    <x v="1"/>
    <n v="0.16"/>
    <n v="0.1515"/>
    <n v="0.55000000000000004"/>
    <n v="0.19400000000000001"/>
    <n v="0"/>
    <n v="3"/>
    <n v="3"/>
    <x v="1"/>
    <x v="3"/>
    <x v="1"/>
    <x v="0"/>
    <x v="2"/>
    <n v="52.791666666666664"/>
    <n v="52.163604808972572"/>
    <n v="-1.0508631334635423"/>
    <b v="0"/>
  </r>
  <r>
    <n v="237"/>
    <x v="10"/>
    <x v="0"/>
    <x v="5"/>
    <x v="0"/>
    <x v="3"/>
    <x v="1"/>
    <n v="0.16"/>
    <n v="0.18179999999999999"/>
    <n v="0.55000000000000004"/>
    <n v="0.1343"/>
    <n v="0"/>
    <n v="6"/>
    <n v="6"/>
    <x v="1"/>
    <x v="3"/>
    <x v="1"/>
    <x v="0"/>
    <x v="2"/>
    <n v="53.333333333333336"/>
    <n v="51.689429300866486"/>
    <n v="-0.78186783571870666"/>
    <b v="0"/>
  </r>
  <r>
    <n v="238"/>
    <x v="10"/>
    <x v="0"/>
    <x v="6"/>
    <x v="0"/>
    <x v="3"/>
    <x v="1"/>
    <n v="0.16"/>
    <n v="0.18179999999999999"/>
    <n v="0.55000000000000004"/>
    <n v="0.1343"/>
    <n v="0"/>
    <n v="27"/>
    <n v="27"/>
    <x v="1"/>
    <x v="3"/>
    <x v="1"/>
    <x v="1"/>
    <x v="2"/>
    <n v="55.333333333333336"/>
    <n v="50.697454413983856"/>
    <n v="0.12127091411573514"/>
    <b v="0"/>
  </r>
  <r>
    <n v="239"/>
    <x v="10"/>
    <x v="0"/>
    <x v="7"/>
    <x v="0"/>
    <x v="3"/>
    <x v="1"/>
    <n v="0.16"/>
    <n v="0.2273"/>
    <n v="0.55000000000000004"/>
    <n v="0"/>
    <n v="2"/>
    <n v="97"/>
    <n v="99"/>
    <x v="1"/>
    <x v="3"/>
    <x v="1"/>
    <x v="1"/>
    <x v="2"/>
    <n v="59.541666666666664"/>
    <n v="52.406421085726627"/>
    <n v="1.8860957690985767"/>
    <b v="0"/>
  </r>
  <r>
    <n v="240"/>
    <x v="10"/>
    <x v="0"/>
    <x v="8"/>
    <x v="0"/>
    <x v="3"/>
    <x v="1"/>
    <n v="0.18"/>
    <n v="0.21210000000000001"/>
    <n v="0.51"/>
    <n v="8.9599999999999999E-2"/>
    <n v="3"/>
    <n v="214"/>
    <n v="217"/>
    <x v="1"/>
    <x v="3"/>
    <x v="1"/>
    <x v="1"/>
    <x v="2"/>
    <n v="58.791666666666664"/>
    <n v="51.943932287123538"/>
    <n v="0.56871292038018284"/>
    <b v="0"/>
  </r>
  <r>
    <n v="241"/>
    <x v="10"/>
    <x v="0"/>
    <x v="9"/>
    <x v="0"/>
    <x v="3"/>
    <x v="1"/>
    <n v="0.18"/>
    <n v="0.19700000000000001"/>
    <n v="0.51"/>
    <n v="0.16420000000000001"/>
    <n v="3"/>
    <n v="127"/>
    <n v="130"/>
    <x v="1"/>
    <x v="3"/>
    <x v="1"/>
    <x v="1"/>
    <x v="2"/>
    <n v="51.375"/>
    <n v="39.617532899506479"/>
    <n v="-0.3107152852552017"/>
    <b v="0"/>
  </r>
  <r>
    <n v="242"/>
    <x v="10"/>
    <x v="0"/>
    <x v="10"/>
    <x v="0"/>
    <x v="3"/>
    <x v="1"/>
    <n v="0.2"/>
    <n v="0.21210000000000001"/>
    <n v="0.51"/>
    <n v="0.16420000000000001"/>
    <n v="3"/>
    <n v="51"/>
    <n v="54"/>
    <x v="1"/>
    <x v="3"/>
    <x v="1"/>
    <x v="1"/>
    <x v="0"/>
    <n v="47.416666666666664"/>
    <n v="36.001107068323989"/>
    <n v="-0.38629962747272667"/>
    <b v="0"/>
  </r>
  <r>
    <n v="243"/>
    <x v="10"/>
    <x v="0"/>
    <x v="11"/>
    <x v="0"/>
    <x v="3"/>
    <x v="1"/>
    <n v="0.2"/>
    <n v="0.21210000000000001"/>
    <n v="0.47"/>
    <n v="0.1343"/>
    <n v="4"/>
    <n v="31"/>
    <n v="35"/>
    <x v="1"/>
    <x v="3"/>
    <x v="1"/>
    <x v="1"/>
    <x v="0"/>
    <n v="47.458333333333336"/>
    <n v="36.009635385264737"/>
    <n v="-5.5788720397109606E-3"/>
    <b v="0"/>
  </r>
  <r>
    <n v="244"/>
    <x v="10"/>
    <x v="0"/>
    <x v="12"/>
    <x v="0"/>
    <x v="3"/>
    <x v="1"/>
    <n v="0.2"/>
    <n v="0.2273"/>
    <n v="0.51"/>
    <n v="0.1045"/>
    <n v="2"/>
    <n v="55"/>
    <n v="57"/>
    <x v="1"/>
    <x v="3"/>
    <x v="1"/>
    <x v="2"/>
    <x v="0"/>
    <n v="48.041666666666664"/>
    <n v="35.912307647653478"/>
    <n v="-0.11794356247094583"/>
    <b v="0"/>
  </r>
  <r>
    <n v="245"/>
    <x v="10"/>
    <x v="0"/>
    <x v="13"/>
    <x v="0"/>
    <x v="3"/>
    <x v="1"/>
    <n v="0.2"/>
    <n v="0.2273"/>
    <n v="0.59"/>
    <n v="8.9599999999999999E-2"/>
    <n v="6"/>
    <n v="46"/>
    <n v="52"/>
    <x v="1"/>
    <x v="3"/>
    <x v="1"/>
    <x v="2"/>
    <x v="0"/>
    <n v="47.5"/>
    <n v="35.869328062457122"/>
    <n v="-0.23936165506944182"/>
    <b v="0"/>
  </r>
  <r>
    <n v="246"/>
    <x v="10"/>
    <x v="0"/>
    <x v="14"/>
    <x v="0"/>
    <x v="3"/>
    <x v="1"/>
    <n v="0.2"/>
    <n v="0.2273"/>
    <n v="0.59"/>
    <n v="8.9599999999999999E-2"/>
    <n v="3"/>
    <n v="60"/>
    <n v="63"/>
    <x v="1"/>
    <x v="3"/>
    <x v="1"/>
    <x v="2"/>
    <x v="0"/>
    <n v="47.375"/>
    <n v="35.858189895875888"/>
    <n v="-0.14260513874517033"/>
    <b v="0"/>
  </r>
  <r>
    <n v="247"/>
    <x v="10"/>
    <x v="0"/>
    <x v="15"/>
    <x v="0"/>
    <x v="3"/>
    <x v="1"/>
    <n v="0.16"/>
    <n v="0.19700000000000001"/>
    <n v="0.8"/>
    <n v="8.9599999999999999E-2"/>
    <n v="2"/>
    <n v="45"/>
    <n v="47"/>
    <x v="1"/>
    <x v="3"/>
    <x v="1"/>
    <x v="2"/>
    <x v="2"/>
    <n v="47.583333333333336"/>
    <n v="35.967275786973801"/>
    <n v="0.21002742254817117"/>
    <b v="1"/>
  </r>
  <r>
    <n v="248"/>
    <x v="10"/>
    <x v="0"/>
    <x v="16"/>
    <x v="0"/>
    <x v="3"/>
    <x v="1"/>
    <n v="0.16"/>
    <n v="0.1515"/>
    <n v="0.86"/>
    <n v="0.22389999999999999"/>
    <n v="4"/>
    <n v="72"/>
    <n v="76"/>
    <x v="1"/>
    <x v="3"/>
    <x v="1"/>
    <x v="2"/>
    <x v="2"/>
    <n v="51.416666666666664"/>
    <n v="40.517217667754927"/>
    <n v="1.5487650454190063"/>
    <b v="1"/>
  </r>
  <r>
    <n v="249"/>
    <x v="10"/>
    <x v="0"/>
    <x v="17"/>
    <x v="0"/>
    <x v="3"/>
    <x v="1"/>
    <n v="0.16"/>
    <n v="0.1515"/>
    <n v="0.86"/>
    <n v="0.22389999999999999"/>
    <n v="6"/>
    <n v="130"/>
    <n v="136"/>
    <x v="1"/>
    <x v="3"/>
    <x v="1"/>
    <x v="3"/>
    <x v="2"/>
    <n v="53.958333333333336"/>
    <n v="43.898577937417699"/>
    <n v="1.445207588095873"/>
    <b v="0"/>
  </r>
  <r>
    <n v="250"/>
    <x v="10"/>
    <x v="0"/>
    <x v="18"/>
    <x v="0"/>
    <x v="3"/>
    <x v="2"/>
    <n v="0.16"/>
    <n v="0.18179999999999999"/>
    <n v="0.93"/>
    <n v="0.1045"/>
    <n v="1"/>
    <n v="94"/>
    <n v="95"/>
    <x v="2"/>
    <x v="3"/>
    <x v="1"/>
    <x v="3"/>
    <x v="2"/>
    <n v="51.75"/>
    <n v="40.816929565199224"/>
    <n v="0.44407429428042278"/>
    <b v="0"/>
  </r>
  <r>
    <n v="251"/>
    <x v="10"/>
    <x v="0"/>
    <x v="19"/>
    <x v="0"/>
    <x v="3"/>
    <x v="2"/>
    <n v="0.16"/>
    <n v="0.2273"/>
    <n v="0.93"/>
    <n v="0"/>
    <n v="0"/>
    <n v="51"/>
    <n v="51"/>
    <x v="2"/>
    <x v="3"/>
    <x v="1"/>
    <x v="3"/>
    <x v="2"/>
    <n v="50.125"/>
    <n v="39.783449147691513"/>
    <n v="-5.9530204883527948E-2"/>
    <b v="0"/>
  </r>
  <r>
    <n v="252"/>
    <x v="10"/>
    <x v="0"/>
    <x v="20"/>
    <x v="0"/>
    <x v="3"/>
    <x v="2"/>
    <n v="0.16"/>
    <n v="0.1515"/>
    <n v="0.93"/>
    <n v="0.19400000000000001"/>
    <n v="0"/>
    <n v="32"/>
    <n v="32"/>
    <x v="2"/>
    <x v="3"/>
    <x v="1"/>
    <x v="3"/>
    <x v="2"/>
    <n v="50.375"/>
    <n v="39.808031197562222"/>
    <n v="-4.7470529378246272E-2"/>
    <b v="0"/>
  </r>
  <r>
    <n v="253"/>
    <x v="10"/>
    <x v="0"/>
    <x v="21"/>
    <x v="0"/>
    <x v="3"/>
    <x v="2"/>
    <n v="0.16"/>
    <n v="0.19700000000000001"/>
    <n v="0.86"/>
    <n v="8.9599999999999999E-2"/>
    <n v="0"/>
    <n v="20"/>
    <n v="20"/>
    <x v="2"/>
    <x v="3"/>
    <x v="1"/>
    <x v="0"/>
    <x v="2"/>
    <n v="50.416666666666664"/>
    <n v="39.78848059936189"/>
    <n v="-0.46746182680246168"/>
    <b v="0"/>
  </r>
  <r>
    <n v="254"/>
    <x v="10"/>
    <x v="0"/>
    <x v="22"/>
    <x v="0"/>
    <x v="3"/>
    <x v="2"/>
    <n v="0.16"/>
    <n v="0.18179999999999999"/>
    <n v="0.93"/>
    <n v="0.1045"/>
    <n v="1"/>
    <n v="28"/>
    <n v="29"/>
    <x v="2"/>
    <x v="3"/>
    <x v="1"/>
    <x v="0"/>
    <x v="2"/>
    <n v="50.416666666666664"/>
    <n v="39.78848059936189"/>
    <n v="-0.69887887130741877"/>
    <b v="0"/>
  </r>
  <r>
    <n v="255"/>
    <x v="10"/>
    <x v="0"/>
    <x v="23"/>
    <x v="0"/>
    <x v="3"/>
    <x v="2"/>
    <n v="0.16"/>
    <n v="0.19700000000000001"/>
    <n v="0.93"/>
    <n v="8.9599999999999999E-2"/>
    <n v="1"/>
    <n v="18"/>
    <n v="19"/>
    <x v="2"/>
    <x v="3"/>
    <x v="1"/>
    <x v="0"/>
    <x v="2"/>
    <n v="49.5"/>
    <n v="40.549486674497096"/>
    <n v="-0.9266470677418589"/>
    <b v="0"/>
  </r>
  <r>
    <n v="256"/>
    <x v="11"/>
    <x v="0"/>
    <x v="0"/>
    <x v="0"/>
    <x v="4"/>
    <x v="1"/>
    <n v="0.16"/>
    <n v="0.19700000000000001"/>
    <n v="0.86"/>
    <n v="8.9599999999999999E-2"/>
    <n v="0"/>
    <n v="7"/>
    <n v="7"/>
    <x v="1"/>
    <x v="4"/>
    <x v="1"/>
    <x v="0"/>
    <x v="2"/>
    <n v="48.791666666666664"/>
    <n v="41.247902889160599"/>
    <n v="-1.0265813213765262"/>
    <b v="1"/>
  </r>
  <r>
    <n v="257"/>
    <x v="11"/>
    <x v="0"/>
    <x v="1"/>
    <x v="0"/>
    <x v="4"/>
    <x v="1"/>
    <n v="0.16"/>
    <n v="0.18179999999999999"/>
    <n v="0.86"/>
    <n v="0.1045"/>
    <n v="0"/>
    <n v="6"/>
    <n v="6"/>
    <x v="1"/>
    <x v="4"/>
    <x v="1"/>
    <x v="0"/>
    <x v="2"/>
    <n v="48.583333333333336"/>
    <n v="41.480133187772701"/>
    <n v="-1.031269892317433"/>
    <b v="1"/>
  </r>
  <r>
    <n v="258"/>
    <x v="11"/>
    <x v="0"/>
    <x v="2"/>
    <x v="0"/>
    <x v="4"/>
    <x v="0"/>
    <n v="0.14000000000000001"/>
    <n v="0.1515"/>
    <n v="0.86"/>
    <n v="0.1343"/>
    <n v="0"/>
    <n v="1"/>
    <n v="1"/>
    <x v="0"/>
    <x v="4"/>
    <x v="1"/>
    <x v="0"/>
    <x v="2"/>
    <n v="48.458333333333336"/>
    <n v="41.618327031820201"/>
    <n v="-1.0115963918783788"/>
    <b v="0"/>
  </r>
  <r>
    <n v="259"/>
    <x v="11"/>
    <x v="0"/>
    <x v="5"/>
    <x v="0"/>
    <x v="4"/>
    <x v="0"/>
    <n v="0.14000000000000001"/>
    <n v="0.1515"/>
    <n v="0.86"/>
    <n v="0.16420000000000001"/>
    <n v="0"/>
    <n v="5"/>
    <n v="5"/>
    <x v="0"/>
    <x v="4"/>
    <x v="1"/>
    <x v="0"/>
    <x v="2"/>
    <n v="48.583333333333336"/>
    <n v="41.473843686653012"/>
    <n v="-0.99041161509193576"/>
    <b v="0"/>
  </r>
  <r>
    <n v="260"/>
    <x v="11"/>
    <x v="0"/>
    <x v="6"/>
    <x v="0"/>
    <x v="4"/>
    <x v="0"/>
    <n v="0.12"/>
    <n v="0.1515"/>
    <n v="0.93"/>
    <n v="0.1343"/>
    <n v="0"/>
    <n v="16"/>
    <n v="16"/>
    <x v="0"/>
    <x v="4"/>
    <x v="1"/>
    <x v="1"/>
    <x v="2"/>
    <n v="48.5"/>
    <n v="41.567127480215923"/>
    <n v="-1.014516524807118"/>
    <b v="0"/>
  </r>
  <r>
    <n v="261"/>
    <x v="11"/>
    <x v="0"/>
    <x v="7"/>
    <x v="0"/>
    <x v="4"/>
    <x v="0"/>
    <n v="0.14000000000000001"/>
    <n v="0.1515"/>
    <n v="0.69"/>
    <n v="0.1343"/>
    <n v="0"/>
    <n v="54"/>
    <n v="54"/>
    <x v="0"/>
    <x v="4"/>
    <x v="1"/>
    <x v="1"/>
    <x v="2"/>
    <n v="49"/>
    <n v="41.230001739974021"/>
    <n v="-0.57822265605323397"/>
    <b v="0"/>
  </r>
  <r>
    <n v="262"/>
    <x v="11"/>
    <x v="0"/>
    <x v="8"/>
    <x v="0"/>
    <x v="4"/>
    <x v="0"/>
    <n v="0.16"/>
    <n v="0.16669999999999999"/>
    <n v="0.59"/>
    <n v="0.16420000000000001"/>
    <n v="3"/>
    <n v="125"/>
    <n v="128"/>
    <x v="0"/>
    <x v="4"/>
    <x v="1"/>
    <x v="1"/>
    <x v="2"/>
    <n v="49.75"/>
    <n v="41.487819060957911"/>
    <n v="0.19564283227752652"/>
    <b v="0"/>
  </r>
  <r>
    <n v="263"/>
    <x v="11"/>
    <x v="0"/>
    <x v="9"/>
    <x v="0"/>
    <x v="4"/>
    <x v="0"/>
    <n v="0.16"/>
    <n v="0.13639999999999999"/>
    <n v="0.59"/>
    <n v="0.32840000000000003"/>
    <n v="3"/>
    <n v="78"/>
    <n v="81"/>
    <x v="0"/>
    <x v="4"/>
    <x v="1"/>
    <x v="1"/>
    <x v="2"/>
    <n v="52.833333333333336"/>
    <n v="49.527038435907755"/>
    <n v="2.3723275169888662"/>
    <b v="0"/>
  </r>
  <r>
    <n v="264"/>
    <x v="11"/>
    <x v="0"/>
    <x v="10"/>
    <x v="0"/>
    <x v="4"/>
    <x v="0"/>
    <n v="0.18"/>
    <n v="0.18179999999999999"/>
    <n v="0.55000000000000004"/>
    <n v="0.22389999999999999"/>
    <n v="0"/>
    <n v="39"/>
    <n v="39"/>
    <x v="0"/>
    <x v="4"/>
    <x v="1"/>
    <x v="1"/>
    <x v="2"/>
    <n v="55.25"/>
    <n v="52.298682334386243"/>
    <n v="1.5142360828793096"/>
    <b v="0"/>
  </r>
  <r>
    <n v="265"/>
    <x v="11"/>
    <x v="0"/>
    <x v="11"/>
    <x v="0"/>
    <x v="4"/>
    <x v="0"/>
    <n v="0.2"/>
    <n v="0.18179999999999999"/>
    <n v="0.51"/>
    <n v="0.3881"/>
    <n v="3"/>
    <n v="32"/>
    <n v="35"/>
    <x v="0"/>
    <x v="4"/>
    <x v="1"/>
    <x v="1"/>
    <x v="0"/>
    <n v="55.208333333333336"/>
    <n v="52.312588198807092"/>
    <n v="-0.4005214708332856"/>
    <b v="0"/>
  </r>
  <r>
    <n v="266"/>
    <x v="11"/>
    <x v="0"/>
    <x v="12"/>
    <x v="0"/>
    <x v="4"/>
    <x v="0"/>
    <n v="0.2"/>
    <n v="0.1515"/>
    <n v="0.47"/>
    <n v="0.58209999999999995"/>
    <n v="3"/>
    <n v="52"/>
    <n v="55"/>
    <x v="0"/>
    <x v="4"/>
    <x v="1"/>
    <x v="2"/>
    <x v="0"/>
    <n v="55.291666666666664"/>
    <n v="52.280580122747438"/>
    <n v="-0.43544867878210047"/>
    <b v="0"/>
  </r>
  <r>
    <n v="267"/>
    <x v="11"/>
    <x v="0"/>
    <x v="13"/>
    <x v="0"/>
    <x v="4"/>
    <x v="0"/>
    <n v="0.22"/>
    <n v="0.19700000000000001"/>
    <n v="0.44"/>
    <n v="0.35820000000000002"/>
    <n v="0"/>
    <n v="49"/>
    <n v="49"/>
    <x v="0"/>
    <x v="4"/>
    <x v="1"/>
    <x v="2"/>
    <x v="0"/>
    <n v="55.166666666666664"/>
    <n v="52.284894041468"/>
    <n v="-0.1469250750914225"/>
    <b v="0"/>
  </r>
  <r>
    <n v="268"/>
    <x v="11"/>
    <x v="0"/>
    <x v="14"/>
    <x v="0"/>
    <x v="4"/>
    <x v="0"/>
    <n v="0.2"/>
    <n v="0.18179999999999999"/>
    <n v="0.47"/>
    <n v="0.32840000000000003"/>
    <n v="0"/>
    <n v="44"/>
    <n v="44"/>
    <x v="0"/>
    <x v="4"/>
    <x v="1"/>
    <x v="2"/>
    <x v="0"/>
    <n v="56.583333333333336"/>
    <n v="52.570380705642904"/>
    <n v="0.47339892066651557"/>
    <b v="0"/>
  </r>
  <r>
    <n v="269"/>
    <x v="11"/>
    <x v="0"/>
    <x v="15"/>
    <x v="0"/>
    <x v="4"/>
    <x v="0"/>
    <n v="0.2"/>
    <n v="0.16669999999999999"/>
    <n v="0.47"/>
    <n v="0.41789999999999999"/>
    <n v="1"/>
    <n v="48"/>
    <n v="49"/>
    <x v="0"/>
    <x v="4"/>
    <x v="1"/>
    <x v="2"/>
    <x v="0"/>
    <n v="56.5"/>
    <n v="52.592775169218825"/>
    <n v="-0.36047451203565445"/>
    <b v="0"/>
  </r>
  <r>
    <n v="270"/>
    <x v="11"/>
    <x v="0"/>
    <x v="16"/>
    <x v="0"/>
    <x v="4"/>
    <x v="0"/>
    <n v="0.22"/>
    <n v="0.19700000000000001"/>
    <n v="0.44"/>
    <n v="0.32840000000000003"/>
    <n v="5"/>
    <n v="63"/>
    <n v="68"/>
    <x v="0"/>
    <x v="4"/>
    <x v="1"/>
    <x v="2"/>
    <x v="0"/>
    <n v="56.958333333333336"/>
    <n v="52.572499975017244"/>
    <n v="-8.6859799767491103E-3"/>
    <b v="1"/>
  </r>
  <r>
    <n v="271"/>
    <x v="11"/>
    <x v="0"/>
    <x v="17"/>
    <x v="0"/>
    <x v="4"/>
    <x v="0"/>
    <n v="0.2"/>
    <n v="0.18179999999999999"/>
    <n v="0.47"/>
    <n v="0.35820000000000002"/>
    <n v="0"/>
    <n v="139"/>
    <n v="139"/>
    <x v="0"/>
    <x v="4"/>
    <x v="1"/>
    <x v="3"/>
    <x v="0"/>
    <n v="57.375"/>
    <n v="52.703281392767352"/>
    <n v="0.33782800592736023"/>
    <b v="0"/>
  </r>
  <r>
    <n v="272"/>
    <x v="11"/>
    <x v="0"/>
    <x v="18"/>
    <x v="0"/>
    <x v="4"/>
    <x v="0"/>
    <n v="0.2"/>
    <n v="0.1515"/>
    <n v="0.47"/>
    <n v="0.52239999999999998"/>
    <n v="2"/>
    <n v="135"/>
    <n v="137"/>
    <x v="0"/>
    <x v="4"/>
    <x v="1"/>
    <x v="3"/>
    <x v="0"/>
    <n v="58.333333333333336"/>
    <n v="54.432779978905025"/>
    <n v="1.857059520665961"/>
    <b v="0"/>
  </r>
  <r>
    <n v="273"/>
    <x v="11"/>
    <x v="0"/>
    <x v="19"/>
    <x v="0"/>
    <x v="4"/>
    <x v="0"/>
    <n v="0.18"/>
    <n v="0.1515"/>
    <n v="0.47"/>
    <n v="0.41789999999999999"/>
    <n v="1"/>
    <n v="82"/>
    <n v="83"/>
    <x v="0"/>
    <x v="4"/>
    <x v="1"/>
    <x v="3"/>
    <x v="2"/>
    <n v="58.625"/>
    <n v="54.889464024251183"/>
    <n v="1.5813213611887156"/>
    <b v="0"/>
  </r>
  <r>
    <n v="274"/>
    <x v="11"/>
    <x v="0"/>
    <x v="20"/>
    <x v="0"/>
    <x v="4"/>
    <x v="0"/>
    <n v="0.16"/>
    <n v="0.13639999999999999"/>
    <n v="0.5"/>
    <n v="0.32840000000000003"/>
    <n v="2"/>
    <n v="54"/>
    <n v="56"/>
    <x v="0"/>
    <x v="4"/>
    <x v="1"/>
    <x v="3"/>
    <x v="2"/>
    <n v="59.291666666666664"/>
    <n v="55.29405909331031"/>
    <n v="0.77233750013340174"/>
    <b v="0"/>
  </r>
  <r>
    <n v="275"/>
    <x v="11"/>
    <x v="0"/>
    <x v="21"/>
    <x v="0"/>
    <x v="4"/>
    <x v="0"/>
    <n v="0.16"/>
    <n v="0.13639999999999999"/>
    <n v="0.55000000000000004"/>
    <n v="0.32840000000000003"/>
    <n v="0"/>
    <n v="57"/>
    <n v="57"/>
    <x v="0"/>
    <x v="4"/>
    <x v="1"/>
    <x v="0"/>
    <x v="2"/>
    <n v="59.625"/>
    <n v="55.29746633082474"/>
    <n v="7.1223108843159355E-2"/>
    <b v="0"/>
  </r>
  <r>
    <n v="276"/>
    <x v="11"/>
    <x v="0"/>
    <x v="22"/>
    <x v="0"/>
    <x v="4"/>
    <x v="0"/>
    <n v="0.16"/>
    <n v="0.1212"/>
    <n v="0.55000000000000004"/>
    <n v="0.44779999999999998"/>
    <n v="1"/>
    <n v="32"/>
    <n v="33"/>
    <x v="0"/>
    <x v="4"/>
    <x v="1"/>
    <x v="0"/>
    <x v="2"/>
    <n v="58.916666666666664"/>
    <n v="55.441247136567654"/>
    <n v="-0.42446658809175541"/>
    <b v="0"/>
  </r>
  <r>
    <n v="277"/>
    <x v="11"/>
    <x v="0"/>
    <x v="23"/>
    <x v="0"/>
    <x v="4"/>
    <x v="0"/>
    <n v="0.14000000000000001"/>
    <n v="0.1061"/>
    <n v="0.59"/>
    <n v="0.41789999999999999"/>
    <n v="1"/>
    <n v="19"/>
    <n v="20"/>
    <x v="0"/>
    <x v="4"/>
    <x v="1"/>
    <x v="0"/>
    <x v="2"/>
    <n v="58.791666666666664"/>
    <n v="55.50556506894771"/>
    <n v="-0.6307916604435827"/>
    <b v="0"/>
  </r>
  <r>
    <n v="278"/>
    <x v="12"/>
    <x v="0"/>
    <x v="0"/>
    <x v="0"/>
    <x v="5"/>
    <x v="0"/>
    <n v="0.14000000000000001"/>
    <n v="0.1212"/>
    <n v="0.59"/>
    <n v="0.28360000000000002"/>
    <n v="1"/>
    <n v="6"/>
    <n v="7"/>
    <x v="0"/>
    <x v="5"/>
    <x v="1"/>
    <x v="0"/>
    <x v="2"/>
    <n v="58.583333333333336"/>
    <n v="55.666644970923478"/>
    <n v="-0.94228500458356057"/>
    <b v="0"/>
  </r>
  <r>
    <n v="279"/>
    <x v="12"/>
    <x v="0"/>
    <x v="1"/>
    <x v="0"/>
    <x v="5"/>
    <x v="0"/>
    <n v="0.14000000000000001"/>
    <n v="0.1212"/>
    <n v="0.5"/>
    <n v="0.28360000000000002"/>
    <n v="0"/>
    <n v="2"/>
    <n v="2"/>
    <x v="0"/>
    <x v="5"/>
    <x v="1"/>
    <x v="0"/>
    <x v="2"/>
    <n v="58.875"/>
    <n v="55.402332787174849"/>
    <n v="-0.98421962302830823"/>
    <b v="1"/>
  </r>
  <r>
    <n v="280"/>
    <x v="12"/>
    <x v="0"/>
    <x v="2"/>
    <x v="0"/>
    <x v="5"/>
    <x v="0"/>
    <n v="0.14000000000000001"/>
    <n v="0.1212"/>
    <n v="0.5"/>
    <n v="0.35820000000000002"/>
    <n v="0"/>
    <n v="2"/>
    <n v="2"/>
    <x v="0"/>
    <x v="5"/>
    <x v="1"/>
    <x v="0"/>
    <x v="2"/>
    <n v="59"/>
    <n v="55.271661108918472"/>
    <n v="-1.1866136543094137"/>
    <b v="1"/>
  </r>
  <r>
    <n v="281"/>
    <x v="12"/>
    <x v="0"/>
    <x v="3"/>
    <x v="0"/>
    <x v="5"/>
    <x v="0"/>
    <n v="0.14000000000000001"/>
    <n v="0.1212"/>
    <n v="0.5"/>
    <n v="0.32840000000000003"/>
    <n v="0"/>
    <n v="3"/>
    <n v="3"/>
    <x v="0"/>
    <x v="5"/>
    <x v="1"/>
    <x v="0"/>
    <x v="2"/>
    <n v="58.958333333333336"/>
    <n v="55.316857377701126"/>
    <n v="-1.2875201010384303"/>
    <b v="0"/>
  </r>
  <r>
    <n v="282"/>
    <x v="12"/>
    <x v="0"/>
    <x v="4"/>
    <x v="0"/>
    <x v="5"/>
    <x v="0"/>
    <n v="0.14000000000000001"/>
    <n v="0.1212"/>
    <n v="0.5"/>
    <n v="0.25369999999999998"/>
    <n v="0"/>
    <n v="4"/>
    <n v="4"/>
    <x v="0"/>
    <x v="5"/>
    <x v="1"/>
    <x v="0"/>
    <x v="2"/>
    <n v="58.875"/>
    <n v="55.406256513768959"/>
    <n v="-1.3041961511970126"/>
    <b v="0"/>
  </r>
  <r>
    <n v="283"/>
    <x v="12"/>
    <x v="0"/>
    <x v="5"/>
    <x v="0"/>
    <x v="5"/>
    <x v="0"/>
    <n v="0.14000000000000001"/>
    <n v="0.1212"/>
    <n v="0.5"/>
    <n v="0.29849999999999999"/>
    <n v="0"/>
    <n v="3"/>
    <n v="3"/>
    <x v="0"/>
    <x v="5"/>
    <x v="1"/>
    <x v="0"/>
    <x v="2"/>
    <n v="59.041666666666664"/>
    <n v="55.239777072454707"/>
    <n v="-1.161715866690588"/>
    <b v="0"/>
  </r>
  <r>
    <n v="284"/>
    <x v="12"/>
    <x v="0"/>
    <x v="6"/>
    <x v="0"/>
    <x v="5"/>
    <x v="0"/>
    <n v="0.12"/>
    <n v="0.1515"/>
    <n v="0.54"/>
    <n v="0.1343"/>
    <n v="0"/>
    <n v="28"/>
    <n v="28"/>
    <x v="0"/>
    <x v="5"/>
    <x v="1"/>
    <x v="1"/>
    <x v="2"/>
    <n v="59.625"/>
    <n v="54.693463960513597"/>
    <n v="-0.95172855595649186"/>
    <b v="0"/>
  </r>
  <r>
    <n v="285"/>
    <x v="12"/>
    <x v="0"/>
    <x v="7"/>
    <x v="0"/>
    <x v="5"/>
    <x v="0"/>
    <n v="0.12"/>
    <n v="0.1515"/>
    <n v="0.54"/>
    <n v="0.1343"/>
    <n v="0"/>
    <n v="72"/>
    <n v="72"/>
    <x v="0"/>
    <x v="5"/>
    <x v="1"/>
    <x v="1"/>
    <x v="2"/>
    <n v="61.375"/>
    <n v="54.308148559861621"/>
    <n v="0.20220528194857867"/>
    <b v="0"/>
  </r>
  <r>
    <n v="286"/>
    <x v="12"/>
    <x v="0"/>
    <x v="8"/>
    <x v="0"/>
    <x v="5"/>
    <x v="0"/>
    <n v="0.14000000000000001"/>
    <n v="0.13639999999999999"/>
    <n v="0.5"/>
    <n v="0.19400000000000001"/>
    <n v="5"/>
    <n v="197"/>
    <n v="202"/>
    <x v="0"/>
    <x v="5"/>
    <x v="1"/>
    <x v="1"/>
    <x v="2"/>
    <n v="64.958333333333329"/>
    <n v="57.766756775898344"/>
    <n v="2.0816448814367741"/>
    <b v="0"/>
  </r>
  <r>
    <n v="287"/>
    <x v="12"/>
    <x v="0"/>
    <x v="9"/>
    <x v="0"/>
    <x v="5"/>
    <x v="0"/>
    <n v="0.14000000000000001"/>
    <n v="0.1212"/>
    <n v="0.5"/>
    <n v="0.32840000000000003"/>
    <n v="2"/>
    <n v="137"/>
    <n v="139"/>
    <x v="0"/>
    <x v="5"/>
    <x v="1"/>
    <x v="1"/>
    <x v="2"/>
    <n v="61.416666666666664"/>
    <n v="51.235956011435924"/>
    <n v="1.4852589686948297"/>
    <b v="0"/>
  </r>
  <r>
    <n v="288"/>
    <x v="12"/>
    <x v="0"/>
    <x v="10"/>
    <x v="0"/>
    <x v="5"/>
    <x v="1"/>
    <n v="0.16"/>
    <n v="0.13639999999999999"/>
    <n v="0.5"/>
    <n v="0.35820000000000002"/>
    <n v="2"/>
    <n v="36"/>
    <n v="38"/>
    <x v="1"/>
    <x v="5"/>
    <x v="1"/>
    <x v="1"/>
    <x v="2"/>
    <n v="57.458333333333336"/>
    <n v="48.582497444769288"/>
    <n v="-0.1177125052794037"/>
    <b v="0"/>
  </r>
  <r>
    <n v="289"/>
    <x v="12"/>
    <x v="0"/>
    <x v="11"/>
    <x v="0"/>
    <x v="5"/>
    <x v="1"/>
    <n v="0.2"/>
    <n v="0.16669999999999999"/>
    <n v="0.44"/>
    <n v="0.44779999999999998"/>
    <n v="4"/>
    <n v="33"/>
    <n v="37"/>
    <x v="1"/>
    <x v="5"/>
    <x v="1"/>
    <x v="1"/>
    <x v="0"/>
    <n v="58.083333333333336"/>
    <n v="48.417492946128526"/>
    <n v="8.4437328429488617E-2"/>
    <b v="0"/>
  </r>
  <r>
    <n v="290"/>
    <x v="12"/>
    <x v="0"/>
    <x v="12"/>
    <x v="0"/>
    <x v="5"/>
    <x v="0"/>
    <n v="0.2"/>
    <n v="0.16669999999999999"/>
    <n v="0.44"/>
    <n v="0.41789999999999999"/>
    <n v="3"/>
    <n v="49"/>
    <n v="52"/>
    <x v="0"/>
    <x v="5"/>
    <x v="1"/>
    <x v="2"/>
    <x v="0"/>
    <n v="59.083333333333336"/>
    <n v="48.210513616724782"/>
    <n v="0.25678657623592954"/>
    <b v="0"/>
  </r>
  <r>
    <n v="291"/>
    <x v="12"/>
    <x v="0"/>
    <x v="13"/>
    <x v="0"/>
    <x v="5"/>
    <x v="0"/>
    <n v="0.22"/>
    <n v="0.19700000000000001"/>
    <n v="0.41"/>
    <n v="0.44779999999999998"/>
    <n v="2"/>
    <n v="81"/>
    <n v="83"/>
    <x v="0"/>
    <x v="5"/>
    <x v="1"/>
    <x v="2"/>
    <x v="0"/>
    <n v="60.125"/>
    <n v="48.320769231567859"/>
    <n v="0.6024015988071616"/>
    <b v="0"/>
  </r>
  <r>
    <n v="292"/>
    <x v="12"/>
    <x v="0"/>
    <x v="14"/>
    <x v="0"/>
    <x v="5"/>
    <x v="0"/>
    <n v="0.22"/>
    <n v="0.19700000000000001"/>
    <n v="0.41"/>
    <n v="0.3881"/>
    <n v="3"/>
    <n v="39"/>
    <n v="42"/>
    <x v="0"/>
    <x v="5"/>
    <x v="1"/>
    <x v="2"/>
    <x v="0"/>
    <n v="59.333333333333336"/>
    <n v="48.084768144769413"/>
    <n v="0.26654041273218865"/>
    <b v="0"/>
  </r>
  <r>
    <n v="293"/>
    <x v="12"/>
    <x v="0"/>
    <x v="15"/>
    <x v="0"/>
    <x v="5"/>
    <x v="0"/>
    <n v="0.24"/>
    <n v="0.21210000000000001"/>
    <n v="0.38"/>
    <n v="0.29849999999999999"/>
    <n v="5"/>
    <n v="55"/>
    <n v="60"/>
    <x v="0"/>
    <x v="5"/>
    <x v="1"/>
    <x v="2"/>
    <x v="0"/>
    <n v="60.416666666666664"/>
    <n v="47.970023852462248"/>
    <n v="0.29351102833866333"/>
    <b v="0"/>
  </r>
  <r>
    <n v="294"/>
    <x v="12"/>
    <x v="0"/>
    <x v="16"/>
    <x v="0"/>
    <x v="5"/>
    <x v="0"/>
    <n v="0.24"/>
    <n v="0.21210000000000001"/>
    <n v="0.38"/>
    <n v="0.35820000000000002"/>
    <n v="2"/>
    <n v="76"/>
    <n v="78"/>
    <x v="0"/>
    <x v="5"/>
    <x v="1"/>
    <x v="2"/>
    <x v="0"/>
    <n v="61.666666666666664"/>
    <n v="48.348073714306942"/>
    <n v="0.68643309530569352"/>
    <b v="0"/>
  </r>
  <r>
    <n v="295"/>
    <x v="12"/>
    <x v="0"/>
    <x v="17"/>
    <x v="0"/>
    <x v="5"/>
    <x v="0"/>
    <n v="0.2"/>
    <n v="0.18179999999999999"/>
    <n v="0.4"/>
    <n v="0.28360000000000002"/>
    <n v="4"/>
    <n v="158"/>
    <n v="162"/>
    <x v="0"/>
    <x v="5"/>
    <x v="1"/>
    <x v="3"/>
    <x v="0"/>
    <n v="65.041666666666671"/>
    <n v="52.210676208462644"/>
    <n v="2.0258785034082782"/>
    <b v="0"/>
  </r>
  <r>
    <n v="296"/>
    <x v="12"/>
    <x v="0"/>
    <x v="18"/>
    <x v="0"/>
    <x v="5"/>
    <x v="0"/>
    <n v="0.2"/>
    <n v="0.18179999999999999"/>
    <n v="0.4"/>
    <n v="0.32840000000000003"/>
    <n v="3"/>
    <n v="141"/>
    <n v="144"/>
    <x v="0"/>
    <x v="5"/>
    <x v="1"/>
    <x v="3"/>
    <x v="0"/>
    <n v="64.083333333333329"/>
    <n v="50.53790369757067"/>
    <n v="1.8526011317615556"/>
    <b v="0"/>
  </r>
  <r>
    <n v="297"/>
    <x v="12"/>
    <x v="0"/>
    <x v="19"/>
    <x v="0"/>
    <x v="5"/>
    <x v="0"/>
    <n v="0.16"/>
    <n v="0.1515"/>
    <n v="0.47"/>
    <n v="0.25369999999999998"/>
    <n v="1"/>
    <n v="98"/>
    <n v="99"/>
    <x v="0"/>
    <x v="5"/>
    <x v="1"/>
    <x v="3"/>
    <x v="2"/>
    <n v="61.916666666666664"/>
    <n v="48.014415105997223"/>
    <n v="0.92308908933537626"/>
    <b v="0"/>
  </r>
  <r>
    <n v="298"/>
    <x v="12"/>
    <x v="0"/>
    <x v="20"/>
    <x v="0"/>
    <x v="5"/>
    <x v="0"/>
    <n v="0.16"/>
    <n v="0.1515"/>
    <n v="0.47"/>
    <n v="0.22389999999999999"/>
    <n v="0"/>
    <n v="64"/>
    <n v="64"/>
    <x v="0"/>
    <x v="5"/>
    <x v="1"/>
    <x v="3"/>
    <x v="2"/>
    <n v="60.625"/>
    <n v="47.386305580006329"/>
    <n v="0.37247187791858877"/>
    <b v="0"/>
  </r>
  <r>
    <n v="299"/>
    <x v="12"/>
    <x v="0"/>
    <x v="21"/>
    <x v="0"/>
    <x v="5"/>
    <x v="0"/>
    <n v="0.14000000000000001"/>
    <n v="0.1212"/>
    <n v="0.46"/>
    <n v="0.29849999999999999"/>
    <n v="0"/>
    <n v="40"/>
    <n v="40"/>
    <x v="0"/>
    <x v="5"/>
    <x v="1"/>
    <x v="0"/>
    <x v="2"/>
    <n v="60.125"/>
    <n v="47.412447916041039"/>
    <n v="1.2133299608668787E-2"/>
    <b v="0"/>
  </r>
  <r>
    <n v="300"/>
    <x v="12"/>
    <x v="0"/>
    <x v="22"/>
    <x v="0"/>
    <x v="5"/>
    <x v="0"/>
    <n v="0.14000000000000001"/>
    <n v="0.1212"/>
    <n v="0.46"/>
    <n v="0.32840000000000003"/>
    <n v="0"/>
    <n v="30"/>
    <n v="30"/>
    <x v="0"/>
    <x v="5"/>
    <x v="1"/>
    <x v="0"/>
    <x v="2"/>
    <n v="59.958333333333336"/>
    <n v="47.493229876035713"/>
    <n v="-0.38104659800019614"/>
    <b v="0"/>
  </r>
  <r>
    <n v="301"/>
    <x v="12"/>
    <x v="0"/>
    <x v="23"/>
    <x v="0"/>
    <x v="5"/>
    <x v="0"/>
    <n v="0.12"/>
    <n v="0.13639999999999999"/>
    <n v="0.5"/>
    <n v="0.19400000000000001"/>
    <n v="1"/>
    <n v="14"/>
    <n v="15"/>
    <x v="0"/>
    <x v="5"/>
    <x v="1"/>
    <x v="0"/>
    <x v="2"/>
    <n v="59.833333333333336"/>
    <n v="47.579376850157203"/>
    <n v="-0.58619134940494444"/>
    <b v="1"/>
  </r>
  <r>
    <n v="302"/>
    <x v="13"/>
    <x v="0"/>
    <x v="0"/>
    <x v="0"/>
    <x v="6"/>
    <x v="0"/>
    <n v="0.12"/>
    <n v="0.13639999999999999"/>
    <n v="0.5"/>
    <n v="0.19400000000000001"/>
    <n v="0"/>
    <n v="14"/>
    <n v="14"/>
    <x v="0"/>
    <x v="6"/>
    <x v="1"/>
    <x v="0"/>
    <x v="2"/>
    <n v="60.375"/>
    <n v="47.118548457010554"/>
    <n v="-0.58322022896410097"/>
    <b v="1"/>
  </r>
  <r>
    <n v="303"/>
    <x v="13"/>
    <x v="0"/>
    <x v="1"/>
    <x v="0"/>
    <x v="6"/>
    <x v="0"/>
    <n v="0.1"/>
    <n v="0.1212"/>
    <n v="0.54"/>
    <n v="0.16420000000000001"/>
    <n v="0"/>
    <n v="5"/>
    <n v="5"/>
    <x v="0"/>
    <x v="6"/>
    <x v="1"/>
    <x v="0"/>
    <x v="2"/>
    <n v="60.625"/>
    <n v="46.877094156119988"/>
    <n v="-0.79297053845615717"/>
    <b v="0"/>
  </r>
  <r>
    <n v="304"/>
    <x v="13"/>
    <x v="0"/>
    <x v="2"/>
    <x v="0"/>
    <x v="6"/>
    <x v="0"/>
    <n v="0.1"/>
    <n v="0.1212"/>
    <n v="0.54"/>
    <n v="0.1343"/>
    <n v="0"/>
    <n v="1"/>
    <n v="1"/>
    <x v="0"/>
    <x v="6"/>
    <x v="1"/>
    <x v="0"/>
    <x v="2"/>
    <n v="60.916666666666664"/>
    <n v="46.536490279523996"/>
    <n v="-0.99387071202993027"/>
    <b v="0"/>
  </r>
  <r>
    <n v="305"/>
    <x v="13"/>
    <x v="0"/>
    <x v="3"/>
    <x v="0"/>
    <x v="6"/>
    <x v="0"/>
    <n v="0.1"/>
    <n v="0.13639999999999999"/>
    <n v="0.54"/>
    <n v="0.1045"/>
    <n v="0"/>
    <n v="1"/>
    <n v="1"/>
    <x v="0"/>
    <x v="6"/>
    <x v="1"/>
    <x v="0"/>
    <x v="2"/>
    <n v="61.208333333333336"/>
    <n v="46.165090487403404"/>
    <n v="-1.1003576049369841"/>
    <b v="0"/>
  </r>
  <r>
    <n v="306"/>
    <x v="13"/>
    <x v="0"/>
    <x v="5"/>
    <x v="0"/>
    <x v="6"/>
    <x v="0"/>
    <n v="0.1"/>
    <n v="0.13639999999999999"/>
    <n v="0.54"/>
    <n v="8.9599999999999999E-2"/>
    <n v="0"/>
    <n v="8"/>
    <n v="8"/>
    <x v="0"/>
    <x v="6"/>
    <x v="1"/>
    <x v="0"/>
    <x v="2"/>
    <n v="61.375"/>
    <n v="45.944969445972042"/>
    <n v="-1.1903989685564809"/>
    <b v="0"/>
  </r>
  <r>
    <n v="307"/>
    <x v="13"/>
    <x v="0"/>
    <x v="6"/>
    <x v="0"/>
    <x v="6"/>
    <x v="0"/>
    <n v="0.1"/>
    <n v="0.18179999999999999"/>
    <n v="0.54"/>
    <n v="0"/>
    <n v="0"/>
    <n v="17"/>
    <n v="17"/>
    <x v="0"/>
    <x v="6"/>
    <x v="1"/>
    <x v="1"/>
    <x v="2"/>
    <n v="61.083333333333336"/>
    <n v="46.319229424643424"/>
    <n v="-1.2785806814683429"/>
    <b v="0"/>
  </r>
  <r>
    <n v="308"/>
    <x v="13"/>
    <x v="0"/>
    <x v="7"/>
    <x v="0"/>
    <x v="6"/>
    <x v="0"/>
    <n v="0.1"/>
    <n v="0.1212"/>
    <n v="0.74"/>
    <n v="0.16420000000000001"/>
    <n v="0"/>
    <n v="70"/>
    <n v="70"/>
    <x v="0"/>
    <x v="6"/>
    <x v="1"/>
    <x v="1"/>
    <x v="2"/>
    <n v="60.5"/>
    <n v="46.981957684052361"/>
    <n v="-1.2319865365876828"/>
    <b v="0"/>
  </r>
  <r>
    <n v="309"/>
    <x v="13"/>
    <x v="0"/>
    <x v="8"/>
    <x v="0"/>
    <x v="6"/>
    <x v="0"/>
    <n v="0.12"/>
    <n v="0.16669999999999999"/>
    <n v="0.68"/>
    <n v="0"/>
    <n v="2"/>
    <n v="156"/>
    <n v="158"/>
    <x v="0"/>
    <x v="6"/>
    <x v="1"/>
    <x v="1"/>
    <x v="2"/>
    <n v="58"/>
    <n v="48.038933485609178"/>
    <n v="-1.0543263532232672"/>
    <b v="0"/>
  </r>
  <r>
    <n v="310"/>
    <x v="13"/>
    <x v="0"/>
    <x v="9"/>
    <x v="0"/>
    <x v="6"/>
    <x v="0"/>
    <n v="0.14000000000000001"/>
    <n v="0.1515"/>
    <n v="0.69"/>
    <n v="0.1343"/>
    <n v="0"/>
    <n v="117"/>
    <n v="117"/>
    <x v="0"/>
    <x v="6"/>
    <x v="1"/>
    <x v="1"/>
    <x v="2"/>
    <n v="52.375"/>
    <n v="43.51093066065723"/>
    <n v="-0.72104188520657264"/>
    <b v="0"/>
  </r>
  <r>
    <n v="311"/>
    <x v="13"/>
    <x v="0"/>
    <x v="10"/>
    <x v="0"/>
    <x v="6"/>
    <x v="0"/>
    <n v="0.18"/>
    <n v="0.18179999999999999"/>
    <n v="0.55000000000000004"/>
    <n v="0.19400000000000001"/>
    <n v="4"/>
    <n v="40"/>
    <n v="44"/>
    <x v="0"/>
    <x v="6"/>
    <x v="1"/>
    <x v="1"/>
    <x v="2"/>
    <n v="48.875"/>
    <n v="41.414461347404391"/>
    <n v="-0.46994099261915195"/>
    <b v="0"/>
  </r>
  <r>
    <n v="312"/>
    <x v="13"/>
    <x v="0"/>
    <x v="11"/>
    <x v="0"/>
    <x v="6"/>
    <x v="0"/>
    <n v="0.18"/>
    <n v="0.16669999999999999"/>
    <n v="0.51"/>
    <n v="0.28360000000000002"/>
    <n v="6"/>
    <n v="47"/>
    <n v="53"/>
    <x v="0"/>
    <x v="6"/>
    <x v="1"/>
    <x v="1"/>
    <x v="2"/>
    <n v="49.5"/>
    <n v="41.450861427037658"/>
    <n v="0.16297849338629711"/>
    <b v="0"/>
  </r>
  <r>
    <n v="313"/>
    <x v="13"/>
    <x v="0"/>
    <x v="12"/>
    <x v="0"/>
    <x v="6"/>
    <x v="0"/>
    <n v="0.2"/>
    <n v="0.19700000000000001"/>
    <n v="0.44"/>
    <n v="0.25369999999999998"/>
    <n v="2"/>
    <n v="59"/>
    <n v="61"/>
    <x v="0"/>
    <x v="6"/>
    <x v="1"/>
    <x v="2"/>
    <x v="0"/>
    <n v="50.291666666666664"/>
    <n v="41.701297202914411"/>
    <n v="0.45477981311651733"/>
    <b v="0"/>
  </r>
  <r>
    <n v="314"/>
    <x v="13"/>
    <x v="0"/>
    <x v="13"/>
    <x v="0"/>
    <x v="6"/>
    <x v="0"/>
    <n v="0.22"/>
    <n v="0.19700000000000001"/>
    <n v="0.37"/>
    <n v="0.3881"/>
    <n v="4"/>
    <n v="73"/>
    <n v="77"/>
    <x v="0"/>
    <x v="6"/>
    <x v="1"/>
    <x v="2"/>
    <x v="0"/>
    <n v="51.458333333333336"/>
    <n v="42.399732532653786"/>
    <n v="0.83065560545739892"/>
    <b v="0"/>
  </r>
  <r>
    <n v="315"/>
    <x v="13"/>
    <x v="0"/>
    <x v="14"/>
    <x v="0"/>
    <x v="6"/>
    <x v="0"/>
    <n v="0.22"/>
    <n v="0.21210000000000001"/>
    <n v="0.41"/>
    <n v="0.28360000000000002"/>
    <n v="5"/>
    <n v="59"/>
    <n v="64"/>
    <x v="0"/>
    <x v="6"/>
    <x v="1"/>
    <x v="2"/>
    <x v="0"/>
    <n v="52.458333333333336"/>
    <n v="43.301751311773366"/>
    <n v="1.0839486952134192"/>
    <b v="0"/>
  </r>
  <r>
    <n v="316"/>
    <x v="13"/>
    <x v="0"/>
    <x v="15"/>
    <x v="0"/>
    <x v="6"/>
    <x v="0"/>
    <n v="0.24"/>
    <n v="0.2424"/>
    <n v="0.38"/>
    <n v="0.16420000000000001"/>
    <n v="9"/>
    <n v="59"/>
    <n v="68"/>
    <x v="0"/>
    <x v="6"/>
    <x v="1"/>
    <x v="2"/>
    <x v="0"/>
    <n v="54.708333333333336"/>
    <n v="45.285067283162775"/>
    <n v="1.4335227982578553"/>
    <b v="0"/>
  </r>
  <r>
    <n v="317"/>
    <x v="13"/>
    <x v="0"/>
    <x v="16"/>
    <x v="0"/>
    <x v="6"/>
    <x v="0"/>
    <n v="0.22"/>
    <n v="0.2424"/>
    <n v="0.41"/>
    <n v="0.1045"/>
    <n v="3"/>
    <n v="87"/>
    <n v="90"/>
    <x v="0"/>
    <x v="6"/>
    <x v="1"/>
    <x v="2"/>
    <x v="0"/>
    <n v="57.25"/>
    <n v="47.71040356877787"/>
    <n v="1.7656744698094933"/>
    <b v="0"/>
  </r>
  <r>
    <n v="318"/>
    <x v="13"/>
    <x v="0"/>
    <x v="17"/>
    <x v="0"/>
    <x v="6"/>
    <x v="0"/>
    <n v="0.22"/>
    <n v="0.2273"/>
    <n v="0.41"/>
    <n v="0.16420000000000001"/>
    <n v="4"/>
    <n v="155"/>
    <n v="159"/>
    <x v="0"/>
    <x v="6"/>
    <x v="1"/>
    <x v="3"/>
    <x v="0"/>
    <n v="58.833333333333336"/>
    <n v="49.44357052910587"/>
    <n v="1.8054191181488606"/>
    <b v="0"/>
  </r>
  <r>
    <n v="319"/>
    <x v="13"/>
    <x v="0"/>
    <x v="18"/>
    <x v="0"/>
    <x v="6"/>
    <x v="0"/>
    <n v="0.2"/>
    <n v="0.2576"/>
    <n v="0.47"/>
    <n v="0"/>
    <n v="5"/>
    <n v="134"/>
    <n v="139"/>
    <x v="0"/>
    <x v="6"/>
    <x v="1"/>
    <x v="3"/>
    <x v="0"/>
    <n v="55.666666666666664"/>
    <n v="44.98179986217292"/>
    <n v="0.77940065341420994"/>
    <b v="0"/>
  </r>
  <r>
    <n v="320"/>
    <x v="13"/>
    <x v="0"/>
    <x v="19"/>
    <x v="0"/>
    <x v="6"/>
    <x v="0"/>
    <n v="0.16"/>
    <n v="0.19700000000000001"/>
    <n v="0.59"/>
    <n v="8.9599999999999999E-2"/>
    <n v="3"/>
    <n v="89"/>
    <n v="92"/>
    <x v="0"/>
    <x v="6"/>
    <x v="1"/>
    <x v="3"/>
    <x v="2"/>
    <n v="53.375"/>
    <n v="41.843198501901895"/>
    <n v="0.76234971990703704"/>
    <b v="0"/>
  </r>
  <r>
    <n v="321"/>
    <x v="13"/>
    <x v="0"/>
    <x v="20"/>
    <x v="0"/>
    <x v="6"/>
    <x v="0"/>
    <n v="0.18"/>
    <n v="0.2424"/>
    <n v="0.59"/>
    <n v="0"/>
    <n v="0"/>
    <n v="68"/>
    <n v="68"/>
    <x v="0"/>
    <x v="6"/>
    <x v="1"/>
    <x v="3"/>
    <x v="2"/>
    <n v="52.625"/>
    <n v="41.278284110781961"/>
    <n v="0.5375406513870199"/>
    <b v="0"/>
  </r>
  <r>
    <n v="322"/>
    <x v="13"/>
    <x v="0"/>
    <x v="21"/>
    <x v="0"/>
    <x v="6"/>
    <x v="0"/>
    <n v="0.16"/>
    <n v="0.2273"/>
    <n v="0.69"/>
    <n v="0"/>
    <n v="4"/>
    <n v="48"/>
    <n v="52"/>
    <x v="0"/>
    <x v="6"/>
    <x v="1"/>
    <x v="0"/>
    <x v="2"/>
    <n v="51.5"/>
    <n v="41.208905749163961"/>
    <n v="-0.27705542538969363"/>
    <b v="0"/>
  </r>
  <r>
    <n v="323"/>
    <x v="13"/>
    <x v="0"/>
    <x v="22"/>
    <x v="0"/>
    <x v="6"/>
    <x v="1"/>
    <n v="0.16"/>
    <n v="0.2273"/>
    <n v="0.69"/>
    <n v="0"/>
    <n v="2"/>
    <n v="34"/>
    <n v="36"/>
    <x v="1"/>
    <x v="6"/>
    <x v="1"/>
    <x v="0"/>
    <x v="2"/>
    <n v="51.708333333333336"/>
    <n v="41.224179446224184"/>
    <n v="0.10930395319982117"/>
    <b v="1"/>
  </r>
  <r>
    <n v="324"/>
    <x v="13"/>
    <x v="0"/>
    <x v="23"/>
    <x v="0"/>
    <x v="6"/>
    <x v="1"/>
    <n v="0.18"/>
    <n v="0.2424"/>
    <n v="0.55000000000000004"/>
    <n v="0"/>
    <n v="1"/>
    <n v="26"/>
    <n v="27"/>
    <x v="1"/>
    <x v="6"/>
    <x v="1"/>
    <x v="0"/>
    <x v="2"/>
    <n v="51.291666666666664"/>
    <n v="41.439824540784613"/>
    <n v="-0.63729048587653536"/>
    <b v="0"/>
  </r>
  <r>
    <n v="325"/>
    <x v="14"/>
    <x v="0"/>
    <x v="0"/>
    <x v="0"/>
    <x v="0"/>
    <x v="0"/>
    <n v="0.18"/>
    <n v="0.2424"/>
    <n v="0.55000000000000004"/>
    <n v="0"/>
    <n v="3"/>
    <n v="25"/>
    <n v="28"/>
    <x v="0"/>
    <x v="0"/>
    <x v="0"/>
    <x v="0"/>
    <x v="2"/>
    <n v="52"/>
    <n v="41.150836010314855"/>
    <n v="-0.18080223370233994"/>
    <b v="1"/>
  </r>
  <r>
    <n v="326"/>
    <x v="14"/>
    <x v="0"/>
    <x v="1"/>
    <x v="0"/>
    <x v="0"/>
    <x v="1"/>
    <n v="0.16"/>
    <n v="0.19700000000000001"/>
    <n v="0.59"/>
    <n v="8.9599999999999999E-2"/>
    <n v="2"/>
    <n v="18"/>
    <n v="20"/>
    <x v="1"/>
    <x v="0"/>
    <x v="0"/>
    <x v="0"/>
    <x v="2"/>
    <n v="52.458333333333336"/>
    <n v="40.932584199820099"/>
    <n v="-0.2746969076468263"/>
    <b v="1"/>
  </r>
  <r>
    <n v="327"/>
    <x v="14"/>
    <x v="0"/>
    <x v="2"/>
    <x v="0"/>
    <x v="0"/>
    <x v="1"/>
    <n v="0.16"/>
    <n v="0.19700000000000001"/>
    <n v="0.59"/>
    <n v="8.9599999999999999E-2"/>
    <n v="0"/>
    <n v="12"/>
    <n v="12"/>
    <x v="1"/>
    <x v="0"/>
    <x v="0"/>
    <x v="0"/>
    <x v="2"/>
    <n v="52.583333333333336"/>
    <n v="40.833614314324592"/>
    <n v="-0.6377784168117594"/>
    <b v="1"/>
  </r>
  <r>
    <n v="328"/>
    <x v="14"/>
    <x v="0"/>
    <x v="3"/>
    <x v="0"/>
    <x v="0"/>
    <x v="1"/>
    <n v="0.16"/>
    <n v="0.2273"/>
    <n v="0.59"/>
    <n v="0"/>
    <n v="1"/>
    <n v="7"/>
    <n v="8"/>
    <x v="1"/>
    <x v="0"/>
    <x v="0"/>
    <x v="0"/>
    <x v="2"/>
    <n v="52.75"/>
    <n v="40.668597008117892"/>
    <n v="-0.7965408932369491"/>
    <b v="0"/>
  </r>
  <r>
    <n v="329"/>
    <x v="14"/>
    <x v="0"/>
    <x v="4"/>
    <x v="0"/>
    <x v="0"/>
    <x v="1"/>
    <n v="0.16"/>
    <n v="0.2273"/>
    <n v="0.59"/>
    <n v="0"/>
    <n v="0"/>
    <n v="5"/>
    <n v="5"/>
    <x v="1"/>
    <x v="0"/>
    <x v="0"/>
    <x v="0"/>
    <x v="2"/>
    <n v="53.041666666666664"/>
    <n v="40.357617853889487"/>
    <n v="-0.80664585499583952"/>
    <b v="0"/>
  </r>
  <r>
    <n v="330"/>
    <x v="14"/>
    <x v="0"/>
    <x v="5"/>
    <x v="0"/>
    <x v="0"/>
    <x v="0"/>
    <n v="0.16"/>
    <n v="0.2273"/>
    <n v="0.59"/>
    <n v="0"/>
    <n v="0"/>
    <n v="1"/>
    <n v="1"/>
    <x v="0"/>
    <x v="0"/>
    <x v="0"/>
    <x v="0"/>
    <x v="2"/>
    <n v="52.875"/>
    <n v="40.572332080307909"/>
    <n v="-1.1151402249103062"/>
    <b v="0"/>
  </r>
  <r>
    <n v="331"/>
    <x v="14"/>
    <x v="0"/>
    <x v="6"/>
    <x v="0"/>
    <x v="0"/>
    <x v="0"/>
    <n v="0.14000000000000001"/>
    <n v="0.16669999999999999"/>
    <n v="0.63"/>
    <n v="0.1045"/>
    <n v="1"/>
    <n v="2"/>
    <n v="3"/>
    <x v="0"/>
    <x v="0"/>
    <x v="0"/>
    <x v="1"/>
    <x v="2"/>
    <n v="52.916666666666664"/>
    <n v="40.517217667754927"/>
    <n v="-1.0958979704483705"/>
    <b v="0"/>
  </r>
  <r>
    <n v="332"/>
    <x v="14"/>
    <x v="0"/>
    <x v="7"/>
    <x v="0"/>
    <x v="0"/>
    <x v="0"/>
    <n v="0.14000000000000001"/>
    <n v="0.21210000000000001"/>
    <n v="0.63"/>
    <n v="0"/>
    <n v="1"/>
    <n v="9"/>
    <n v="10"/>
    <x v="0"/>
    <x v="0"/>
    <x v="0"/>
    <x v="1"/>
    <x v="2"/>
    <n v="52.833333333333336"/>
    <n v="40.626256948224857"/>
    <n v="-1.1173705586491984"/>
    <b v="0"/>
  </r>
  <r>
    <n v="333"/>
    <x v="14"/>
    <x v="0"/>
    <x v="8"/>
    <x v="0"/>
    <x v="0"/>
    <x v="0"/>
    <n v="0.14000000000000001"/>
    <n v="0.1515"/>
    <n v="0.63"/>
    <n v="0.1343"/>
    <n v="1"/>
    <n v="22"/>
    <n v="23"/>
    <x v="0"/>
    <x v="0"/>
    <x v="0"/>
    <x v="1"/>
    <x v="2"/>
    <n v="52.541666666666664"/>
    <n v="40.970805264944097"/>
    <n v="-1.0786793613839845"/>
    <b v="0"/>
  </r>
  <r>
    <n v="334"/>
    <x v="14"/>
    <x v="0"/>
    <x v="9"/>
    <x v="0"/>
    <x v="0"/>
    <x v="0"/>
    <n v="0.16"/>
    <n v="0.18179999999999999"/>
    <n v="0.64"/>
    <n v="0.1343"/>
    <n v="2"/>
    <n v="31"/>
    <n v="33"/>
    <x v="0"/>
    <x v="0"/>
    <x v="0"/>
    <x v="1"/>
    <x v="2"/>
    <n v="52.333333333333336"/>
    <n v="41.139916791641525"/>
    <n v="-0.73877454774733975"/>
    <b v="0"/>
  </r>
  <r>
    <n v="335"/>
    <x v="14"/>
    <x v="0"/>
    <x v="10"/>
    <x v="0"/>
    <x v="0"/>
    <x v="0"/>
    <n v="0.18"/>
    <n v="0.19700000000000001"/>
    <n v="0.59"/>
    <n v="0.16420000000000001"/>
    <n v="2"/>
    <n v="57"/>
    <n v="59"/>
    <x v="0"/>
    <x v="0"/>
    <x v="0"/>
    <x v="1"/>
    <x v="2"/>
    <n v="52.291666666666664"/>
    <n v="41.160850084882171"/>
    <n v="-0.42075393543211353"/>
    <b v="0"/>
  </r>
  <r>
    <n v="336"/>
    <x v="14"/>
    <x v="0"/>
    <x v="11"/>
    <x v="0"/>
    <x v="0"/>
    <x v="0"/>
    <n v="0.2"/>
    <n v="0.19700000000000001"/>
    <n v="0.55000000000000004"/>
    <n v="0.22389999999999999"/>
    <n v="18"/>
    <n v="54"/>
    <n v="72"/>
    <x v="0"/>
    <x v="0"/>
    <x v="0"/>
    <x v="1"/>
    <x v="0"/>
    <n v="53.125"/>
    <n v="41.503601205720429"/>
    <n v="0.70772990379112166"/>
    <b v="0"/>
  </r>
  <r>
    <n v="337"/>
    <x v="14"/>
    <x v="0"/>
    <x v="12"/>
    <x v="0"/>
    <x v="0"/>
    <x v="0"/>
    <n v="0.24"/>
    <n v="0.2273"/>
    <n v="0.48"/>
    <n v="0.22389999999999999"/>
    <n v="15"/>
    <n v="74"/>
    <n v="89"/>
    <x v="0"/>
    <x v="0"/>
    <x v="0"/>
    <x v="2"/>
    <x v="0"/>
    <n v="54"/>
    <n v="42.135392538195561"/>
    <n v="1.0826793272313633"/>
    <b v="0"/>
  </r>
  <r>
    <n v="338"/>
    <x v="14"/>
    <x v="0"/>
    <x v="13"/>
    <x v="0"/>
    <x v="0"/>
    <x v="0"/>
    <n v="0.28000000000000003"/>
    <n v="0.2576"/>
    <n v="0.38"/>
    <n v="0.29849999999999999"/>
    <n v="21"/>
    <n v="80"/>
    <n v="101"/>
    <x v="0"/>
    <x v="0"/>
    <x v="0"/>
    <x v="2"/>
    <x v="0"/>
    <n v="54.625"/>
    <n v="42.783390214671741"/>
    <n v="1.4163164833300432"/>
    <b v="0"/>
  </r>
  <r>
    <n v="339"/>
    <x v="14"/>
    <x v="0"/>
    <x v="14"/>
    <x v="0"/>
    <x v="0"/>
    <x v="0"/>
    <n v="0.3"/>
    <n v="0.28789999999999999"/>
    <n v="0.39"/>
    <n v="0.28360000000000002"/>
    <n v="26"/>
    <n v="92"/>
    <n v="118"/>
    <x v="0"/>
    <x v="0"/>
    <x v="0"/>
    <x v="2"/>
    <x v="1"/>
    <n v="55.333333333333336"/>
    <n v="43.715151752608875"/>
    <n v="1.8502336915468356"/>
    <b v="0"/>
  </r>
  <r>
    <n v="340"/>
    <x v="14"/>
    <x v="0"/>
    <x v="15"/>
    <x v="0"/>
    <x v="0"/>
    <x v="1"/>
    <n v="0.32"/>
    <n v="0.31819999999999998"/>
    <n v="0.36"/>
    <n v="0.19400000000000001"/>
    <n v="21"/>
    <n v="108"/>
    <n v="129"/>
    <x v="1"/>
    <x v="0"/>
    <x v="0"/>
    <x v="2"/>
    <x v="1"/>
    <n v="54.208333333333336"/>
    <n v="42.358695187304981"/>
    <n v="1.2300593243424305"/>
    <b v="0"/>
  </r>
  <r>
    <n v="341"/>
    <x v="14"/>
    <x v="0"/>
    <x v="16"/>
    <x v="0"/>
    <x v="0"/>
    <x v="1"/>
    <n v="0.34"/>
    <n v="0.33329999999999999"/>
    <n v="0.34"/>
    <n v="0.19400000000000001"/>
    <n v="33"/>
    <n v="95"/>
    <n v="128"/>
    <x v="1"/>
    <x v="0"/>
    <x v="0"/>
    <x v="2"/>
    <x v="1"/>
    <n v="53.541666666666664"/>
    <n v="41.241577972031919"/>
    <n v="1.8470897328647653"/>
    <b v="0"/>
  </r>
  <r>
    <n v="342"/>
    <x v="14"/>
    <x v="0"/>
    <x v="17"/>
    <x v="0"/>
    <x v="0"/>
    <x v="1"/>
    <n v="0.32"/>
    <n v="0.30299999999999999"/>
    <n v="0.36"/>
    <n v="0.28360000000000002"/>
    <n v="29"/>
    <n v="54"/>
    <n v="83"/>
    <x v="1"/>
    <x v="0"/>
    <x v="0"/>
    <x v="3"/>
    <x v="1"/>
    <n v="52.333333333333336"/>
    <n v="39.346472872879367"/>
    <n v="1.5458494726853738"/>
    <b v="0"/>
  </r>
  <r>
    <n v="343"/>
    <x v="14"/>
    <x v="0"/>
    <x v="18"/>
    <x v="0"/>
    <x v="0"/>
    <x v="1"/>
    <n v="0.3"/>
    <n v="0.28789999999999999"/>
    <n v="0.45"/>
    <n v="0.25369999999999998"/>
    <n v="15"/>
    <n v="69"/>
    <n v="84"/>
    <x v="1"/>
    <x v="0"/>
    <x v="0"/>
    <x v="3"/>
    <x v="1"/>
    <n v="53.25"/>
    <n v="40.335818584349632"/>
    <n v="1.7871557417745112"/>
    <b v="0"/>
  </r>
  <r>
    <n v="344"/>
    <x v="14"/>
    <x v="0"/>
    <x v="19"/>
    <x v="0"/>
    <x v="0"/>
    <x v="1"/>
    <n v="0.32"/>
    <n v="0.30299999999999999"/>
    <n v="0.39"/>
    <n v="0.25369999999999998"/>
    <n v="14"/>
    <n v="60"/>
    <n v="74"/>
    <x v="1"/>
    <x v="0"/>
    <x v="0"/>
    <x v="3"/>
    <x v="1"/>
    <n v="52.541666666666664"/>
    <n v="39.919461491822524"/>
    <n v="0.75899047252874485"/>
    <b v="0"/>
  </r>
  <r>
    <n v="345"/>
    <x v="14"/>
    <x v="0"/>
    <x v="20"/>
    <x v="0"/>
    <x v="0"/>
    <x v="1"/>
    <n v="0.32"/>
    <n v="0.30299999999999999"/>
    <n v="0.39"/>
    <n v="0.25369999999999998"/>
    <n v="6"/>
    <n v="35"/>
    <n v="41"/>
    <x v="1"/>
    <x v="0"/>
    <x v="0"/>
    <x v="3"/>
    <x v="1"/>
    <n v="52"/>
    <n v="39.703247047149134"/>
    <n v="0.52016512209489629"/>
    <b v="0"/>
  </r>
  <r>
    <n v="346"/>
    <x v="14"/>
    <x v="0"/>
    <x v="21"/>
    <x v="0"/>
    <x v="0"/>
    <x v="1"/>
    <n v="0.32"/>
    <n v="0.30299999999999999"/>
    <n v="0.39"/>
    <n v="0.22389999999999999"/>
    <n v="6"/>
    <n v="51"/>
    <n v="57"/>
    <x v="1"/>
    <x v="0"/>
    <x v="0"/>
    <x v="0"/>
    <x v="1"/>
    <n v="52.666666666666664"/>
    <n v="39.644799721117728"/>
    <n v="0.40164255732619031"/>
    <b v="0"/>
  </r>
  <r>
    <n v="347"/>
    <x v="14"/>
    <x v="0"/>
    <x v="22"/>
    <x v="0"/>
    <x v="0"/>
    <x v="1"/>
    <n v="0.3"/>
    <n v="0.31819999999999998"/>
    <n v="0.42"/>
    <n v="0.1045"/>
    <n v="0"/>
    <n v="26"/>
    <n v="26"/>
    <x v="1"/>
    <x v="0"/>
    <x v="0"/>
    <x v="0"/>
    <x v="1"/>
    <n v="51.458333333333336"/>
    <n v="39.947769341507907"/>
    <n v="-0.43995615287377665"/>
    <b v="0"/>
  </r>
  <r>
    <n v="348"/>
    <x v="14"/>
    <x v="0"/>
    <x v="23"/>
    <x v="0"/>
    <x v="0"/>
    <x v="0"/>
    <n v="0.3"/>
    <n v="0.28789999999999999"/>
    <n v="0.45"/>
    <n v="0.28360000000000002"/>
    <n v="5"/>
    <n v="39"/>
    <n v="44"/>
    <x v="0"/>
    <x v="0"/>
    <x v="0"/>
    <x v="0"/>
    <x v="1"/>
    <n v="51.25"/>
    <n v="40.099062116322571"/>
    <n v="-0.64889450565684759"/>
    <b v="0"/>
  </r>
  <r>
    <n v="349"/>
    <x v="15"/>
    <x v="0"/>
    <x v="0"/>
    <x v="0"/>
    <x v="1"/>
    <x v="0"/>
    <n v="0.26"/>
    <n v="0.30299999999999999"/>
    <n v="0.56000000000000005"/>
    <n v="0"/>
    <n v="6"/>
    <n v="33"/>
    <n v="39"/>
    <x v="0"/>
    <x v="1"/>
    <x v="0"/>
    <x v="0"/>
    <x v="0"/>
    <n v="50.166666666666664"/>
    <n v="40.650864119021975"/>
    <n v="-0.72330986366986583"/>
    <b v="0"/>
  </r>
  <r>
    <n v="350"/>
    <x v="15"/>
    <x v="0"/>
    <x v="1"/>
    <x v="0"/>
    <x v="1"/>
    <x v="0"/>
    <n v="0.26"/>
    <n v="0.2727"/>
    <n v="0.56000000000000005"/>
    <n v="0.1343"/>
    <n v="4"/>
    <n v="19"/>
    <n v="23"/>
    <x v="0"/>
    <x v="1"/>
    <x v="0"/>
    <x v="0"/>
    <x v="0"/>
    <n v="49.25"/>
    <n v="41.158495345802365"/>
    <n v="-0.72370500150141759"/>
    <b v="0"/>
  </r>
  <r>
    <n v="351"/>
    <x v="15"/>
    <x v="0"/>
    <x v="2"/>
    <x v="0"/>
    <x v="1"/>
    <x v="0"/>
    <n v="0.26"/>
    <n v="0.28789999999999999"/>
    <n v="0.56000000000000005"/>
    <n v="8.9599999999999999E-2"/>
    <n v="3"/>
    <n v="13"/>
    <n v="16"/>
    <x v="0"/>
    <x v="1"/>
    <x v="0"/>
    <x v="0"/>
    <x v="0"/>
    <n v="48.958333333333336"/>
    <n v="41.376825236678883"/>
    <n v="-0.72412188582505133"/>
    <b v="0"/>
  </r>
  <r>
    <n v="352"/>
    <x v="15"/>
    <x v="0"/>
    <x v="3"/>
    <x v="0"/>
    <x v="1"/>
    <x v="0"/>
    <n v="0.22"/>
    <n v="0.2727"/>
    <n v="0.69"/>
    <n v="0"/>
    <n v="9"/>
    <n v="6"/>
    <n v="15"/>
    <x v="0"/>
    <x v="1"/>
    <x v="0"/>
    <x v="0"/>
    <x v="0"/>
    <n v="48.625"/>
    <n v="41.684959752472082"/>
    <n v="-0.96696833777498625"/>
    <b v="0"/>
  </r>
  <r>
    <n v="353"/>
    <x v="15"/>
    <x v="0"/>
    <x v="4"/>
    <x v="0"/>
    <x v="1"/>
    <x v="0"/>
    <n v="0.26"/>
    <n v="0.2576"/>
    <n v="0.56000000000000005"/>
    <n v="0.16420000000000001"/>
    <n v="0"/>
    <n v="1"/>
    <n v="1"/>
    <x v="0"/>
    <x v="1"/>
    <x v="0"/>
    <x v="0"/>
    <x v="0"/>
    <n v="48.083333333333336"/>
    <n v="42.22189486270247"/>
    <n v="-1.1859908529914949"/>
    <b v="0"/>
  </r>
  <r>
    <n v="354"/>
    <x v="15"/>
    <x v="0"/>
    <x v="5"/>
    <x v="0"/>
    <x v="1"/>
    <x v="1"/>
    <n v="0.26"/>
    <n v="0.2576"/>
    <n v="0.56000000000000005"/>
    <n v="0.16420000000000001"/>
    <n v="1"/>
    <n v="1"/>
    <n v="2"/>
    <x v="1"/>
    <x v="1"/>
    <x v="0"/>
    <x v="0"/>
    <x v="0"/>
    <n v="48.166666666666664"/>
    <n v="42.126792741278877"/>
    <n v="-1.2352868411863411"/>
    <b v="0"/>
  </r>
  <r>
    <n v="355"/>
    <x v="15"/>
    <x v="0"/>
    <x v="6"/>
    <x v="0"/>
    <x v="1"/>
    <x v="1"/>
    <n v="0.26"/>
    <n v="0.2576"/>
    <n v="0.56000000000000005"/>
    <n v="0.16420000000000001"/>
    <n v="0"/>
    <n v="1"/>
    <n v="1"/>
    <x v="1"/>
    <x v="1"/>
    <x v="0"/>
    <x v="1"/>
    <x v="0"/>
    <n v="48.125"/>
    <n v="42.174907540941412"/>
    <n v="-1.4126779029186489"/>
    <b v="0"/>
  </r>
  <r>
    <n v="356"/>
    <x v="15"/>
    <x v="0"/>
    <x v="7"/>
    <x v="0"/>
    <x v="1"/>
    <x v="1"/>
    <n v="0.24"/>
    <n v="0.21210000000000001"/>
    <n v="0.56000000000000005"/>
    <n v="0.29849999999999999"/>
    <n v="0"/>
    <n v="3"/>
    <n v="3"/>
    <x v="1"/>
    <x v="1"/>
    <x v="0"/>
    <x v="1"/>
    <x v="0"/>
    <n v="48.291666666666664"/>
    <n v="41.988071977715258"/>
    <n v="-1.3492133074849118"/>
    <b v="0"/>
  </r>
  <r>
    <n v="357"/>
    <x v="15"/>
    <x v="0"/>
    <x v="8"/>
    <x v="0"/>
    <x v="1"/>
    <x v="0"/>
    <n v="0.22"/>
    <n v="0.21210000000000001"/>
    <n v="0.55000000000000004"/>
    <n v="0.28360000000000002"/>
    <n v="0"/>
    <n v="18"/>
    <n v="18"/>
    <x v="0"/>
    <x v="1"/>
    <x v="0"/>
    <x v="1"/>
    <x v="0"/>
    <n v="48.708333333333336"/>
    <n v="41.566582696938767"/>
    <n v="-1.1880789575161534"/>
    <b v="0"/>
  </r>
  <r>
    <n v="358"/>
    <x v="15"/>
    <x v="0"/>
    <x v="9"/>
    <x v="0"/>
    <x v="1"/>
    <x v="0"/>
    <n v="0.22"/>
    <n v="0.21210000000000001"/>
    <n v="0.51"/>
    <n v="0.25369999999999998"/>
    <n v="3"/>
    <n v="29"/>
    <n v="32"/>
    <x v="0"/>
    <x v="1"/>
    <x v="0"/>
    <x v="1"/>
    <x v="0"/>
    <n v="49.333333333333336"/>
    <n v="41.19589116981647"/>
    <n v="-0.74396714709374567"/>
    <b v="0"/>
  </r>
  <r>
    <n v="359"/>
    <x v="15"/>
    <x v="0"/>
    <x v="10"/>
    <x v="0"/>
    <x v="1"/>
    <x v="0"/>
    <n v="0.22"/>
    <n v="0.21210000000000001"/>
    <n v="0.51"/>
    <n v="0.28360000000000002"/>
    <n v="8"/>
    <n v="71"/>
    <n v="79"/>
    <x v="0"/>
    <x v="1"/>
    <x v="0"/>
    <x v="1"/>
    <x v="0"/>
    <n v="49.958333333333336"/>
    <n v="41.034957702222485"/>
    <n v="-0.41824457039960161"/>
    <b v="0"/>
  </r>
  <r>
    <n v="360"/>
    <x v="15"/>
    <x v="0"/>
    <x v="11"/>
    <x v="0"/>
    <x v="1"/>
    <x v="0"/>
    <n v="0.24"/>
    <n v="0.2273"/>
    <n v="0.44"/>
    <n v="0.25369999999999998"/>
    <n v="23"/>
    <n v="70"/>
    <n v="93"/>
    <x v="0"/>
    <x v="1"/>
    <x v="0"/>
    <x v="1"/>
    <x v="0"/>
    <n v="49.041666666666664"/>
    <n v="40.601434079049014"/>
    <n v="-0.13432465925424483"/>
    <b v="0"/>
  </r>
  <r>
    <n v="361"/>
    <x v="15"/>
    <x v="0"/>
    <x v="12"/>
    <x v="0"/>
    <x v="1"/>
    <x v="0"/>
    <n v="0.24"/>
    <n v="0.21210000000000001"/>
    <n v="0.41"/>
    <n v="0.28360000000000002"/>
    <n v="29"/>
    <n v="75"/>
    <n v="104"/>
    <x v="0"/>
    <x v="1"/>
    <x v="0"/>
    <x v="2"/>
    <x v="0"/>
    <n v="47.833333333333336"/>
    <n v="39.656861533241212"/>
    <n v="8.5009814395196753E-2"/>
    <b v="0"/>
  </r>
  <r>
    <n v="362"/>
    <x v="15"/>
    <x v="0"/>
    <x v="13"/>
    <x v="0"/>
    <x v="1"/>
    <x v="0"/>
    <n v="0.26"/>
    <n v="0.2273"/>
    <n v="0.35"/>
    <n v="0.29849999999999999"/>
    <n v="23"/>
    <n v="95"/>
    <n v="118"/>
    <x v="0"/>
    <x v="1"/>
    <x v="0"/>
    <x v="2"/>
    <x v="0"/>
    <n v="46.833333333333336"/>
    <n v="38.463609754706056"/>
    <n v="0.55616825884435916"/>
    <b v="0"/>
  </r>
  <r>
    <n v="363"/>
    <x v="15"/>
    <x v="0"/>
    <x v="14"/>
    <x v="0"/>
    <x v="1"/>
    <x v="0"/>
    <n v="0.28000000000000003"/>
    <n v="0.2727"/>
    <n v="0.36"/>
    <n v="0.25369999999999998"/>
    <n v="22"/>
    <n v="69"/>
    <n v="91"/>
    <x v="0"/>
    <x v="1"/>
    <x v="0"/>
    <x v="2"/>
    <x v="0"/>
    <n v="45.791666666666664"/>
    <n v="36.752969908586294"/>
    <n v="0.95119406759186675"/>
    <b v="0"/>
  </r>
  <r>
    <n v="364"/>
    <x v="15"/>
    <x v="0"/>
    <x v="15"/>
    <x v="0"/>
    <x v="1"/>
    <x v="0"/>
    <n v="0.26"/>
    <n v="0.2424"/>
    <n v="0.38"/>
    <n v="0.25369999999999998"/>
    <n v="35"/>
    <n v="78"/>
    <n v="113"/>
    <x v="0"/>
    <x v="1"/>
    <x v="0"/>
    <x v="2"/>
    <x v="0"/>
    <n v="45.583333333333336"/>
    <n v="36.498858429636762"/>
    <n v="0.85532763257288658"/>
    <b v="0"/>
  </r>
  <r>
    <n v="365"/>
    <x v="15"/>
    <x v="0"/>
    <x v="16"/>
    <x v="0"/>
    <x v="1"/>
    <x v="0"/>
    <n v="0.24"/>
    <n v="0.2273"/>
    <n v="0.38"/>
    <n v="0.22389999999999999"/>
    <n v="22"/>
    <n v="77"/>
    <n v="99"/>
    <x v="0"/>
    <x v="1"/>
    <x v="0"/>
    <x v="2"/>
    <x v="0"/>
    <n v="44.75"/>
    <n v="35.093973222217791"/>
    <n v="1.1050588251844409"/>
    <b v="0"/>
  </r>
  <r>
    <n v="366"/>
    <x v="15"/>
    <x v="0"/>
    <x v="17"/>
    <x v="0"/>
    <x v="1"/>
    <x v="0"/>
    <n v="0.22"/>
    <n v="0.21210000000000001"/>
    <n v="0.37"/>
    <n v="0.25369999999999998"/>
    <n v="23"/>
    <n v="82"/>
    <n v="105"/>
    <x v="0"/>
    <x v="1"/>
    <x v="0"/>
    <x v="3"/>
    <x v="0"/>
    <n v="44.041666666666664"/>
    <n v="34.109133249241218"/>
    <n v="0.92625936069210912"/>
    <b v="0"/>
  </r>
  <r>
    <n v="367"/>
    <x v="15"/>
    <x v="0"/>
    <x v="18"/>
    <x v="0"/>
    <x v="1"/>
    <x v="0"/>
    <n v="0.2"/>
    <n v="0.21210000000000001"/>
    <n v="0.4"/>
    <n v="0.16420000000000001"/>
    <n v="11"/>
    <n v="56"/>
    <n v="67"/>
    <x v="0"/>
    <x v="1"/>
    <x v="0"/>
    <x v="3"/>
    <x v="0"/>
    <n v="42.625"/>
    <n v="32.115027635049607"/>
    <n v="0.73070464205763075"/>
    <b v="0"/>
  </r>
  <r>
    <n v="368"/>
    <x v="15"/>
    <x v="0"/>
    <x v="19"/>
    <x v="0"/>
    <x v="1"/>
    <x v="0"/>
    <n v="0.18"/>
    <n v="0.19700000000000001"/>
    <n v="0.47"/>
    <n v="0.1343"/>
    <n v="14"/>
    <n v="47"/>
    <n v="61"/>
    <x v="0"/>
    <x v="1"/>
    <x v="0"/>
    <x v="3"/>
    <x v="2"/>
    <n v="43.666666666666664"/>
    <n v="33.322751943701313"/>
    <n v="1.3130432642324086"/>
    <b v="0"/>
  </r>
  <r>
    <n v="369"/>
    <x v="15"/>
    <x v="0"/>
    <x v="20"/>
    <x v="0"/>
    <x v="1"/>
    <x v="0"/>
    <n v="0.18"/>
    <n v="0.19700000000000001"/>
    <n v="0.47"/>
    <n v="0.16420000000000001"/>
    <n v="7"/>
    <n v="50"/>
    <n v="57"/>
    <x v="0"/>
    <x v="1"/>
    <x v="0"/>
    <x v="3"/>
    <x v="2"/>
    <n v="43.625"/>
    <n v="33.300754006348029"/>
    <n v="0.50466452043868648"/>
    <b v="0"/>
  </r>
  <r>
    <n v="370"/>
    <x v="15"/>
    <x v="0"/>
    <x v="21"/>
    <x v="0"/>
    <x v="1"/>
    <x v="0"/>
    <n v="0.18"/>
    <n v="0.19700000000000001"/>
    <n v="0.51"/>
    <n v="0.16420000000000001"/>
    <n v="6"/>
    <n v="22"/>
    <n v="28"/>
    <x v="0"/>
    <x v="1"/>
    <x v="0"/>
    <x v="0"/>
    <x v="2"/>
    <n v="42.625"/>
    <n v="33.241949008941148"/>
    <n v="-0.25432499882885395"/>
    <b v="0"/>
  </r>
  <r>
    <n v="371"/>
    <x v="15"/>
    <x v="0"/>
    <x v="22"/>
    <x v="0"/>
    <x v="1"/>
    <x v="1"/>
    <n v="0.2"/>
    <n v="0.21210000000000001"/>
    <n v="0.49"/>
    <n v="0.1343"/>
    <n v="2"/>
    <n v="19"/>
    <n v="21"/>
    <x v="1"/>
    <x v="1"/>
    <x v="0"/>
    <x v="0"/>
    <x v="0"/>
    <n v="42.583333333333336"/>
    <n v="33.261698388839754"/>
    <n v="-0.42275484046221895"/>
    <b v="0"/>
  </r>
  <r>
    <n v="372"/>
    <x v="15"/>
    <x v="0"/>
    <x v="23"/>
    <x v="0"/>
    <x v="1"/>
    <x v="1"/>
    <n v="0.2"/>
    <n v="0.2273"/>
    <n v="0.4"/>
    <n v="0.1045"/>
    <n v="0"/>
    <n v="18"/>
    <n v="18"/>
    <x v="1"/>
    <x v="1"/>
    <x v="0"/>
    <x v="0"/>
    <x v="0"/>
    <n v="42.25"/>
    <n v="33.526433438861858"/>
    <n v="-0.71009077949827448"/>
    <b v="0"/>
  </r>
  <r>
    <n v="373"/>
    <x v="16"/>
    <x v="0"/>
    <x v="0"/>
    <x v="1"/>
    <x v="2"/>
    <x v="1"/>
    <n v="0.2"/>
    <n v="0.19700000000000001"/>
    <n v="0.47"/>
    <n v="0.22389999999999999"/>
    <n v="1"/>
    <n v="16"/>
    <n v="17"/>
    <x v="1"/>
    <x v="2"/>
    <x v="1"/>
    <x v="0"/>
    <x v="0"/>
    <n v="41.666666666666664"/>
    <n v="34.083869277526816"/>
    <n v="-0.92533655026035322"/>
    <b v="0"/>
  </r>
  <r>
    <n v="374"/>
    <x v="16"/>
    <x v="0"/>
    <x v="1"/>
    <x v="1"/>
    <x v="2"/>
    <x v="1"/>
    <n v="0.2"/>
    <n v="0.19700000000000001"/>
    <n v="0.44"/>
    <n v="0.19400000000000001"/>
    <n v="1"/>
    <n v="15"/>
    <n v="16"/>
    <x v="1"/>
    <x v="2"/>
    <x v="1"/>
    <x v="0"/>
    <x v="0"/>
    <n v="41.083333333333336"/>
    <n v="34.639656422970617"/>
    <n v="-1.0161103686691857"/>
    <b v="0"/>
  </r>
  <r>
    <n v="375"/>
    <x v="16"/>
    <x v="0"/>
    <x v="2"/>
    <x v="1"/>
    <x v="2"/>
    <x v="1"/>
    <n v="0.18"/>
    <n v="0.16669999999999999"/>
    <n v="0.43"/>
    <n v="0.25369999999999998"/>
    <n v="0"/>
    <n v="8"/>
    <n v="8"/>
    <x v="1"/>
    <x v="2"/>
    <x v="1"/>
    <x v="0"/>
    <x v="2"/>
    <n v="41.333333333333336"/>
    <n v="34.472000820661833"/>
    <n v="-0.71554931524957843"/>
    <b v="0"/>
  </r>
  <r>
    <n v="376"/>
    <x v="16"/>
    <x v="0"/>
    <x v="3"/>
    <x v="1"/>
    <x v="2"/>
    <x v="1"/>
    <n v="0.18"/>
    <n v="0.18179999999999999"/>
    <n v="0.43"/>
    <n v="0.19400000000000001"/>
    <n v="0"/>
    <n v="2"/>
    <n v="2"/>
    <x v="1"/>
    <x v="2"/>
    <x v="1"/>
    <x v="0"/>
    <x v="2"/>
    <n v="42.166666666666664"/>
    <n v="33.867602406335514"/>
    <n v="-0.6449501626677675"/>
    <b v="0"/>
  </r>
  <r>
    <n v="377"/>
    <x v="16"/>
    <x v="0"/>
    <x v="4"/>
    <x v="1"/>
    <x v="2"/>
    <x v="1"/>
    <n v="0.18"/>
    <n v="0.19700000000000001"/>
    <n v="0.43"/>
    <n v="0.1343"/>
    <n v="1"/>
    <n v="2"/>
    <n v="3"/>
    <x v="1"/>
    <x v="2"/>
    <x v="1"/>
    <x v="0"/>
    <x v="2"/>
    <n v="43.541666666666664"/>
    <n v="32.819637767477047"/>
    <n v="-0.55104064166642641"/>
    <b v="1"/>
  </r>
  <r>
    <n v="378"/>
    <x v="16"/>
    <x v="0"/>
    <x v="5"/>
    <x v="1"/>
    <x v="2"/>
    <x v="1"/>
    <n v="0.18"/>
    <n v="0.19700000000000001"/>
    <n v="0.43"/>
    <n v="0.16420000000000001"/>
    <n v="0"/>
    <n v="1"/>
    <n v="1"/>
    <x v="1"/>
    <x v="2"/>
    <x v="1"/>
    <x v="0"/>
    <x v="2"/>
    <n v="45.958333333333336"/>
    <n v="31.824900241199799"/>
    <n v="-7.5559988570946451E-2"/>
    <b v="0"/>
  </r>
  <r>
    <n v="379"/>
    <x v="16"/>
    <x v="0"/>
    <x v="6"/>
    <x v="1"/>
    <x v="2"/>
    <x v="1"/>
    <n v="0.18"/>
    <n v="0.18179999999999999"/>
    <n v="0.43"/>
    <n v="0.19400000000000001"/>
    <n v="0"/>
    <n v="5"/>
    <n v="5"/>
    <x v="1"/>
    <x v="2"/>
    <x v="1"/>
    <x v="1"/>
    <x v="2"/>
    <n v="51.125"/>
    <n v="34.186588394967941"/>
    <n v="0.97553011800591249"/>
    <b v="0"/>
  </r>
  <r>
    <n v="380"/>
    <x v="16"/>
    <x v="0"/>
    <x v="7"/>
    <x v="1"/>
    <x v="2"/>
    <x v="1"/>
    <n v="0.16"/>
    <n v="0.18179999999999999"/>
    <n v="0.5"/>
    <n v="0.1343"/>
    <n v="4"/>
    <n v="9"/>
    <n v="13"/>
    <x v="1"/>
    <x v="2"/>
    <x v="1"/>
    <x v="1"/>
    <x v="2"/>
    <n v="56.458333333333336"/>
    <n v="36.578657553357488"/>
    <n v="1.0544339498494324"/>
    <b v="0"/>
  </r>
  <r>
    <n v="381"/>
    <x v="16"/>
    <x v="0"/>
    <x v="8"/>
    <x v="1"/>
    <x v="2"/>
    <x v="1"/>
    <n v="0.16"/>
    <n v="0.1515"/>
    <n v="0.47"/>
    <n v="0.22389999999999999"/>
    <n v="3"/>
    <n v="30"/>
    <n v="33"/>
    <x v="1"/>
    <x v="2"/>
    <x v="1"/>
    <x v="1"/>
    <x v="2"/>
    <n v="60.041666666666664"/>
    <n v="36.347931185272088"/>
    <n v="0.48985665803197209"/>
    <b v="0"/>
  </r>
  <r>
    <n v="382"/>
    <x v="16"/>
    <x v="0"/>
    <x v="9"/>
    <x v="1"/>
    <x v="2"/>
    <x v="1"/>
    <n v="0.16"/>
    <n v="0.1515"/>
    <n v="0.47"/>
    <n v="0.22389999999999999"/>
    <n v="8"/>
    <n v="39"/>
    <n v="47"/>
    <x v="1"/>
    <x v="2"/>
    <x v="1"/>
    <x v="1"/>
    <x v="2"/>
    <n v="62.125"/>
    <n v="36.163051645952478"/>
    <n v="0.2278919034636778"/>
    <b v="0"/>
  </r>
  <r>
    <n v="383"/>
    <x v="16"/>
    <x v="0"/>
    <x v="10"/>
    <x v="1"/>
    <x v="2"/>
    <x v="1"/>
    <n v="0.16"/>
    <n v="0.1515"/>
    <n v="0.5"/>
    <n v="0.25369999999999998"/>
    <n v="7"/>
    <n v="50"/>
    <n v="57"/>
    <x v="1"/>
    <x v="2"/>
    <x v="1"/>
    <x v="1"/>
    <x v="2"/>
    <n v="61.875"/>
    <n v="36.292666045575274"/>
    <n v="-0.49338741634711808"/>
    <b v="0"/>
  </r>
  <r>
    <n v="384"/>
    <x v="16"/>
    <x v="0"/>
    <x v="11"/>
    <x v="1"/>
    <x v="2"/>
    <x v="1"/>
    <n v="0.16"/>
    <n v="0.1515"/>
    <n v="0.55000000000000004"/>
    <n v="0.19400000000000001"/>
    <n v="9"/>
    <n v="55"/>
    <n v="64"/>
    <x v="1"/>
    <x v="2"/>
    <x v="1"/>
    <x v="1"/>
    <x v="2"/>
    <n v="60.875"/>
    <n v="36.760461391815127"/>
    <n v="-0.65040878328151697"/>
    <b v="0"/>
  </r>
  <r>
    <n v="385"/>
    <x v="16"/>
    <x v="0"/>
    <x v="12"/>
    <x v="1"/>
    <x v="2"/>
    <x v="1"/>
    <n v="0.18"/>
    <n v="0.19700000000000001"/>
    <n v="0.47"/>
    <n v="0.1343"/>
    <n v="10"/>
    <n v="70"/>
    <n v="80"/>
    <x v="1"/>
    <x v="2"/>
    <x v="1"/>
    <x v="2"/>
    <x v="2"/>
    <n v="59.041666666666664"/>
    <n v="37.683440218040957"/>
    <n v="-0.87421747381356907"/>
    <b v="0"/>
  </r>
  <r>
    <n v="386"/>
    <x v="16"/>
    <x v="0"/>
    <x v="13"/>
    <x v="1"/>
    <x v="2"/>
    <x v="1"/>
    <n v="0.18"/>
    <n v="0.19700000000000001"/>
    <n v="0.47"/>
    <n v="0.1343"/>
    <n v="13"/>
    <n v="80"/>
    <n v="93"/>
    <x v="1"/>
    <x v="2"/>
    <x v="1"/>
    <x v="2"/>
    <x v="2"/>
    <n v="55.833333333333336"/>
    <n v="39.073694772678017"/>
    <n v="-1.16299645697133"/>
    <b v="1"/>
  </r>
  <r>
    <n v="387"/>
    <x v="16"/>
    <x v="0"/>
    <x v="14"/>
    <x v="1"/>
    <x v="2"/>
    <x v="1"/>
    <n v="0.18"/>
    <n v="0.21210000000000001"/>
    <n v="0.43"/>
    <n v="0.1045"/>
    <n v="12"/>
    <n v="74"/>
    <n v="86"/>
    <x v="1"/>
    <x v="2"/>
    <x v="1"/>
    <x v="2"/>
    <x v="2"/>
    <n v="52.25"/>
    <n v="39.458563847022681"/>
    <n v="-1.0962023407477866"/>
    <b v="0"/>
  </r>
  <r>
    <n v="388"/>
    <x v="16"/>
    <x v="0"/>
    <x v="15"/>
    <x v="1"/>
    <x v="2"/>
    <x v="1"/>
    <n v="0.2"/>
    <n v="0.21210000000000001"/>
    <n v="0.47"/>
    <n v="0.16420000000000001"/>
    <n v="21"/>
    <n v="72"/>
    <n v="93"/>
    <x v="1"/>
    <x v="2"/>
    <x v="1"/>
    <x v="2"/>
    <x v="0"/>
    <n v="48.791666666666664"/>
    <n v="40.005411771590261"/>
    <n v="-1.1578142088375363"/>
    <b v="0"/>
  </r>
  <r>
    <n v="389"/>
    <x v="16"/>
    <x v="0"/>
    <x v="16"/>
    <x v="1"/>
    <x v="2"/>
    <x v="1"/>
    <n v="0.2"/>
    <n v="0.21210000000000001"/>
    <n v="0.47"/>
    <n v="0.16420000000000001"/>
    <n v="6"/>
    <n v="76"/>
    <n v="82"/>
    <x v="1"/>
    <x v="2"/>
    <x v="1"/>
    <x v="2"/>
    <x v="0"/>
    <n v="45"/>
    <n v="39.945615202585671"/>
    <n v="-1.1717620905111688"/>
    <b v="0"/>
  </r>
  <r>
    <n v="390"/>
    <x v="16"/>
    <x v="0"/>
    <x v="17"/>
    <x v="1"/>
    <x v="2"/>
    <x v="0"/>
    <n v="0.2"/>
    <n v="0.19700000000000001"/>
    <n v="0.51"/>
    <n v="0.19400000000000001"/>
    <n v="4"/>
    <n v="67"/>
    <n v="71"/>
    <x v="0"/>
    <x v="2"/>
    <x v="1"/>
    <x v="3"/>
    <x v="0"/>
    <n v="41.875"/>
    <n v="39.858786058872347"/>
    <n v="-1.0827280263030075"/>
    <b v="0"/>
  </r>
  <r>
    <n v="391"/>
    <x v="16"/>
    <x v="0"/>
    <x v="18"/>
    <x v="1"/>
    <x v="2"/>
    <x v="1"/>
    <n v="0.18"/>
    <n v="0.16669999999999999"/>
    <n v="0.55000000000000004"/>
    <n v="0.25369999999999998"/>
    <n v="7"/>
    <n v="85"/>
    <n v="92"/>
    <x v="1"/>
    <x v="2"/>
    <x v="1"/>
    <x v="3"/>
    <x v="2"/>
    <n v="40.25"/>
    <n v="39.412258079898464"/>
    <n v="-0.64517629037848512"/>
    <b v="0"/>
  </r>
  <r>
    <n v="392"/>
    <x v="16"/>
    <x v="0"/>
    <x v="19"/>
    <x v="1"/>
    <x v="2"/>
    <x v="2"/>
    <n v="0.18"/>
    <n v="0.18179999999999999"/>
    <n v="0.59"/>
    <n v="0.19400000000000001"/>
    <n v="2"/>
    <n v="58"/>
    <n v="60"/>
    <x v="2"/>
    <x v="2"/>
    <x v="1"/>
    <x v="3"/>
    <x v="2"/>
    <n v="40.166666666666664"/>
    <n v="39.300035033358284"/>
    <n v="0.36451596067968828"/>
    <b v="0"/>
  </r>
  <r>
    <n v="393"/>
    <x v="16"/>
    <x v="0"/>
    <x v="20"/>
    <x v="1"/>
    <x v="2"/>
    <x v="2"/>
    <n v="0.16"/>
    <n v="0.1515"/>
    <n v="0.8"/>
    <n v="0.19400000000000001"/>
    <n v="4"/>
    <n v="29"/>
    <n v="33"/>
    <x v="2"/>
    <x v="2"/>
    <x v="1"/>
    <x v="3"/>
    <x v="2"/>
    <n v="45.875"/>
    <n v="50.624201550332579"/>
    <n v="2.2164946882709118"/>
    <b v="0"/>
  </r>
  <r>
    <n v="394"/>
    <x v="16"/>
    <x v="0"/>
    <x v="21"/>
    <x v="1"/>
    <x v="2"/>
    <x v="2"/>
    <n v="0.16"/>
    <n v="0.1515"/>
    <n v="0.8"/>
    <n v="0.19400000000000001"/>
    <n v="3"/>
    <n v="24"/>
    <n v="27"/>
    <x v="2"/>
    <x v="2"/>
    <x v="1"/>
    <x v="0"/>
    <x v="2"/>
    <n v="49.041666666666664"/>
    <n v="52.138176922036919"/>
    <n v="0.58945975740363266"/>
    <b v="0"/>
  </r>
  <r>
    <n v="395"/>
    <x v="16"/>
    <x v="0"/>
    <x v="22"/>
    <x v="1"/>
    <x v="2"/>
    <x v="2"/>
    <n v="0.14000000000000001"/>
    <n v="0.1212"/>
    <n v="0.93"/>
    <n v="0.25369999999999998"/>
    <n v="0"/>
    <n v="13"/>
    <n v="13"/>
    <x v="2"/>
    <x v="2"/>
    <x v="1"/>
    <x v="0"/>
    <x v="2"/>
    <n v="49.875"/>
    <n v="51.929980031644114"/>
    <n v="-0.40610177656212265"/>
    <b v="0"/>
  </r>
  <r>
    <n v="396"/>
    <x v="16"/>
    <x v="0"/>
    <x v="23"/>
    <x v="1"/>
    <x v="2"/>
    <x v="2"/>
    <n v="0.16"/>
    <n v="0.13639999999999999"/>
    <n v="0.86"/>
    <n v="0.28360000000000002"/>
    <n v="1"/>
    <n v="3"/>
    <n v="4"/>
    <x v="2"/>
    <x v="2"/>
    <x v="1"/>
    <x v="0"/>
    <x v="2"/>
    <n v="51.5"/>
    <n v="51.332674567578003"/>
    <n v="-0.3357216455759458"/>
    <b v="0"/>
  </r>
  <r>
    <n v="397"/>
    <x v="17"/>
    <x v="0"/>
    <x v="12"/>
    <x v="0"/>
    <x v="3"/>
    <x v="1"/>
    <n v="0.2"/>
    <n v="0.18179999999999999"/>
    <n v="0.86"/>
    <n v="0.32840000000000003"/>
    <n v="0"/>
    <n v="3"/>
    <n v="3"/>
    <x v="1"/>
    <x v="3"/>
    <x v="1"/>
    <x v="2"/>
    <x v="0"/>
    <n v="54.25"/>
    <n v="50.437434338085595"/>
    <n v="-6.6262742809528236E-2"/>
    <b v="0"/>
  </r>
  <r>
    <n v="398"/>
    <x v="17"/>
    <x v="0"/>
    <x v="13"/>
    <x v="0"/>
    <x v="3"/>
    <x v="1"/>
    <n v="0.2"/>
    <n v="0.19700000000000001"/>
    <n v="0.86"/>
    <n v="0.22389999999999999"/>
    <n v="0"/>
    <n v="22"/>
    <n v="22"/>
    <x v="1"/>
    <x v="3"/>
    <x v="1"/>
    <x v="2"/>
    <x v="0"/>
    <n v="57.375"/>
    <n v="49.437542942321812"/>
    <n v="4.9354290425667316E-2"/>
    <b v="0"/>
  </r>
  <r>
    <n v="399"/>
    <x v="17"/>
    <x v="0"/>
    <x v="14"/>
    <x v="0"/>
    <x v="3"/>
    <x v="1"/>
    <n v="0.22"/>
    <n v="0.2273"/>
    <n v="0.8"/>
    <n v="0.16420000000000001"/>
    <n v="2"/>
    <n v="26"/>
    <n v="28"/>
    <x v="1"/>
    <x v="3"/>
    <x v="1"/>
    <x v="2"/>
    <x v="0"/>
    <n v="59.583333333333336"/>
    <n v="48.970192057464175"/>
    <n v="-1.036250682259022E-2"/>
    <b v="0"/>
  </r>
  <r>
    <n v="400"/>
    <x v="17"/>
    <x v="0"/>
    <x v="15"/>
    <x v="0"/>
    <x v="3"/>
    <x v="1"/>
    <n v="0.22"/>
    <n v="0.2273"/>
    <n v="0.87"/>
    <n v="0.16420000000000001"/>
    <n v="3"/>
    <n v="32"/>
    <n v="35"/>
    <x v="1"/>
    <x v="3"/>
    <x v="1"/>
    <x v="2"/>
    <x v="0"/>
    <n v="61.833333333333336"/>
    <n v="48.695742753538944"/>
    <n v="9.4544716229587475E-2"/>
    <b v="0"/>
  </r>
  <r>
    <n v="401"/>
    <x v="17"/>
    <x v="0"/>
    <x v="16"/>
    <x v="0"/>
    <x v="3"/>
    <x v="1"/>
    <n v="0.22"/>
    <n v="0.2273"/>
    <n v="0.87"/>
    <n v="0.19400000000000001"/>
    <n v="0"/>
    <n v="61"/>
    <n v="61"/>
    <x v="1"/>
    <x v="3"/>
    <x v="1"/>
    <x v="2"/>
    <x v="0"/>
    <n v="64.708333333333329"/>
    <n v="49.078002835474472"/>
    <n v="0.44424931501884496"/>
    <b v="1"/>
  </r>
  <r>
    <n v="402"/>
    <x v="17"/>
    <x v="0"/>
    <x v="17"/>
    <x v="0"/>
    <x v="3"/>
    <x v="1"/>
    <n v="0.22"/>
    <n v="0.2273"/>
    <n v="0.82"/>
    <n v="0.19400000000000001"/>
    <n v="1"/>
    <n v="124"/>
    <n v="125"/>
    <x v="1"/>
    <x v="3"/>
    <x v="1"/>
    <x v="3"/>
    <x v="0"/>
    <n v="70.375"/>
    <n v="55.995195834301171"/>
    <n v="1.9039171732145703"/>
    <b v="0"/>
  </r>
  <r>
    <n v="403"/>
    <x v="17"/>
    <x v="0"/>
    <x v="18"/>
    <x v="0"/>
    <x v="3"/>
    <x v="1"/>
    <n v="0.22"/>
    <n v="0.2273"/>
    <n v="0.8"/>
    <n v="0.16420000000000001"/>
    <n v="1"/>
    <n v="132"/>
    <n v="133"/>
    <x v="1"/>
    <x v="3"/>
    <x v="1"/>
    <x v="3"/>
    <x v="0"/>
    <n v="71.875"/>
    <n v="57.969491601373726"/>
    <n v="1.2990724619260228"/>
    <b v="0"/>
  </r>
  <r>
    <n v="404"/>
    <x v="17"/>
    <x v="0"/>
    <x v="19"/>
    <x v="0"/>
    <x v="3"/>
    <x v="1"/>
    <n v="0.22"/>
    <n v="0.2273"/>
    <n v="0.8"/>
    <n v="0.1343"/>
    <n v="1"/>
    <n v="98"/>
    <n v="99"/>
    <x v="1"/>
    <x v="3"/>
    <x v="1"/>
    <x v="3"/>
    <x v="0"/>
    <n v="71"/>
    <n v="57.159578298867359"/>
    <n v="0.52609643695112507"/>
    <b v="0"/>
  </r>
  <r>
    <n v="405"/>
    <x v="17"/>
    <x v="0"/>
    <x v="20"/>
    <x v="0"/>
    <x v="3"/>
    <x v="1"/>
    <n v="0.22"/>
    <n v="0.2727"/>
    <n v="0.87"/>
    <n v="0"/>
    <n v="0"/>
    <n v="83"/>
    <n v="83"/>
    <x v="1"/>
    <x v="3"/>
    <x v="1"/>
    <x v="3"/>
    <x v="0"/>
    <n v="70.041666666666671"/>
    <n v="56.861753912194921"/>
    <n v="-3.3388351671011091E-2"/>
    <b v="0"/>
  </r>
  <r>
    <n v="406"/>
    <x v="17"/>
    <x v="0"/>
    <x v="21"/>
    <x v="0"/>
    <x v="3"/>
    <x v="1"/>
    <n v="0.22"/>
    <n v="0.2424"/>
    <n v="0.93"/>
    <n v="0.1045"/>
    <n v="0"/>
    <n v="41"/>
    <n v="41"/>
    <x v="1"/>
    <x v="3"/>
    <x v="1"/>
    <x v="0"/>
    <x v="0"/>
    <n v="69.041666666666671"/>
    <n v="56.83498552573181"/>
    <n v="-0.30835453504217819"/>
    <b v="0"/>
  </r>
  <r>
    <n v="407"/>
    <x v="17"/>
    <x v="0"/>
    <x v="22"/>
    <x v="0"/>
    <x v="3"/>
    <x v="1"/>
    <n v="0.22"/>
    <n v="0.2576"/>
    <n v="0.93"/>
    <n v="8.9599999999999999E-2"/>
    <n v="0"/>
    <n v="33"/>
    <n v="33"/>
    <x v="1"/>
    <x v="3"/>
    <x v="1"/>
    <x v="0"/>
    <x v="0"/>
    <n v="69.791666666666671"/>
    <n v="56.566989272563539"/>
    <n v="-0.30702831223931842"/>
    <b v="0"/>
  </r>
  <r>
    <n v="408"/>
    <x v="17"/>
    <x v="0"/>
    <x v="23"/>
    <x v="0"/>
    <x v="3"/>
    <x v="1"/>
    <n v="0.22"/>
    <n v="0.2727"/>
    <n v="0.93"/>
    <n v="0"/>
    <n v="1"/>
    <n v="19"/>
    <n v="20"/>
    <x v="1"/>
    <x v="3"/>
    <x v="1"/>
    <x v="0"/>
    <x v="0"/>
    <n v="69.583333333333329"/>
    <n v="56.717389915620934"/>
    <n v="-0.75178609340098923"/>
    <b v="0"/>
  </r>
  <r>
    <n v="409"/>
    <x v="18"/>
    <x v="0"/>
    <x v="0"/>
    <x v="0"/>
    <x v="4"/>
    <x v="1"/>
    <n v="0.22"/>
    <n v="0.2727"/>
    <n v="0.93"/>
    <n v="0"/>
    <n v="0"/>
    <n v="3"/>
    <n v="3"/>
    <x v="1"/>
    <x v="4"/>
    <x v="1"/>
    <x v="0"/>
    <x v="0"/>
    <n v="69.291666666666671"/>
    <n v="57.000746880436012"/>
    <n v="-0.9710914261437148"/>
    <b v="0"/>
  </r>
  <r>
    <n v="410"/>
    <x v="18"/>
    <x v="0"/>
    <x v="1"/>
    <x v="0"/>
    <x v="4"/>
    <x v="2"/>
    <n v="0.22"/>
    <n v="0.2273"/>
    <n v="0.93"/>
    <n v="0.1343"/>
    <n v="1"/>
    <n v="6"/>
    <n v="7"/>
    <x v="2"/>
    <x v="4"/>
    <x v="1"/>
    <x v="0"/>
    <x v="0"/>
    <n v="69.375"/>
    <n v="56.900991433251463"/>
    <n v="-1.0964019209058447"/>
    <b v="1"/>
  </r>
  <r>
    <n v="411"/>
    <x v="18"/>
    <x v="0"/>
    <x v="2"/>
    <x v="0"/>
    <x v="4"/>
    <x v="2"/>
    <n v="0.22"/>
    <n v="0.2273"/>
    <n v="0.93"/>
    <n v="0.1343"/>
    <n v="0"/>
    <n v="3"/>
    <n v="3"/>
    <x v="2"/>
    <x v="4"/>
    <x v="1"/>
    <x v="0"/>
    <x v="0"/>
    <n v="69.166666666666671"/>
    <n v="57.147913854934501"/>
    <n v="-1.1412836517675122"/>
    <b v="1"/>
  </r>
  <r>
    <n v="412"/>
    <x v="18"/>
    <x v="0"/>
    <x v="4"/>
    <x v="0"/>
    <x v="4"/>
    <x v="2"/>
    <n v="0.22"/>
    <n v="0.2273"/>
    <n v="0.93"/>
    <n v="0.1343"/>
    <n v="1"/>
    <n v="1"/>
    <n v="2"/>
    <x v="2"/>
    <x v="4"/>
    <x v="1"/>
    <x v="0"/>
    <x v="0"/>
    <n v="69.083333333333329"/>
    <n v="57.249960445527755"/>
    <n v="-1.1557914947984551"/>
    <b v="0"/>
  </r>
  <r>
    <n v="413"/>
    <x v="18"/>
    <x v="0"/>
    <x v="5"/>
    <x v="0"/>
    <x v="4"/>
    <x v="1"/>
    <n v="0.22"/>
    <n v="0.2576"/>
    <n v="0.93"/>
    <n v="8.9599999999999999E-2"/>
    <n v="0"/>
    <n v="7"/>
    <n v="7"/>
    <x v="1"/>
    <x v="4"/>
    <x v="1"/>
    <x v="0"/>
    <x v="0"/>
    <n v="69.041666666666671"/>
    <n v="57.301247551990457"/>
    <n v="-1.1557914947984551"/>
    <b v="0"/>
  </r>
  <r>
    <n v="414"/>
    <x v="18"/>
    <x v="0"/>
    <x v="6"/>
    <x v="0"/>
    <x v="4"/>
    <x v="1"/>
    <n v="0.22"/>
    <n v="0.2576"/>
    <n v="0.93"/>
    <n v="8.9599999999999999E-2"/>
    <n v="0"/>
    <n v="32"/>
    <n v="32"/>
    <x v="1"/>
    <x v="4"/>
    <x v="1"/>
    <x v="1"/>
    <x v="0"/>
    <n v="69"/>
    <n v="57.348666638531284"/>
    <n v="-1.0832522796437405"/>
    <b v="0"/>
  </r>
  <r>
    <n v="415"/>
    <x v="18"/>
    <x v="0"/>
    <x v="7"/>
    <x v="0"/>
    <x v="4"/>
    <x v="1"/>
    <n v="0.24"/>
    <n v="0.2576"/>
    <n v="0.92"/>
    <n v="0.1045"/>
    <n v="1"/>
    <n v="89"/>
    <n v="90"/>
    <x v="1"/>
    <x v="4"/>
    <x v="1"/>
    <x v="1"/>
    <x v="0"/>
    <n v="69.125"/>
    <n v="57.267725564268289"/>
    <n v="-0.66146562170352607"/>
    <b v="0"/>
  </r>
  <r>
    <n v="416"/>
    <x v="18"/>
    <x v="0"/>
    <x v="8"/>
    <x v="0"/>
    <x v="4"/>
    <x v="1"/>
    <n v="0.24"/>
    <n v="0.2576"/>
    <n v="0.93"/>
    <n v="0.1045"/>
    <n v="1"/>
    <n v="196"/>
    <n v="197"/>
    <x v="1"/>
    <x v="4"/>
    <x v="1"/>
    <x v="1"/>
    <x v="0"/>
    <n v="69.583333333333329"/>
    <n v="57.485662988917177"/>
    <n v="0.29914713938952481"/>
    <b v="0"/>
  </r>
  <r>
    <n v="417"/>
    <x v="18"/>
    <x v="0"/>
    <x v="9"/>
    <x v="0"/>
    <x v="4"/>
    <x v="1"/>
    <n v="0.24"/>
    <n v="0.2576"/>
    <n v="0.93"/>
    <n v="0.1045"/>
    <n v="2"/>
    <n v="107"/>
    <n v="109"/>
    <x v="1"/>
    <x v="4"/>
    <x v="1"/>
    <x v="1"/>
    <x v="0"/>
    <n v="71.75"/>
    <n v="63.193457283790551"/>
    <n v="2.4605886437226165"/>
    <b v="0"/>
  </r>
  <r>
    <n v="418"/>
    <x v="18"/>
    <x v="0"/>
    <x v="10"/>
    <x v="0"/>
    <x v="4"/>
    <x v="1"/>
    <n v="0.26"/>
    <n v="0.2727"/>
    <n v="0.93"/>
    <n v="0.1343"/>
    <n v="1"/>
    <n v="46"/>
    <n v="47"/>
    <x v="1"/>
    <x v="4"/>
    <x v="1"/>
    <x v="1"/>
    <x v="0"/>
    <n v="73.166666666666671"/>
    <n v="64.433765565327136"/>
    <n v="0.99214330583005228"/>
    <b v="0"/>
  </r>
  <r>
    <n v="419"/>
    <x v="18"/>
    <x v="0"/>
    <x v="11"/>
    <x v="0"/>
    <x v="4"/>
    <x v="1"/>
    <n v="0.28000000000000003"/>
    <n v="0.30299999999999999"/>
    <n v="0.87"/>
    <n v="8.9599999999999999E-2"/>
    <n v="5"/>
    <n v="47"/>
    <n v="52"/>
    <x v="1"/>
    <x v="4"/>
    <x v="1"/>
    <x v="1"/>
    <x v="0"/>
    <n v="73.583333333333329"/>
    <n v="64.289370726472328"/>
    <n v="-0.32111496385829852"/>
    <b v="0"/>
  </r>
  <r>
    <n v="420"/>
    <x v="18"/>
    <x v="0"/>
    <x v="12"/>
    <x v="0"/>
    <x v="4"/>
    <x v="1"/>
    <n v="0.3"/>
    <n v="0.31819999999999998"/>
    <n v="0.81"/>
    <n v="8.9599999999999999E-2"/>
    <n v="5"/>
    <n v="65"/>
    <n v="70"/>
    <x v="1"/>
    <x v="4"/>
    <x v="1"/>
    <x v="2"/>
    <x v="1"/>
    <n v="74.25"/>
    <n v="64.138606701153222"/>
    <n v="-0.16104239043054946"/>
    <b v="0"/>
  </r>
  <r>
    <n v="421"/>
    <x v="18"/>
    <x v="0"/>
    <x v="13"/>
    <x v="0"/>
    <x v="4"/>
    <x v="0"/>
    <n v="0.4"/>
    <n v="0.40910000000000002"/>
    <n v="0.62"/>
    <n v="0.28360000000000002"/>
    <n v="11"/>
    <n v="67"/>
    <n v="78"/>
    <x v="0"/>
    <x v="4"/>
    <x v="1"/>
    <x v="2"/>
    <x v="1"/>
    <n v="74.833333333333329"/>
    <n v="64.161932819923734"/>
    <n v="8.320978207257769E-2"/>
    <b v="0"/>
  </r>
  <r>
    <n v="422"/>
    <x v="18"/>
    <x v="0"/>
    <x v="14"/>
    <x v="0"/>
    <x v="4"/>
    <x v="0"/>
    <n v="0.4"/>
    <n v="0.40910000000000002"/>
    <n v="0.57999999999999996"/>
    <n v="0.25369999999999998"/>
    <n v="7"/>
    <n v="68"/>
    <n v="75"/>
    <x v="0"/>
    <x v="4"/>
    <x v="1"/>
    <x v="2"/>
    <x v="1"/>
    <n v="75.666666666666671"/>
    <n v="64.334497248613715"/>
    <n v="0.29562741135753928"/>
    <b v="0"/>
  </r>
  <r>
    <n v="423"/>
    <x v="18"/>
    <x v="0"/>
    <x v="15"/>
    <x v="0"/>
    <x v="4"/>
    <x v="0"/>
    <n v="0.4"/>
    <n v="0.40910000000000002"/>
    <n v="0.54"/>
    <n v="0.28360000000000002"/>
    <n v="4"/>
    <n v="78"/>
    <n v="82"/>
    <x v="0"/>
    <x v="4"/>
    <x v="1"/>
    <x v="2"/>
    <x v="1"/>
    <n v="75.916666666666671"/>
    <n v="64.343451183045261"/>
    <n v="5.7869004465114546E-2"/>
    <b v="0"/>
  </r>
  <r>
    <n v="424"/>
    <x v="18"/>
    <x v="0"/>
    <x v="16"/>
    <x v="0"/>
    <x v="4"/>
    <x v="0"/>
    <n v="0.38"/>
    <n v="0.39389999999999997"/>
    <n v="0.57999999999999996"/>
    <n v="0.3881"/>
    <n v="10"/>
    <n v="94"/>
    <n v="104"/>
    <x v="0"/>
    <x v="4"/>
    <x v="1"/>
    <x v="2"/>
    <x v="1"/>
    <n v="75.416666666666671"/>
    <n v="64.340748239805009"/>
    <n v="-9.4490610204676667E-2"/>
    <b v="0"/>
  </r>
  <r>
    <n v="425"/>
    <x v="18"/>
    <x v="0"/>
    <x v="17"/>
    <x v="0"/>
    <x v="4"/>
    <x v="0"/>
    <n v="0.36"/>
    <n v="0.33329999999999999"/>
    <n v="0.56999999999999995"/>
    <n v="0.32840000000000003"/>
    <n v="7"/>
    <n v="190"/>
    <n v="197"/>
    <x v="0"/>
    <x v="4"/>
    <x v="1"/>
    <x v="3"/>
    <x v="1"/>
    <n v="74.875"/>
    <n v="64.144071873570198"/>
    <n v="0.22183492015302328"/>
    <b v="1"/>
  </r>
  <r>
    <n v="426"/>
    <x v="18"/>
    <x v="0"/>
    <x v="18"/>
    <x v="0"/>
    <x v="4"/>
    <x v="0"/>
    <n v="0.34"/>
    <n v="0.31819999999999998"/>
    <n v="0.61"/>
    <n v="0.28360000000000002"/>
    <n v="5"/>
    <n v="156"/>
    <n v="161"/>
    <x v="0"/>
    <x v="4"/>
    <x v="1"/>
    <x v="3"/>
    <x v="1"/>
    <n v="75.625"/>
    <n v="65.719967516994274"/>
    <n v="2.0652265745261968"/>
    <b v="1"/>
  </r>
  <r>
    <n v="427"/>
    <x v="18"/>
    <x v="0"/>
    <x v="19"/>
    <x v="0"/>
    <x v="4"/>
    <x v="0"/>
    <n v="0.32"/>
    <n v="0.28789999999999999"/>
    <n v="0.56999999999999995"/>
    <n v="0.41789999999999999"/>
    <n v="4"/>
    <n v="108"/>
    <n v="112"/>
    <x v="0"/>
    <x v="4"/>
    <x v="1"/>
    <x v="3"/>
    <x v="1"/>
    <n v="76.625"/>
    <n v="67.240523819184077"/>
    <n v="1.7583454902012281"/>
    <b v="0"/>
  </r>
  <r>
    <n v="428"/>
    <x v="18"/>
    <x v="0"/>
    <x v="20"/>
    <x v="0"/>
    <x v="4"/>
    <x v="0"/>
    <n v="0.32"/>
    <n v="0.30299999999999999"/>
    <n v="0.49"/>
    <n v="0.29849999999999999"/>
    <n v="2"/>
    <n v="74"/>
    <n v="76"/>
    <x v="0"/>
    <x v="4"/>
    <x v="1"/>
    <x v="3"/>
    <x v="1"/>
    <n v="78.291666666666671"/>
    <n v="68.636711666613209"/>
    <n v="1.357177508682998"/>
    <b v="0"/>
  </r>
  <r>
    <n v="429"/>
    <x v="18"/>
    <x v="0"/>
    <x v="21"/>
    <x v="0"/>
    <x v="4"/>
    <x v="0"/>
    <n v="0.32"/>
    <n v="0.28789999999999999"/>
    <n v="0.49"/>
    <n v="0.41789999999999999"/>
    <n v="4"/>
    <n v="55"/>
    <n v="59"/>
    <x v="0"/>
    <x v="4"/>
    <x v="1"/>
    <x v="0"/>
    <x v="1"/>
    <n v="80.375"/>
    <n v="69.319557752170653"/>
    <n v="0.99628185459457719"/>
    <b v="0"/>
  </r>
  <r>
    <n v="430"/>
    <x v="18"/>
    <x v="0"/>
    <x v="22"/>
    <x v="0"/>
    <x v="4"/>
    <x v="0"/>
    <n v="0.3"/>
    <n v="0.30299999999999999"/>
    <n v="0.52"/>
    <n v="0.16420000000000001"/>
    <n v="6"/>
    <n v="53"/>
    <n v="59"/>
    <x v="0"/>
    <x v="4"/>
    <x v="1"/>
    <x v="0"/>
    <x v="1"/>
    <n v="80.291666666666671"/>
    <n v="69.347567692944622"/>
    <n v="-0.1617558009187462"/>
    <b v="0"/>
  </r>
  <r>
    <n v="431"/>
    <x v="18"/>
    <x v="0"/>
    <x v="23"/>
    <x v="0"/>
    <x v="4"/>
    <x v="0"/>
    <n v="0.3"/>
    <n v="0.2727"/>
    <n v="0.52"/>
    <n v="0.4627"/>
    <n v="1"/>
    <n v="27"/>
    <n v="28"/>
    <x v="0"/>
    <x v="4"/>
    <x v="1"/>
    <x v="0"/>
    <x v="1"/>
    <n v="80.166666666666671"/>
    <n v="69.3903054666401"/>
    <n v="-0.16709868596713853"/>
    <b v="0"/>
  </r>
  <r>
    <n v="432"/>
    <x v="19"/>
    <x v="0"/>
    <x v="0"/>
    <x v="0"/>
    <x v="5"/>
    <x v="0"/>
    <n v="0.26"/>
    <n v="0.2273"/>
    <n v="0.56000000000000005"/>
    <n v="0.3881"/>
    <n v="5"/>
    <n v="8"/>
    <n v="13"/>
    <x v="0"/>
    <x v="5"/>
    <x v="1"/>
    <x v="0"/>
    <x v="0"/>
    <n v="80.291666666666671"/>
    <n v="69.294882907047693"/>
    <n v="-0.59277979875843578"/>
    <b v="0"/>
  </r>
  <r>
    <n v="433"/>
    <x v="19"/>
    <x v="0"/>
    <x v="1"/>
    <x v="0"/>
    <x v="5"/>
    <x v="0"/>
    <n v="0.26"/>
    <n v="0.2727"/>
    <n v="0.56000000000000005"/>
    <n v="0"/>
    <n v="2"/>
    <n v="3"/>
    <n v="5"/>
    <x v="0"/>
    <x v="5"/>
    <x v="1"/>
    <x v="0"/>
    <x v="0"/>
    <n v="80.625"/>
    <n v="68.975617935363346"/>
    <n v="-0.76551964941332318"/>
    <b v="0"/>
  </r>
  <r>
    <n v="434"/>
    <x v="19"/>
    <x v="0"/>
    <x v="2"/>
    <x v="0"/>
    <x v="5"/>
    <x v="0"/>
    <n v="0.26"/>
    <n v="0.2727"/>
    <n v="0.56000000000000005"/>
    <n v="0"/>
    <n v="0"/>
    <n v="2"/>
    <n v="2"/>
    <x v="0"/>
    <x v="5"/>
    <x v="1"/>
    <x v="0"/>
    <x v="0"/>
    <n v="80.666666666666671"/>
    <n v="68.92823405017252"/>
    <n v="-1.0196552865290573"/>
    <b v="1"/>
  </r>
  <r>
    <n v="435"/>
    <x v="19"/>
    <x v="0"/>
    <x v="3"/>
    <x v="0"/>
    <x v="5"/>
    <x v="0"/>
    <n v="0.26"/>
    <n v="0.2576"/>
    <n v="0.56000000000000005"/>
    <n v="0.16420000000000001"/>
    <n v="0"/>
    <n v="1"/>
    <n v="1"/>
    <x v="0"/>
    <x v="5"/>
    <x v="1"/>
    <x v="0"/>
    <x v="0"/>
    <n v="80.666666666666671"/>
    <n v="68.92823405017252"/>
    <n v="-1.0993253209931637"/>
    <b v="1"/>
  </r>
  <r>
    <n v="436"/>
    <x v="19"/>
    <x v="0"/>
    <x v="4"/>
    <x v="0"/>
    <x v="5"/>
    <x v="0"/>
    <n v="0.26"/>
    <n v="0.2576"/>
    <n v="0.56000000000000005"/>
    <n v="0.16420000000000001"/>
    <n v="0"/>
    <n v="1"/>
    <n v="1"/>
    <x v="0"/>
    <x v="5"/>
    <x v="1"/>
    <x v="0"/>
    <x v="0"/>
    <n v="80.666666666666671"/>
    <n v="68.92823405017252"/>
    <n v="-1.1316587122612283"/>
    <b v="1"/>
  </r>
  <r>
    <n v="437"/>
    <x v="19"/>
    <x v="0"/>
    <x v="5"/>
    <x v="0"/>
    <x v="5"/>
    <x v="0"/>
    <n v="0.24"/>
    <n v="0.2273"/>
    <n v="0.6"/>
    <n v="0.22389999999999999"/>
    <n v="0"/>
    <n v="6"/>
    <n v="6"/>
    <x v="0"/>
    <x v="5"/>
    <x v="1"/>
    <x v="0"/>
    <x v="0"/>
    <n v="80.666666666666671"/>
    <n v="68.92823405017252"/>
    <n v="-1.1418509600142397"/>
    <b v="0"/>
  </r>
  <r>
    <n v="438"/>
    <x v="19"/>
    <x v="0"/>
    <x v="6"/>
    <x v="0"/>
    <x v="5"/>
    <x v="0"/>
    <n v="0.22"/>
    <n v="0.21210000000000001"/>
    <n v="0.6"/>
    <n v="0.22389999999999999"/>
    <n v="0"/>
    <n v="35"/>
    <n v="35"/>
    <x v="0"/>
    <x v="5"/>
    <x v="1"/>
    <x v="1"/>
    <x v="0"/>
    <n v="80.625"/>
    <n v="68.975617935363346"/>
    <n v="-1.0736695963399108"/>
    <b v="0"/>
  </r>
  <r>
    <n v="439"/>
    <x v="19"/>
    <x v="0"/>
    <x v="7"/>
    <x v="0"/>
    <x v="5"/>
    <x v="0"/>
    <n v="0.22"/>
    <n v="0.21210000000000001"/>
    <n v="0.55000000000000004"/>
    <n v="0.22389999999999999"/>
    <n v="1"/>
    <n v="100"/>
    <n v="101"/>
    <x v="0"/>
    <x v="5"/>
    <x v="1"/>
    <x v="1"/>
    <x v="0"/>
    <n v="80.291666666666671"/>
    <n v="69.224574153017855"/>
    <n v="-0.67546975059301595"/>
    <b v="0"/>
  </r>
  <r>
    <n v="440"/>
    <x v="19"/>
    <x v="0"/>
    <x v="8"/>
    <x v="0"/>
    <x v="5"/>
    <x v="0"/>
    <n v="0.22"/>
    <n v="0.21210000000000001"/>
    <n v="0.55000000000000004"/>
    <n v="0.28360000000000002"/>
    <n v="2"/>
    <n v="247"/>
    <n v="249"/>
    <x v="0"/>
    <x v="5"/>
    <x v="1"/>
    <x v="1"/>
    <x v="0"/>
    <n v="78.916666666666671"/>
    <n v="69.123026218642863"/>
    <n v="7.0625326783831183E-2"/>
    <b v="0"/>
  </r>
  <r>
    <n v="441"/>
    <x v="19"/>
    <x v="0"/>
    <x v="9"/>
    <x v="0"/>
    <x v="5"/>
    <x v="1"/>
    <n v="0.24"/>
    <n v="0.2273"/>
    <n v="0.52"/>
    <n v="0.22389999999999999"/>
    <n v="3"/>
    <n v="140"/>
    <n v="143"/>
    <x v="1"/>
    <x v="5"/>
    <x v="1"/>
    <x v="1"/>
    <x v="0"/>
    <n v="77.583333333333329"/>
    <n v="65.93469540364174"/>
    <n v="2.7081366400772087"/>
    <b v="0"/>
  </r>
  <r>
    <n v="442"/>
    <x v="19"/>
    <x v="0"/>
    <x v="10"/>
    <x v="0"/>
    <x v="5"/>
    <x v="0"/>
    <n v="0.26"/>
    <n v="0.2273"/>
    <n v="0.48"/>
    <n v="0.29849999999999999"/>
    <n v="1"/>
    <n v="56"/>
    <n v="57"/>
    <x v="0"/>
    <x v="5"/>
    <x v="1"/>
    <x v="1"/>
    <x v="0"/>
    <n v="78.541666666666671"/>
    <n v="67.083970201315722"/>
    <n v="2.3749356966217872"/>
    <b v="0"/>
  </r>
  <r>
    <n v="443"/>
    <x v="19"/>
    <x v="0"/>
    <x v="11"/>
    <x v="0"/>
    <x v="5"/>
    <x v="1"/>
    <n v="0.28000000000000003"/>
    <n v="0.2727"/>
    <n v="0.45"/>
    <n v="0.16420000000000001"/>
    <n v="5"/>
    <n v="63"/>
    <n v="68"/>
    <x v="1"/>
    <x v="5"/>
    <x v="1"/>
    <x v="1"/>
    <x v="0"/>
    <n v="78.791666666666671"/>
    <n v="67.011341782837263"/>
    <n v="0.31700446723782588"/>
    <b v="0"/>
  </r>
  <r>
    <n v="444"/>
    <x v="19"/>
    <x v="0"/>
    <x v="12"/>
    <x v="0"/>
    <x v="5"/>
    <x v="1"/>
    <n v="0.3"/>
    <n v="0.33329999999999999"/>
    <n v="0.42"/>
    <n v="0"/>
    <n v="7"/>
    <n v="77"/>
    <n v="84"/>
    <x v="1"/>
    <x v="5"/>
    <x v="1"/>
    <x v="2"/>
    <x v="1"/>
    <n v="78.416666666666671"/>
    <n v="67.09948270821576"/>
    <n v="0.21787603448593243"/>
    <b v="0"/>
  </r>
  <r>
    <n v="445"/>
    <x v="19"/>
    <x v="0"/>
    <x v="13"/>
    <x v="0"/>
    <x v="5"/>
    <x v="1"/>
    <n v="0.28000000000000003"/>
    <n v="0.28789999999999999"/>
    <n v="0.45"/>
    <n v="0.1045"/>
    <n v="12"/>
    <n v="86"/>
    <n v="98"/>
    <x v="1"/>
    <x v="5"/>
    <x v="1"/>
    <x v="2"/>
    <x v="0"/>
    <n v="78.166666666666671"/>
    <n v="67.088952415668899"/>
    <n v="0.67459692420010697"/>
    <b v="0"/>
  </r>
  <r>
    <n v="446"/>
    <x v="19"/>
    <x v="0"/>
    <x v="14"/>
    <x v="0"/>
    <x v="5"/>
    <x v="1"/>
    <n v="0.3"/>
    <n v="0.30299999999999999"/>
    <n v="0.45"/>
    <n v="0.1343"/>
    <n v="6"/>
    <n v="75"/>
    <n v="81"/>
    <x v="1"/>
    <x v="5"/>
    <x v="1"/>
    <x v="2"/>
    <x v="1"/>
    <n v="77.125"/>
    <n v="66.961580483659176"/>
    <n v="0.54242744686306621"/>
    <b v="0"/>
  </r>
  <r>
    <n v="447"/>
    <x v="19"/>
    <x v="0"/>
    <x v="15"/>
    <x v="0"/>
    <x v="5"/>
    <x v="1"/>
    <n v="0.32"/>
    <n v="0.31819999999999998"/>
    <n v="0.45"/>
    <n v="0.19400000000000001"/>
    <n v="8"/>
    <n v="62"/>
    <n v="70"/>
    <x v="1"/>
    <x v="5"/>
    <x v="1"/>
    <x v="2"/>
    <x v="1"/>
    <n v="76.333333333333329"/>
    <n v="67.026060257359518"/>
    <n v="0.26986424869383085"/>
    <b v="0"/>
  </r>
  <r>
    <n v="448"/>
    <x v="19"/>
    <x v="0"/>
    <x v="16"/>
    <x v="0"/>
    <x v="5"/>
    <x v="1"/>
    <n v="0.3"/>
    <n v="0.30299999999999999"/>
    <n v="0.49"/>
    <n v="0.1343"/>
    <n v="8"/>
    <n v="83"/>
    <n v="91"/>
    <x v="1"/>
    <x v="5"/>
    <x v="1"/>
    <x v="2"/>
    <x v="1"/>
    <n v="76.125"/>
    <n v="67.054366326722231"/>
    <n v="0.2921014441481421"/>
    <b v="0"/>
  </r>
  <r>
    <n v="449"/>
    <x v="19"/>
    <x v="0"/>
    <x v="17"/>
    <x v="0"/>
    <x v="5"/>
    <x v="1"/>
    <n v="0.3"/>
    <n v="0.31819999999999998"/>
    <n v="0.49"/>
    <n v="0.1045"/>
    <n v="8"/>
    <n v="207"/>
    <n v="215"/>
    <x v="1"/>
    <x v="5"/>
    <x v="1"/>
    <x v="3"/>
    <x v="1"/>
    <n v="76.375"/>
    <n v="67.123385738827849"/>
    <n v="1.0252972936219307"/>
    <b v="0"/>
  </r>
  <r>
    <n v="450"/>
    <x v="19"/>
    <x v="0"/>
    <x v="18"/>
    <x v="0"/>
    <x v="5"/>
    <x v="1"/>
    <n v="0.26"/>
    <n v="0.2576"/>
    <n v="0.56000000000000005"/>
    <n v="0.19400000000000001"/>
    <n v="1"/>
    <n v="184"/>
    <n v="185"/>
    <x v="1"/>
    <x v="5"/>
    <x v="1"/>
    <x v="3"/>
    <x v="0"/>
    <n v="74.125"/>
    <n v="63.056436074636999"/>
    <n v="2.6175831920733703"/>
    <b v="0"/>
  </r>
  <r>
    <n v="451"/>
    <x v="19"/>
    <x v="0"/>
    <x v="19"/>
    <x v="0"/>
    <x v="5"/>
    <x v="0"/>
    <n v="0.26"/>
    <n v="0.2273"/>
    <n v="0.56000000000000005"/>
    <n v="0.32840000000000003"/>
    <n v="6"/>
    <n v="146"/>
    <n v="152"/>
    <x v="0"/>
    <x v="5"/>
    <x v="1"/>
    <x v="3"/>
    <x v="0"/>
    <n v="71.416666666666671"/>
    <n v="59.375676960290342"/>
    <n v="2.0924933409810236"/>
    <b v="0"/>
  </r>
  <r>
    <n v="452"/>
    <x v="19"/>
    <x v="0"/>
    <x v="20"/>
    <x v="0"/>
    <x v="5"/>
    <x v="1"/>
    <n v="0.26"/>
    <n v="0.2424"/>
    <n v="0.6"/>
    <n v="0.28360000000000002"/>
    <n v="2"/>
    <n v="124"/>
    <n v="126"/>
    <x v="1"/>
    <x v="5"/>
    <x v="1"/>
    <x v="3"/>
    <x v="0"/>
    <n v="69.083333333333329"/>
    <n v="57.12908089631734"/>
    <n v="1.6358909695861776"/>
    <b v="0"/>
  </r>
  <r>
    <n v="453"/>
    <x v="19"/>
    <x v="0"/>
    <x v="21"/>
    <x v="0"/>
    <x v="5"/>
    <x v="1"/>
    <n v="0.24"/>
    <n v="0.2273"/>
    <n v="0.6"/>
    <n v="0.25369999999999998"/>
    <n v="3"/>
    <n v="54"/>
    <n v="57"/>
    <x v="1"/>
    <x v="5"/>
    <x v="1"/>
    <x v="0"/>
    <x v="0"/>
    <n v="66.041666666666671"/>
    <n v="55.897016461304638"/>
    <n v="0.34071592304518544"/>
    <b v="0"/>
  </r>
  <r>
    <n v="454"/>
    <x v="19"/>
    <x v="0"/>
    <x v="22"/>
    <x v="0"/>
    <x v="5"/>
    <x v="1"/>
    <n v="0.24"/>
    <n v="0.21210000000000001"/>
    <n v="0.65"/>
    <n v="0.28360000000000002"/>
    <n v="0"/>
    <n v="56"/>
    <n v="56"/>
    <x v="1"/>
    <x v="5"/>
    <x v="1"/>
    <x v="0"/>
    <x v="0"/>
    <n v="65.375"/>
    <n v="56.104570456309141"/>
    <n v="-5.165608421476614E-2"/>
    <b v="0"/>
  </r>
  <r>
    <n v="455"/>
    <x v="19"/>
    <x v="0"/>
    <x v="23"/>
    <x v="0"/>
    <x v="5"/>
    <x v="1"/>
    <n v="0.24"/>
    <n v="0.21210000000000001"/>
    <n v="0.65"/>
    <n v="0.32840000000000003"/>
    <n v="3"/>
    <n v="28"/>
    <n v="31"/>
    <x v="1"/>
    <x v="5"/>
    <x v="1"/>
    <x v="0"/>
    <x v="0"/>
    <n v="64.458333333333329"/>
    <n v="56.44310653536283"/>
    <n v="-0.27587657923390707"/>
    <b v="0"/>
  </r>
  <r>
    <n v="456"/>
    <x v="20"/>
    <x v="0"/>
    <x v="0"/>
    <x v="0"/>
    <x v="6"/>
    <x v="1"/>
    <n v="0.24"/>
    <n v="0.2273"/>
    <n v="0.7"/>
    <n v="0.25369999999999998"/>
    <n v="1"/>
    <n v="20"/>
    <n v="21"/>
    <x v="1"/>
    <x v="6"/>
    <x v="1"/>
    <x v="0"/>
    <x v="0"/>
    <n v="64.291666666666671"/>
    <n v="56.551999285510725"/>
    <n v="-0.51436422129386028"/>
    <b v="0"/>
  </r>
  <r>
    <n v="457"/>
    <x v="20"/>
    <x v="0"/>
    <x v="1"/>
    <x v="0"/>
    <x v="6"/>
    <x v="1"/>
    <n v="0.24"/>
    <n v="0.2273"/>
    <n v="0.7"/>
    <n v="0.25369999999999998"/>
    <n v="0"/>
    <n v="6"/>
    <n v="6"/>
    <x v="1"/>
    <x v="6"/>
    <x v="1"/>
    <x v="0"/>
    <x v="0"/>
    <n v="63.958333333333336"/>
    <n v="56.841105125464068"/>
    <n v="-0.98293233085893439"/>
    <b v="0"/>
  </r>
  <r>
    <n v="458"/>
    <x v="20"/>
    <x v="0"/>
    <x v="2"/>
    <x v="0"/>
    <x v="6"/>
    <x v="2"/>
    <n v="0.24"/>
    <n v="0.2424"/>
    <n v="0.75"/>
    <n v="0.16420000000000001"/>
    <n v="0"/>
    <n v="2"/>
    <n v="2"/>
    <x v="2"/>
    <x v="6"/>
    <x v="1"/>
    <x v="0"/>
    <x v="0"/>
    <n v="64.208333333333329"/>
    <n v="56.587738083875337"/>
    <n v="-1.0170718040001998"/>
    <b v="0"/>
  </r>
  <r>
    <n v="459"/>
    <x v="20"/>
    <x v="0"/>
    <x v="3"/>
    <x v="0"/>
    <x v="6"/>
    <x v="2"/>
    <n v="0.22"/>
    <n v="0.21210000000000001"/>
    <n v="0.8"/>
    <n v="0.29849999999999999"/>
    <n v="0"/>
    <n v="1"/>
    <n v="1"/>
    <x v="2"/>
    <x v="6"/>
    <x v="1"/>
    <x v="0"/>
    <x v="0"/>
    <n v="64.583333333333329"/>
    <n v="56.185961937485594"/>
    <n v="-1.068526901064879"/>
    <b v="0"/>
  </r>
  <r>
    <n v="460"/>
    <x v="20"/>
    <x v="0"/>
    <x v="4"/>
    <x v="0"/>
    <x v="6"/>
    <x v="1"/>
    <n v="0.22"/>
    <n v="0.2576"/>
    <n v="0.87"/>
    <n v="8.9599999999999999E-2"/>
    <n v="0"/>
    <n v="1"/>
    <n v="1"/>
    <x v="1"/>
    <x v="6"/>
    <x v="1"/>
    <x v="0"/>
    <x v="0"/>
    <n v="64.833333333333329"/>
    <n v="55.903384564774797"/>
    <n v="-1.1852492694025989"/>
    <b v="0"/>
  </r>
  <r>
    <n v="461"/>
    <x v="20"/>
    <x v="0"/>
    <x v="5"/>
    <x v="0"/>
    <x v="6"/>
    <x v="0"/>
    <n v="0.24"/>
    <n v="0.19700000000000001"/>
    <n v="0.6"/>
    <n v="0.41789999999999999"/>
    <n v="1"/>
    <n v="4"/>
    <n v="5"/>
    <x v="0"/>
    <x v="6"/>
    <x v="1"/>
    <x v="0"/>
    <x v="0"/>
    <n v="64.916666666666671"/>
    <n v="55.805498144792196"/>
    <n v="-1.3061974426723246"/>
    <b v="0"/>
  </r>
  <r>
    <n v="462"/>
    <x v="20"/>
    <x v="0"/>
    <x v="6"/>
    <x v="0"/>
    <x v="6"/>
    <x v="0"/>
    <n v="0.22"/>
    <n v="0.21210000000000001"/>
    <n v="0.55000000000000004"/>
    <n v="0.25369999999999998"/>
    <n v="0"/>
    <n v="27"/>
    <n v="27"/>
    <x v="0"/>
    <x v="6"/>
    <x v="1"/>
    <x v="1"/>
    <x v="0"/>
    <n v="64.791666666666671"/>
    <n v="55.948718108380412"/>
    <n v="-1.3319639195096022"/>
    <b v="0"/>
  </r>
  <r>
    <n v="463"/>
    <x v="20"/>
    <x v="0"/>
    <x v="7"/>
    <x v="0"/>
    <x v="6"/>
    <x v="0"/>
    <n v="0.2"/>
    <n v="0.18179999999999999"/>
    <n v="0.51"/>
    <n v="0.28360000000000002"/>
    <n v="2"/>
    <n v="66"/>
    <n v="68"/>
    <x v="0"/>
    <x v="6"/>
    <x v="1"/>
    <x v="1"/>
    <x v="0"/>
    <n v="64"/>
    <n v="56.636906081059749"/>
    <n v="-1.1298534828295361"/>
    <b v="0"/>
  </r>
  <r>
    <n v="464"/>
    <x v="20"/>
    <x v="0"/>
    <x v="8"/>
    <x v="0"/>
    <x v="6"/>
    <x v="0"/>
    <n v="0.2"/>
    <n v="0.18179999999999999"/>
    <n v="0.47"/>
    <n v="0.32840000000000003"/>
    <n v="7"/>
    <n v="210"/>
    <n v="217"/>
    <x v="0"/>
    <x v="6"/>
    <x v="1"/>
    <x v="1"/>
    <x v="0"/>
    <n v="62.291666666666664"/>
    <n v="57.127225799405238"/>
    <n v="-0.51321105436186609"/>
    <b v="0"/>
  </r>
  <r>
    <n v="465"/>
    <x v="20"/>
    <x v="0"/>
    <x v="9"/>
    <x v="0"/>
    <x v="6"/>
    <x v="0"/>
    <n v="0.2"/>
    <n v="0.18179999999999999"/>
    <n v="0.51"/>
    <n v="0.35820000000000002"/>
    <n v="7"/>
    <n v="159"/>
    <n v="166"/>
    <x v="0"/>
    <x v="6"/>
    <x v="1"/>
    <x v="1"/>
    <x v="0"/>
    <n v="54.916666666666664"/>
    <n v="46.773196213835668"/>
    <n v="-6.9905409466667762E-2"/>
    <b v="0"/>
  </r>
  <r>
    <n v="466"/>
    <x v="20"/>
    <x v="0"/>
    <x v="10"/>
    <x v="0"/>
    <x v="6"/>
    <x v="0"/>
    <n v="0.2"/>
    <n v="0.16669999999999999"/>
    <n v="0.47"/>
    <n v="0.4627"/>
    <n v="6"/>
    <n v="57"/>
    <n v="63"/>
    <x v="0"/>
    <x v="6"/>
    <x v="1"/>
    <x v="1"/>
    <x v="0"/>
    <n v="50.208333333333336"/>
    <n v="40.351692132685272"/>
    <n v="0.34743481429410489"/>
    <b v="0"/>
  </r>
  <r>
    <n v="467"/>
    <x v="20"/>
    <x v="0"/>
    <x v="11"/>
    <x v="0"/>
    <x v="6"/>
    <x v="0"/>
    <n v="0.22"/>
    <n v="0.18179999999999999"/>
    <n v="0.41"/>
    <n v="0.4627"/>
    <n v="6"/>
    <n v="53"/>
    <n v="59"/>
    <x v="0"/>
    <x v="6"/>
    <x v="1"/>
    <x v="1"/>
    <x v="0"/>
    <n v="50.208333333333336"/>
    <n v="40.351692132685272"/>
    <n v="0.58067245858445848"/>
    <b v="0"/>
  </r>
  <r>
    <n v="468"/>
    <x v="20"/>
    <x v="0"/>
    <x v="12"/>
    <x v="0"/>
    <x v="6"/>
    <x v="0"/>
    <n v="0.22"/>
    <n v="0.18179999999999999"/>
    <n v="0.27"/>
    <n v="0.58209999999999995"/>
    <n v="11"/>
    <n v="67"/>
    <n v="78"/>
    <x v="0"/>
    <x v="6"/>
    <x v="1"/>
    <x v="2"/>
    <x v="0"/>
    <n v="50.666666666666664"/>
    <n v="40.518022470593706"/>
    <n v="0.66812995687153331"/>
    <b v="0"/>
  </r>
  <r>
    <n v="469"/>
    <x v="20"/>
    <x v="0"/>
    <x v="13"/>
    <x v="0"/>
    <x v="6"/>
    <x v="0"/>
    <n v="0.2"/>
    <n v="0.1515"/>
    <n v="0.21"/>
    <n v="0.58209999999999995"/>
    <n v="8"/>
    <n v="65"/>
    <n v="73"/>
    <x v="0"/>
    <x v="6"/>
    <x v="1"/>
    <x v="2"/>
    <x v="0"/>
    <n v="50.916666666666664"/>
    <n v="40.712049991283337"/>
    <n v="1.0330598253439758"/>
    <b v="0"/>
  </r>
  <r>
    <n v="470"/>
    <x v="20"/>
    <x v="0"/>
    <x v="14"/>
    <x v="0"/>
    <x v="6"/>
    <x v="0"/>
    <n v="0.2"/>
    <n v="0.1515"/>
    <n v="0.25"/>
    <n v="0.52239999999999998"/>
    <n v="6"/>
    <n v="56"/>
    <n v="62"/>
    <x v="0"/>
    <x v="6"/>
    <x v="1"/>
    <x v="2"/>
    <x v="0"/>
    <n v="51"/>
    <n v="40.761234780972536"/>
    <n v="0.71551140408763902"/>
    <b v="0"/>
  </r>
  <r>
    <n v="471"/>
    <x v="20"/>
    <x v="0"/>
    <x v="15"/>
    <x v="0"/>
    <x v="6"/>
    <x v="0"/>
    <n v="0.16"/>
    <n v="0.1212"/>
    <n v="0.26"/>
    <n v="0.44779999999999998"/>
    <n v="4"/>
    <n v="61"/>
    <n v="65"/>
    <x v="0"/>
    <x v="6"/>
    <x v="1"/>
    <x v="2"/>
    <x v="2"/>
    <n v="52.708333333333336"/>
    <n v="42.080129738875328"/>
    <n v="1.4726639828530854"/>
    <b v="0"/>
  </r>
  <r>
    <n v="472"/>
    <x v="20"/>
    <x v="0"/>
    <x v="16"/>
    <x v="0"/>
    <x v="6"/>
    <x v="0"/>
    <n v="0.16"/>
    <n v="0.13639999999999999"/>
    <n v="0.26"/>
    <n v="0.35820000000000002"/>
    <n v="0"/>
    <n v="97"/>
    <n v="97"/>
    <x v="0"/>
    <x v="6"/>
    <x v="1"/>
    <x v="2"/>
    <x v="2"/>
    <n v="53.458333333333336"/>
    <n v="42.467357455760798"/>
    <n v="1.0180591346349339"/>
    <b v="0"/>
  </r>
  <r>
    <n v="473"/>
    <x v="20"/>
    <x v="0"/>
    <x v="17"/>
    <x v="0"/>
    <x v="6"/>
    <x v="0"/>
    <n v="0.14000000000000001"/>
    <n v="0.1212"/>
    <n v="0.28000000000000003"/>
    <n v="0.35820000000000002"/>
    <n v="10"/>
    <n v="151"/>
    <n v="161"/>
    <x v="0"/>
    <x v="6"/>
    <x v="1"/>
    <x v="3"/>
    <x v="2"/>
    <n v="52.208333333333336"/>
    <n v="41.561875472043162"/>
    <n v="0.60972811051691422"/>
    <b v="0"/>
  </r>
  <r>
    <n v="474"/>
    <x v="20"/>
    <x v="0"/>
    <x v="18"/>
    <x v="0"/>
    <x v="6"/>
    <x v="0"/>
    <n v="0.12"/>
    <n v="0.1212"/>
    <n v="0.3"/>
    <n v="0.25369999999999998"/>
    <n v="1"/>
    <n v="119"/>
    <n v="120"/>
    <x v="0"/>
    <x v="6"/>
    <x v="1"/>
    <x v="3"/>
    <x v="2"/>
    <n v="47.75"/>
    <n v="34.528186343535523"/>
    <n v="0.25544164241719092"/>
    <b v="0"/>
  </r>
  <r>
    <n v="475"/>
    <x v="20"/>
    <x v="0"/>
    <x v="19"/>
    <x v="0"/>
    <x v="6"/>
    <x v="0"/>
    <n v="0.12"/>
    <n v="0.1061"/>
    <n v="0.3"/>
    <n v="0.32840000000000003"/>
    <n v="3"/>
    <n v="93"/>
    <n v="96"/>
    <x v="0"/>
    <x v="6"/>
    <x v="1"/>
    <x v="3"/>
    <x v="2"/>
    <n v="45.208333333333336"/>
    <n v="31.048320218746088"/>
    <n v="0.40740979662023552"/>
    <b v="0"/>
  </r>
  <r>
    <n v="476"/>
    <x v="20"/>
    <x v="0"/>
    <x v="20"/>
    <x v="0"/>
    <x v="6"/>
    <x v="0"/>
    <n v="0.1"/>
    <n v="7.5800000000000006E-2"/>
    <n v="0.33"/>
    <n v="0.41789999999999999"/>
    <n v="1"/>
    <n v="52"/>
    <n v="53"/>
    <x v="0"/>
    <x v="6"/>
    <x v="1"/>
    <x v="3"/>
    <x v="2"/>
    <n v="43.083333333333336"/>
    <n v="29.105380746621357"/>
    <n v="2.5747583513061688E-2"/>
    <b v="0"/>
  </r>
  <r>
    <n v="477"/>
    <x v="20"/>
    <x v="0"/>
    <x v="21"/>
    <x v="0"/>
    <x v="6"/>
    <x v="0"/>
    <n v="0.08"/>
    <n v="7.5800000000000006E-2"/>
    <n v="0.38"/>
    <n v="0.28360000000000002"/>
    <n v="0"/>
    <n v="41"/>
    <n v="41"/>
    <x v="0"/>
    <x v="6"/>
    <x v="1"/>
    <x v="0"/>
    <x v="2"/>
    <n v="42.5"/>
    <n v="29.038205717715201"/>
    <n v="-0.12546578814888781"/>
    <b v="0"/>
  </r>
  <r>
    <n v="478"/>
    <x v="20"/>
    <x v="0"/>
    <x v="22"/>
    <x v="0"/>
    <x v="6"/>
    <x v="0"/>
    <n v="0.06"/>
    <n v="3.0300000000000001E-2"/>
    <n v="0.41"/>
    <n v="0.3881"/>
    <n v="1"/>
    <n v="33"/>
    <n v="34"/>
    <x v="0"/>
    <x v="6"/>
    <x v="1"/>
    <x v="0"/>
    <x v="2"/>
    <n v="42.041666666666664"/>
    <n v="29.149508410601204"/>
    <n v="-0.37372132040010786"/>
    <b v="0"/>
  </r>
  <r>
    <n v="479"/>
    <x v="20"/>
    <x v="0"/>
    <x v="23"/>
    <x v="0"/>
    <x v="6"/>
    <x v="0"/>
    <n v="0.06"/>
    <n v="4.5499999999999999E-2"/>
    <n v="0.38"/>
    <n v="0.32840000000000003"/>
    <n v="0"/>
    <n v="27"/>
    <n v="27"/>
    <x v="0"/>
    <x v="6"/>
    <x v="1"/>
    <x v="0"/>
    <x v="2"/>
    <n v="42"/>
    <n v="29.162214981182338"/>
    <n v="-0.27388355700429834"/>
    <b v="0"/>
  </r>
  <r>
    <n v="480"/>
    <x v="21"/>
    <x v="0"/>
    <x v="0"/>
    <x v="0"/>
    <x v="0"/>
    <x v="0"/>
    <n v="0.04"/>
    <n v="3.0300000000000001E-2"/>
    <n v="0.45"/>
    <n v="0.25369999999999998"/>
    <n v="0"/>
    <n v="13"/>
    <n v="13"/>
    <x v="0"/>
    <x v="0"/>
    <x v="0"/>
    <x v="0"/>
    <x v="2"/>
    <n v="41.791666666666664"/>
    <n v="29.291606108334129"/>
    <n v="-0.5497349634491685"/>
    <b v="0"/>
  </r>
  <r>
    <n v="481"/>
    <x v="21"/>
    <x v="0"/>
    <x v="1"/>
    <x v="0"/>
    <x v="0"/>
    <x v="1"/>
    <n v="0.04"/>
    <n v="0"/>
    <n v="0.41"/>
    <n v="0.3881"/>
    <n v="3"/>
    <n v="9"/>
    <n v="12"/>
    <x v="1"/>
    <x v="0"/>
    <x v="0"/>
    <x v="0"/>
    <x v="2"/>
    <n v="41.791666666666664"/>
    <n v="29.291606108334129"/>
    <n v="-0.76391451715417014"/>
    <b v="0"/>
  </r>
  <r>
    <n v="482"/>
    <x v="21"/>
    <x v="0"/>
    <x v="2"/>
    <x v="0"/>
    <x v="0"/>
    <x v="1"/>
    <n v="0.04"/>
    <n v="3.0300000000000001E-2"/>
    <n v="0.41"/>
    <n v="0.25369999999999998"/>
    <n v="0"/>
    <n v="11"/>
    <n v="11"/>
    <x v="1"/>
    <x v="0"/>
    <x v="0"/>
    <x v="0"/>
    <x v="2"/>
    <n v="42.041666666666664"/>
    <n v="29.050898611659633"/>
    <n v="-0.60311135085422818"/>
    <b v="0"/>
  </r>
  <r>
    <n v="483"/>
    <x v="21"/>
    <x v="0"/>
    <x v="3"/>
    <x v="0"/>
    <x v="0"/>
    <x v="1"/>
    <n v="0.04"/>
    <n v="3.0300000000000001E-2"/>
    <n v="0.41"/>
    <n v="0.28360000000000002"/>
    <n v="1"/>
    <n v="6"/>
    <n v="7"/>
    <x v="1"/>
    <x v="0"/>
    <x v="0"/>
    <x v="0"/>
    <x v="2"/>
    <n v="41.791666666666664"/>
    <n v="29.353881554554938"/>
    <n v="-0.92471960870106551"/>
    <b v="0"/>
  </r>
  <r>
    <n v="484"/>
    <x v="21"/>
    <x v="0"/>
    <x v="4"/>
    <x v="0"/>
    <x v="0"/>
    <x v="1"/>
    <n v="0.02"/>
    <n v="1.52E-2"/>
    <n v="0.48"/>
    <n v="0.29849999999999999"/>
    <n v="0"/>
    <n v="3"/>
    <n v="3"/>
    <x v="1"/>
    <x v="0"/>
    <x v="0"/>
    <x v="0"/>
    <x v="2"/>
    <n v="41.625"/>
    <n v="29.570567770350127"/>
    <n v="-0.97865222257427464"/>
    <b v="0"/>
  </r>
  <r>
    <n v="485"/>
    <x v="21"/>
    <x v="0"/>
    <x v="6"/>
    <x v="0"/>
    <x v="0"/>
    <x v="1"/>
    <n v="0.02"/>
    <n v="3.0300000000000001E-2"/>
    <n v="0.44"/>
    <n v="0.22389999999999999"/>
    <n v="0"/>
    <n v="2"/>
    <n v="2"/>
    <x v="1"/>
    <x v="0"/>
    <x v="0"/>
    <x v="1"/>
    <x v="2"/>
    <n v="41.541666666666664"/>
    <n v="29.686740074179315"/>
    <n v="-1.0584041204085315"/>
    <b v="0"/>
  </r>
  <r>
    <n v="486"/>
    <x v="21"/>
    <x v="0"/>
    <x v="7"/>
    <x v="0"/>
    <x v="0"/>
    <x v="0"/>
    <n v="0.02"/>
    <n v="1.52E-2"/>
    <n v="0.44"/>
    <n v="0.28360000000000002"/>
    <n v="0"/>
    <n v="8"/>
    <n v="8"/>
    <x v="0"/>
    <x v="0"/>
    <x v="0"/>
    <x v="1"/>
    <x v="2"/>
    <n v="41.541666666666664"/>
    <n v="29.686740074179315"/>
    <n v="-1.1225291619806936"/>
    <b v="0"/>
  </r>
  <r>
    <n v="487"/>
    <x v="21"/>
    <x v="0"/>
    <x v="8"/>
    <x v="0"/>
    <x v="0"/>
    <x v="0"/>
    <n v="0.02"/>
    <n v="0"/>
    <n v="0.44"/>
    <n v="0.32840000000000003"/>
    <n v="1"/>
    <n v="26"/>
    <n v="27"/>
    <x v="0"/>
    <x v="0"/>
    <x v="0"/>
    <x v="1"/>
    <x v="2"/>
    <n v="42"/>
    <n v="29.22774143797665"/>
    <n v="-0.70552352708000809"/>
    <b v="0"/>
  </r>
  <r>
    <n v="488"/>
    <x v="21"/>
    <x v="0"/>
    <x v="9"/>
    <x v="0"/>
    <x v="0"/>
    <x v="0"/>
    <n v="0.04"/>
    <n v="3.0300000000000001E-2"/>
    <n v="0.41"/>
    <n v="0.25369999999999998"/>
    <n v="3"/>
    <n v="37"/>
    <n v="40"/>
    <x v="0"/>
    <x v="0"/>
    <x v="0"/>
    <x v="1"/>
    <x v="2"/>
    <n v="42.041666666666664"/>
    <n v="29.206132719101944"/>
    <n v="-0.57311462067369012"/>
    <b v="0"/>
  </r>
  <r>
    <n v="489"/>
    <x v="21"/>
    <x v="0"/>
    <x v="10"/>
    <x v="0"/>
    <x v="0"/>
    <x v="1"/>
    <n v="0.04"/>
    <n v="6.0600000000000001E-2"/>
    <n v="0.41"/>
    <n v="0.16420000000000001"/>
    <n v="3"/>
    <n v="50"/>
    <n v="53"/>
    <x v="1"/>
    <x v="0"/>
    <x v="0"/>
    <x v="1"/>
    <x v="2"/>
    <n v="42.791666666666664"/>
    <n v="29.382010418483691"/>
    <n v="7.7549171924454638E-2"/>
    <b v="0"/>
  </r>
  <r>
    <n v="490"/>
    <x v="21"/>
    <x v="0"/>
    <x v="11"/>
    <x v="0"/>
    <x v="0"/>
    <x v="1"/>
    <n v="0.06"/>
    <n v="7.5800000000000006E-2"/>
    <n v="0.38"/>
    <n v="0.1343"/>
    <n v="4"/>
    <n v="59"/>
    <n v="63"/>
    <x v="1"/>
    <x v="0"/>
    <x v="0"/>
    <x v="1"/>
    <x v="2"/>
    <n v="44.708333333333336"/>
    <n v="31.50083389740475"/>
    <n v="0.99648666466928792"/>
    <b v="0"/>
  </r>
  <r>
    <n v="491"/>
    <x v="21"/>
    <x v="0"/>
    <x v="12"/>
    <x v="0"/>
    <x v="0"/>
    <x v="1"/>
    <n v="0.06"/>
    <n v="0.1061"/>
    <n v="0.38"/>
    <n v="0.1045"/>
    <n v="10"/>
    <n v="60"/>
    <n v="70"/>
    <x v="1"/>
    <x v="0"/>
    <x v="0"/>
    <x v="2"/>
    <x v="2"/>
    <n v="46.916666666666664"/>
    <n v="34.549166813922326"/>
    <n v="1.4370949302349876"/>
    <b v="0"/>
  </r>
  <r>
    <n v="492"/>
    <x v="21"/>
    <x v="0"/>
    <x v="13"/>
    <x v="0"/>
    <x v="0"/>
    <x v="0"/>
    <n v="0.08"/>
    <n v="0.16669999999999999"/>
    <n v="0.35"/>
    <n v="0"/>
    <n v="12"/>
    <n v="72"/>
    <n v="84"/>
    <x v="0"/>
    <x v="0"/>
    <x v="0"/>
    <x v="2"/>
    <x v="2"/>
    <n v="47.625"/>
    <n v="35.21093271426782"/>
    <n v="0.87453744215437645"/>
    <b v="0"/>
  </r>
  <r>
    <n v="493"/>
    <x v="21"/>
    <x v="0"/>
    <x v="14"/>
    <x v="0"/>
    <x v="0"/>
    <x v="0"/>
    <n v="0.1"/>
    <n v="0.13639999999999999"/>
    <n v="0.33"/>
    <n v="0.1045"/>
    <n v="11"/>
    <n v="64"/>
    <n v="75"/>
    <x v="0"/>
    <x v="0"/>
    <x v="0"/>
    <x v="2"/>
    <x v="2"/>
    <n v="48.708333333333336"/>
    <n v="36.74527969290947"/>
    <n v="1.4879966882328017"/>
    <b v="0"/>
  </r>
  <r>
    <n v="494"/>
    <x v="21"/>
    <x v="0"/>
    <x v="15"/>
    <x v="0"/>
    <x v="0"/>
    <x v="0"/>
    <n v="0.12"/>
    <n v="0.1515"/>
    <n v="0.28000000000000003"/>
    <n v="0"/>
    <n v="10"/>
    <n v="93"/>
    <n v="103"/>
    <x v="0"/>
    <x v="0"/>
    <x v="0"/>
    <x v="2"/>
    <x v="2"/>
    <n v="48.791666666666664"/>
    <n v="36.809709454774669"/>
    <n v="0.78309868191911292"/>
    <b v="1"/>
  </r>
  <r>
    <n v="495"/>
    <x v="21"/>
    <x v="0"/>
    <x v="16"/>
    <x v="0"/>
    <x v="0"/>
    <x v="0"/>
    <n v="0.12"/>
    <n v="0.13639999999999999"/>
    <n v="0.28000000000000003"/>
    <n v="0.19400000000000001"/>
    <n v="11"/>
    <n v="72"/>
    <n v="83"/>
    <x v="0"/>
    <x v="0"/>
    <x v="0"/>
    <x v="2"/>
    <x v="2"/>
    <n v="47.208333333333336"/>
    <n v="35.156765897986084"/>
    <n v="0.48797318439238596"/>
    <b v="0"/>
  </r>
  <r>
    <n v="496"/>
    <x v="21"/>
    <x v="0"/>
    <x v="17"/>
    <x v="0"/>
    <x v="0"/>
    <x v="0"/>
    <n v="0.12"/>
    <n v="0.19700000000000001"/>
    <n v="0.28000000000000003"/>
    <n v="0"/>
    <n v="8"/>
    <n v="59"/>
    <n v="67"/>
    <x v="0"/>
    <x v="0"/>
    <x v="0"/>
    <x v="3"/>
    <x v="2"/>
    <n v="46.041666666666664"/>
    <n v="34.37324435569375"/>
    <n v="8.5697985624417675E-2"/>
    <b v="0"/>
  </r>
  <r>
    <n v="497"/>
    <x v="21"/>
    <x v="0"/>
    <x v="18"/>
    <x v="0"/>
    <x v="0"/>
    <x v="0"/>
    <n v="0.08"/>
    <n v="9.0899999999999995E-2"/>
    <n v="0.35"/>
    <n v="0.19400000000000001"/>
    <n v="0"/>
    <n v="54"/>
    <n v="54"/>
    <x v="0"/>
    <x v="0"/>
    <x v="0"/>
    <x v="3"/>
    <x v="2"/>
    <n v="45.291666666666664"/>
    <n v="34.091283045818983"/>
    <n v="-0.11357521595520946"/>
    <b v="0"/>
  </r>
  <r>
    <n v="498"/>
    <x v="21"/>
    <x v="0"/>
    <x v="19"/>
    <x v="0"/>
    <x v="0"/>
    <x v="0"/>
    <n v="0.08"/>
    <n v="0.1061"/>
    <n v="0.35"/>
    <n v="0.1343"/>
    <n v="6"/>
    <n v="53"/>
    <n v="59"/>
    <x v="0"/>
    <x v="0"/>
    <x v="0"/>
    <x v="3"/>
    <x v="2"/>
    <n v="45.125"/>
    <n v="34.056618459112542"/>
    <n v="-0.13717213851823223"/>
    <b v="0"/>
  </r>
  <r>
    <n v="499"/>
    <x v="21"/>
    <x v="0"/>
    <x v="20"/>
    <x v="0"/>
    <x v="0"/>
    <x v="0"/>
    <n v="0.06"/>
    <n v="7.5800000000000006E-2"/>
    <n v="0.45"/>
    <n v="0.16420000000000001"/>
    <n v="1"/>
    <n v="44"/>
    <n v="45"/>
    <x v="0"/>
    <x v="0"/>
    <x v="0"/>
    <x v="3"/>
    <x v="2"/>
    <n v="44.125"/>
    <n v="33.983771702541119"/>
    <n v="-0.44035345713503221"/>
    <b v="0"/>
  </r>
  <r>
    <n v="500"/>
    <x v="21"/>
    <x v="0"/>
    <x v="21"/>
    <x v="0"/>
    <x v="0"/>
    <x v="0"/>
    <n v="0.06"/>
    <n v="0.1061"/>
    <n v="0.41"/>
    <n v="8.9599999999999999E-2"/>
    <n v="0"/>
    <n v="39"/>
    <n v="39"/>
    <x v="0"/>
    <x v="0"/>
    <x v="0"/>
    <x v="0"/>
    <x v="2"/>
    <n v="43.291666666666664"/>
    <n v="34.205871815620583"/>
    <n v="-0.6482414957590793"/>
    <b v="0"/>
  </r>
  <r>
    <n v="501"/>
    <x v="21"/>
    <x v="0"/>
    <x v="22"/>
    <x v="0"/>
    <x v="0"/>
    <x v="0"/>
    <n v="0.06"/>
    <n v="0.1515"/>
    <n v="0.49"/>
    <n v="0"/>
    <n v="7"/>
    <n v="23"/>
    <n v="30"/>
    <x v="0"/>
    <x v="0"/>
    <x v="0"/>
    <x v="0"/>
    <x v="2"/>
    <n v="42.833333333333336"/>
    <n v="34.339312832336958"/>
    <n v="-0.60262293152744117"/>
    <b v="0"/>
  </r>
  <r>
    <n v="502"/>
    <x v="21"/>
    <x v="0"/>
    <x v="23"/>
    <x v="0"/>
    <x v="0"/>
    <x v="0"/>
    <n v="0.04"/>
    <n v="7.5800000000000006E-2"/>
    <n v="0.56999999999999995"/>
    <n v="0.1045"/>
    <n v="2"/>
    <n v="31"/>
    <n v="33"/>
    <x v="0"/>
    <x v="0"/>
    <x v="0"/>
    <x v="0"/>
    <x v="2"/>
    <n v="42.458333333333336"/>
    <n v="34.534140847253916"/>
    <n v="-0.72961810813048333"/>
    <b v="0"/>
  </r>
  <r>
    <n v="503"/>
    <x v="22"/>
    <x v="0"/>
    <x v="0"/>
    <x v="0"/>
    <x v="1"/>
    <x v="0"/>
    <n v="0.04"/>
    <n v="7.5800000000000006E-2"/>
    <n v="0.56999999999999995"/>
    <n v="0.1045"/>
    <n v="2"/>
    <n v="20"/>
    <n v="22"/>
    <x v="0"/>
    <x v="1"/>
    <x v="0"/>
    <x v="0"/>
    <x v="2"/>
    <n v="41.375"/>
    <n v="35.244256393001855"/>
    <n v="-0.97502636569791956"/>
    <b v="0"/>
  </r>
  <r>
    <n v="504"/>
    <x v="22"/>
    <x v="0"/>
    <x v="1"/>
    <x v="0"/>
    <x v="1"/>
    <x v="0"/>
    <n v="0.04"/>
    <n v="7.5800000000000006E-2"/>
    <n v="0.56999999999999995"/>
    <n v="0.1045"/>
    <n v="1"/>
    <n v="12"/>
    <n v="13"/>
    <x v="0"/>
    <x v="1"/>
    <x v="0"/>
    <x v="0"/>
    <x v="2"/>
    <n v="40.5"/>
    <n v="35.998792250272238"/>
    <n v="-1.0834325839688195"/>
    <b v="0"/>
  </r>
  <r>
    <n v="505"/>
    <x v="22"/>
    <x v="0"/>
    <x v="2"/>
    <x v="0"/>
    <x v="1"/>
    <x v="0"/>
    <n v="0.02"/>
    <n v="6.0600000000000001E-2"/>
    <n v="0.62"/>
    <n v="0.1343"/>
    <n v="3"/>
    <n v="15"/>
    <n v="18"/>
    <x v="0"/>
    <x v="1"/>
    <x v="0"/>
    <x v="0"/>
    <x v="2"/>
    <n v="40"/>
    <n v="36.477509449689322"/>
    <n v="-1.0851496949304167"/>
    <b v="0"/>
  </r>
  <r>
    <n v="506"/>
    <x v="22"/>
    <x v="0"/>
    <x v="3"/>
    <x v="0"/>
    <x v="1"/>
    <x v="0"/>
    <n v="0.02"/>
    <n v="6.0600000000000001E-2"/>
    <n v="0.62"/>
    <n v="0.1343"/>
    <n v="1"/>
    <n v="4"/>
    <n v="5"/>
    <x v="0"/>
    <x v="1"/>
    <x v="0"/>
    <x v="0"/>
    <x v="2"/>
    <n v="39.291666666666664"/>
    <n v="37.083312978336707"/>
    <n v="-1.0851496949304167"/>
    <b v="0"/>
  </r>
  <r>
    <n v="507"/>
    <x v="22"/>
    <x v="0"/>
    <x v="5"/>
    <x v="0"/>
    <x v="1"/>
    <x v="1"/>
    <n v="0.04"/>
    <n v="7.5800000000000006E-2"/>
    <n v="0.56999999999999995"/>
    <n v="0.1045"/>
    <n v="0"/>
    <n v="3"/>
    <n v="3"/>
    <x v="1"/>
    <x v="1"/>
    <x v="0"/>
    <x v="0"/>
    <x v="2"/>
    <n v="39.291666666666664"/>
    <n v="37.083312978336707"/>
    <n v="-1.0236777920781999"/>
    <b v="0"/>
  </r>
  <r>
    <n v="508"/>
    <x v="22"/>
    <x v="0"/>
    <x v="6"/>
    <x v="0"/>
    <x v="1"/>
    <x v="1"/>
    <n v="0.04"/>
    <n v="7.5800000000000006E-2"/>
    <n v="0.56999999999999995"/>
    <n v="0.1045"/>
    <n v="0"/>
    <n v="1"/>
    <n v="1"/>
    <x v="1"/>
    <x v="1"/>
    <x v="0"/>
    <x v="1"/>
    <x v="2"/>
    <n v="39.791666666666664"/>
    <n v="36.651091883215216"/>
    <n v="-0.87727250173248772"/>
    <b v="0"/>
  </r>
  <r>
    <n v="509"/>
    <x v="22"/>
    <x v="0"/>
    <x v="7"/>
    <x v="0"/>
    <x v="1"/>
    <x v="0"/>
    <n v="0.08"/>
    <n v="0.1061"/>
    <n v="0.57999999999999996"/>
    <n v="0.16420000000000001"/>
    <n v="1"/>
    <n v="1"/>
    <n v="2"/>
    <x v="0"/>
    <x v="1"/>
    <x v="0"/>
    <x v="1"/>
    <x v="2"/>
    <n v="43.25"/>
    <n v="36.747374943217253"/>
    <n v="0.36661632955514689"/>
    <b v="0"/>
  </r>
  <r>
    <n v="510"/>
    <x v="22"/>
    <x v="0"/>
    <x v="8"/>
    <x v="0"/>
    <x v="1"/>
    <x v="0"/>
    <n v="0.06"/>
    <n v="7.5800000000000006E-2"/>
    <n v="0.62"/>
    <n v="0.16420000000000001"/>
    <n v="2"/>
    <n v="17"/>
    <n v="19"/>
    <x v="0"/>
    <x v="1"/>
    <x v="0"/>
    <x v="1"/>
    <x v="2"/>
    <n v="50.541666666666664"/>
    <n v="44.706753858670062"/>
    <n v="1.6766669355432329"/>
    <b v="0"/>
  </r>
  <r>
    <n v="511"/>
    <x v="22"/>
    <x v="0"/>
    <x v="9"/>
    <x v="0"/>
    <x v="1"/>
    <x v="0"/>
    <n v="0.1"/>
    <n v="7.5800000000000006E-2"/>
    <n v="0.54"/>
    <n v="0.35820000000000002"/>
    <n v="3"/>
    <n v="25"/>
    <n v="28"/>
    <x v="0"/>
    <x v="1"/>
    <x v="0"/>
    <x v="1"/>
    <x v="2"/>
    <n v="54"/>
    <n v="45.366143284631754"/>
    <n v="0.52671435668721178"/>
    <b v="0"/>
  </r>
  <r>
    <n v="512"/>
    <x v="22"/>
    <x v="0"/>
    <x v="10"/>
    <x v="0"/>
    <x v="1"/>
    <x v="0"/>
    <n v="0.14000000000000001"/>
    <n v="0.1061"/>
    <n v="0.46"/>
    <n v="0.3881"/>
    <n v="7"/>
    <n v="51"/>
    <n v="58"/>
    <x v="0"/>
    <x v="1"/>
    <x v="0"/>
    <x v="1"/>
    <x v="2"/>
    <n v="54.5"/>
    <n v="45.132654716281984"/>
    <n v="-0.46014958471661127"/>
    <b v="0"/>
  </r>
  <r>
    <n v="513"/>
    <x v="22"/>
    <x v="0"/>
    <x v="11"/>
    <x v="0"/>
    <x v="1"/>
    <x v="0"/>
    <n v="0.14000000000000001"/>
    <n v="0.13639999999999999"/>
    <n v="0.43"/>
    <n v="0.22389999999999999"/>
    <n v="22"/>
    <n v="77"/>
    <n v="99"/>
    <x v="0"/>
    <x v="1"/>
    <x v="0"/>
    <x v="1"/>
    <x v="2"/>
    <n v="54"/>
    <n v="45.158657506906543"/>
    <n v="-0.37734934597041614"/>
    <b v="0"/>
  </r>
  <r>
    <n v="514"/>
    <x v="22"/>
    <x v="0"/>
    <x v="12"/>
    <x v="0"/>
    <x v="1"/>
    <x v="0"/>
    <n v="0.16"/>
    <n v="0.1212"/>
    <n v="0.37"/>
    <n v="0.4627"/>
    <n v="24"/>
    <n v="92"/>
    <n v="116"/>
    <x v="0"/>
    <x v="1"/>
    <x v="0"/>
    <x v="2"/>
    <x v="2"/>
    <n v="52.5"/>
    <n v="44.186364215770183"/>
    <n v="-0.13669945496704142"/>
    <b v="0"/>
  </r>
  <r>
    <n v="515"/>
    <x v="22"/>
    <x v="0"/>
    <x v="13"/>
    <x v="0"/>
    <x v="1"/>
    <x v="0"/>
    <n v="0.14000000000000001"/>
    <n v="0.1061"/>
    <n v="0.33"/>
    <n v="0.3881"/>
    <n v="12"/>
    <n v="75"/>
    <n v="87"/>
    <x v="0"/>
    <x v="1"/>
    <x v="0"/>
    <x v="2"/>
    <x v="2"/>
    <n v="50.166666666666664"/>
    <n v="42.117502988318464"/>
    <n v="-0.20632202130645977"/>
    <b v="0"/>
  </r>
  <r>
    <n v="516"/>
    <x v="22"/>
    <x v="0"/>
    <x v="14"/>
    <x v="0"/>
    <x v="1"/>
    <x v="0"/>
    <n v="0.16"/>
    <n v="0.13639999999999999"/>
    <n v="0.28000000000000003"/>
    <n v="0.35820000000000002"/>
    <n v="17"/>
    <n v="93"/>
    <n v="110"/>
    <x v="0"/>
    <x v="1"/>
    <x v="0"/>
    <x v="2"/>
    <x v="2"/>
    <n v="48.416666666666664"/>
    <n v="41.386740857919456"/>
    <n v="-0.45894591452053668"/>
    <b v="0"/>
  </r>
  <r>
    <n v="517"/>
    <x v="22"/>
    <x v="0"/>
    <x v="15"/>
    <x v="0"/>
    <x v="1"/>
    <x v="0"/>
    <n v="0.16"/>
    <n v="0.13639999999999999"/>
    <n v="0.28000000000000003"/>
    <n v="0.35820000000000002"/>
    <n v="13"/>
    <n v="64"/>
    <n v="77"/>
    <x v="0"/>
    <x v="1"/>
    <x v="0"/>
    <x v="2"/>
    <x v="2"/>
    <n v="46.208333333333336"/>
    <n v="39.320289227414598"/>
    <n v="-0.28935202244317032"/>
    <b v="1"/>
  </r>
  <r>
    <n v="518"/>
    <x v="22"/>
    <x v="0"/>
    <x v="16"/>
    <x v="0"/>
    <x v="1"/>
    <x v="0"/>
    <n v="0.16"/>
    <n v="0.13639999999999999"/>
    <n v="0.26"/>
    <n v="0.32840000000000003"/>
    <n v="9"/>
    <n v="56"/>
    <n v="65"/>
    <x v="0"/>
    <x v="1"/>
    <x v="0"/>
    <x v="2"/>
    <x v="2"/>
    <n v="45.916666666666664"/>
    <n v="39.107340205785086"/>
    <n v="-0.1141925511009501"/>
    <b v="0"/>
  </r>
  <r>
    <n v="519"/>
    <x v="22"/>
    <x v="0"/>
    <x v="17"/>
    <x v="0"/>
    <x v="1"/>
    <x v="0"/>
    <n v="0.14000000000000001"/>
    <n v="0.1061"/>
    <n v="0.26"/>
    <n v="0.3881"/>
    <n v="5"/>
    <n v="50"/>
    <n v="55"/>
    <x v="0"/>
    <x v="1"/>
    <x v="0"/>
    <x v="3"/>
    <x v="2"/>
    <n v="50.875"/>
    <n v="48.134153562002467"/>
    <n v="1.4874880596742142"/>
    <b v="0"/>
  </r>
  <r>
    <n v="520"/>
    <x v="22"/>
    <x v="0"/>
    <x v="18"/>
    <x v="0"/>
    <x v="1"/>
    <x v="0"/>
    <n v="0.12"/>
    <n v="0.1212"/>
    <n v="0.3"/>
    <n v="0.25369999999999998"/>
    <n v="5"/>
    <n v="44"/>
    <n v="49"/>
    <x v="0"/>
    <x v="1"/>
    <x v="0"/>
    <x v="3"/>
    <x v="2"/>
    <n v="54.958333333333336"/>
    <n v="52.46156287902739"/>
    <n v="0.9604299851182192"/>
    <b v="0"/>
  </r>
  <r>
    <n v="521"/>
    <x v="22"/>
    <x v="0"/>
    <x v="19"/>
    <x v="0"/>
    <x v="1"/>
    <x v="0"/>
    <n v="0.12"/>
    <n v="0.1212"/>
    <n v="0.3"/>
    <n v="0.28360000000000002"/>
    <n v="5"/>
    <n v="45"/>
    <n v="50"/>
    <x v="0"/>
    <x v="1"/>
    <x v="0"/>
    <x v="3"/>
    <x v="2"/>
    <n v="57.333333333333336"/>
    <n v="53.460807803609669"/>
    <n v="0.3019101592452243"/>
    <b v="0"/>
  </r>
  <r>
    <n v="522"/>
    <x v="22"/>
    <x v="0"/>
    <x v="20"/>
    <x v="0"/>
    <x v="1"/>
    <x v="0"/>
    <n v="0.1"/>
    <n v="0.1061"/>
    <n v="0.36"/>
    <n v="0.25369999999999998"/>
    <n v="4"/>
    <n v="31"/>
    <n v="35"/>
    <x v="0"/>
    <x v="1"/>
    <x v="0"/>
    <x v="3"/>
    <x v="2"/>
    <n v="58.625"/>
    <n v="53.650084079515949"/>
    <n v="-6.0076264915662418E-2"/>
    <b v="0"/>
  </r>
  <r>
    <n v="523"/>
    <x v="22"/>
    <x v="0"/>
    <x v="21"/>
    <x v="0"/>
    <x v="1"/>
    <x v="0"/>
    <n v="0.1"/>
    <n v="0.1061"/>
    <n v="0.36"/>
    <n v="0.19400000000000001"/>
    <n v="5"/>
    <n v="20"/>
    <n v="25"/>
    <x v="0"/>
    <x v="1"/>
    <x v="0"/>
    <x v="0"/>
    <x v="2"/>
    <n v="59.625"/>
    <n v="53.413735816857482"/>
    <n v="-0.34752685727438282"/>
    <b v="0"/>
  </r>
  <r>
    <n v="524"/>
    <x v="22"/>
    <x v="0"/>
    <x v="22"/>
    <x v="0"/>
    <x v="1"/>
    <x v="0"/>
    <n v="0.08"/>
    <n v="9.0899999999999995E-2"/>
    <n v="0.38"/>
    <n v="0.19400000000000001"/>
    <n v="5"/>
    <n v="23"/>
    <n v="28"/>
    <x v="0"/>
    <x v="1"/>
    <x v="0"/>
    <x v="0"/>
    <x v="2"/>
    <n v="60.041666666666664"/>
    <n v="53.170340838925753"/>
    <n v="-0.68004665808002818"/>
    <b v="0"/>
  </r>
  <r>
    <n v="525"/>
    <x v="22"/>
    <x v="0"/>
    <x v="23"/>
    <x v="0"/>
    <x v="1"/>
    <x v="0"/>
    <n v="0.06"/>
    <n v="6.0600000000000001E-2"/>
    <n v="0.41"/>
    <n v="0.22389999999999999"/>
    <n v="4"/>
    <n v="17"/>
    <n v="21"/>
    <x v="0"/>
    <x v="1"/>
    <x v="0"/>
    <x v="0"/>
    <x v="2"/>
    <n v="59.875"/>
    <n v="53.281298211759399"/>
    <n v="-0.83885981156458389"/>
    <b v="0"/>
  </r>
  <r>
    <n v="526"/>
    <x v="23"/>
    <x v="0"/>
    <x v="0"/>
    <x v="0"/>
    <x v="2"/>
    <x v="0"/>
    <n v="0.06"/>
    <n v="6.0600000000000001E-2"/>
    <n v="0.41"/>
    <n v="0.19400000000000001"/>
    <n v="0"/>
    <n v="7"/>
    <n v="7"/>
    <x v="0"/>
    <x v="2"/>
    <x v="1"/>
    <x v="0"/>
    <x v="2"/>
    <n v="59.375"/>
    <n v="53.716496130348439"/>
    <n v="-1.0415631204920344"/>
    <b v="1"/>
  </r>
  <r>
    <n v="527"/>
    <x v="23"/>
    <x v="0"/>
    <x v="1"/>
    <x v="0"/>
    <x v="2"/>
    <x v="0"/>
    <n v="0.04"/>
    <n v="4.5499999999999999E-2"/>
    <n v="0.45"/>
    <n v="0.19400000000000001"/>
    <n v="0"/>
    <n v="1"/>
    <n v="1"/>
    <x v="0"/>
    <x v="2"/>
    <x v="1"/>
    <x v="0"/>
    <x v="2"/>
    <n v="59.291666666666664"/>
    <n v="53.802763115295292"/>
    <n v="-1.0923786889666318"/>
    <b v="1"/>
  </r>
  <r>
    <n v="528"/>
    <x v="23"/>
    <x v="0"/>
    <x v="3"/>
    <x v="0"/>
    <x v="2"/>
    <x v="0"/>
    <n v="0.04"/>
    <n v="3.0300000000000001E-2"/>
    <n v="0.45"/>
    <n v="0.25369999999999998"/>
    <n v="0"/>
    <n v="1"/>
    <n v="1"/>
    <x v="0"/>
    <x v="2"/>
    <x v="1"/>
    <x v="0"/>
    <x v="2"/>
    <n v="59.333333333333336"/>
    <n v="53.756024266379079"/>
    <n v="-1.1408395542374858"/>
    <b v="1"/>
  </r>
  <r>
    <n v="529"/>
    <x v="23"/>
    <x v="0"/>
    <x v="4"/>
    <x v="0"/>
    <x v="2"/>
    <x v="0"/>
    <n v="0.02"/>
    <n v="6.0600000000000001E-2"/>
    <n v="0.48"/>
    <n v="0.1343"/>
    <n v="0"/>
    <n v="1"/>
    <n v="1"/>
    <x v="0"/>
    <x v="2"/>
    <x v="1"/>
    <x v="0"/>
    <x v="2"/>
    <n v="59.333333333333336"/>
    <n v="53.756024266379079"/>
    <n v="-1.1534554797440293"/>
    <b v="1"/>
  </r>
  <r>
    <n v="530"/>
    <x v="23"/>
    <x v="0"/>
    <x v="5"/>
    <x v="0"/>
    <x v="2"/>
    <x v="0"/>
    <n v="0.02"/>
    <n v="6.0600000000000001E-2"/>
    <n v="0.48"/>
    <n v="0.1343"/>
    <n v="0"/>
    <n v="5"/>
    <n v="5"/>
    <x v="0"/>
    <x v="2"/>
    <x v="1"/>
    <x v="0"/>
    <x v="2"/>
    <n v="59.666666666666664"/>
    <n v="53.402220004876902"/>
    <n v="-1.0505372285628543"/>
    <b v="0"/>
  </r>
  <r>
    <n v="531"/>
    <x v="23"/>
    <x v="0"/>
    <x v="6"/>
    <x v="0"/>
    <x v="2"/>
    <x v="0"/>
    <n v="0.02"/>
    <n v="7.5800000000000006E-2"/>
    <n v="0.48"/>
    <n v="8.9599999999999999E-2"/>
    <n v="0"/>
    <n v="15"/>
    <n v="15"/>
    <x v="0"/>
    <x v="2"/>
    <x v="1"/>
    <x v="1"/>
    <x v="2"/>
    <n v="60.958333333333336"/>
    <n v="52.387750946908973"/>
    <n v="-0.69128726550003128"/>
    <b v="0"/>
  </r>
  <r>
    <n v="532"/>
    <x v="23"/>
    <x v="0"/>
    <x v="7"/>
    <x v="0"/>
    <x v="2"/>
    <x v="0"/>
    <n v="0.02"/>
    <n v="0.1212"/>
    <n v="0.48"/>
    <n v="0"/>
    <n v="5"/>
    <n v="79"/>
    <n v="84"/>
    <x v="0"/>
    <x v="2"/>
    <x v="1"/>
    <x v="1"/>
    <x v="2"/>
    <n v="64.833333333333329"/>
    <n v="52.279904416487803"/>
    <n v="0.31499338642145169"/>
    <b v="0"/>
  </r>
  <r>
    <n v="533"/>
    <x v="23"/>
    <x v="0"/>
    <x v="8"/>
    <x v="0"/>
    <x v="2"/>
    <x v="0"/>
    <n v="0.04"/>
    <n v="0.13639999999999999"/>
    <n v="0.49"/>
    <n v="0"/>
    <n v="6"/>
    <n v="171"/>
    <n v="177"/>
    <x v="0"/>
    <x v="2"/>
    <x v="1"/>
    <x v="1"/>
    <x v="2"/>
    <n v="71.25"/>
    <n v="63.071560462148348"/>
    <n v="2.2113111285426332"/>
    <b v="0"/>
  </r>
  <r>
    <n v="534"/>
    <x v="23"/>
    <x v="0"/>
    <x v="9"/>
    <x v="0"/>
    <x v="2"/>
    <x v="0"/>
    <n v="0.06"/>
    <n v="0.1515"/>
    <n v="0.41"/>
    <n v="0"/>
    <n v="4"/>
    <n v="98"/>
    <n v="102"/>
    <x v="0"/>
    <x v="2"/>
    <x v="1"/>
    <x v="1"/>
    <x v="2"/>
    <n v="69.875"/>
    <n v="60.991312638697195"/>
    <n v="1.1043801106121371"/>
    <b v="0"/>
  </r>
  <r>
    <n v="535"/>
    <x v="23"/>
    <x v="0"/>
    <x v="10"/>
    <x v="0"/>
    <x v="2"/>
    <x v="0"/>
    <n v="0.1"/>
    <n v="0.13639999999999999"/>
    <n v="0.42"/>
    <n v="0"/>
    <n v="6"/>
    <n v="34"/>
    <n v="40"/>
    <x v="0"/>
    <x v="2"/>
    <x v="1"/>
    <x v="1"/>
    <x v="2"/>
    <n v="67.916666666666671"/>
    <n v="60.668677303836951"/>
    <n v="-0.26229643333979707"/>
    <b v="0"/>
  </r>
  <r>
    <n v="536"/>
    <x v="23"/>
    <x v="0"/>
    <x v="11"/>
    <x v="0"/>
    <x v="2"/>
    <x v="0"/>
    <n v="0.1"/>
    <n v="0.1212"/>
    <n v="0.46"/>
    <n v="0.1343"/>
    <n v="3"/>
    <n v="43"/>
    <n v="46"/>
    <x v="0"/>
    <x v="2"/>
    <x v="1"/>
    <x v="1"/>
    <x v="2"/>
    <n v="68.791666666666671"/>
    <n v="60.39938033562543"/>
    <n v="-0.15863283293387812"/>
    <b v="0"/>
  </r>
  <r>
    <n v="537"/>
    <x v="23"/>
    <x v="0"/>
    <x v="12"/>
    <x v="0"/>
    <x v="2"/>
    <x v="1"/>
    <n v="0.12"/>
    <n v="0.13639999999999999"/>
    <n v="0.42"/>
    <n v="0.19400000000000001"/>
    <n v="11"/>
    <n v="52"/>
    <n v="63"/>
    <x v="1"/>
    <x v="2"/>
    <x v="1"/>
    <x v="2"/>
    <x v="2"/>
    <n v="71.291666666666671"/>
    <n v="60.656179416851465"/>
    <n v="0.58782729425294289"/>
    <b v="0"/>
  </r>
  <r>
    <n v="538"/>
    <x v="23"/>
    <x v="0"/>
    <x v="13"/>
    <x v="0"/>
    <x v="2"/>
    <x v="1"/>
    <n v="0.14000000000000001"/>
    <n v="0.13639999999999999"/>
    <n v="0.43"/>
    <n v="0.22389999999999999"/>
    <n v="6"/>
    <n v="54"/>
    <n v="60"/>
    <x v="1"/>
    <x v="2"/>
    <x v="1"/>
    <x v="2"/>
    <x v="2"/>
    <n v="72.541666666666671"/>
    <n v="60.786854390292859"/>
    <n v="0.42362020605909911"/>
    <b v="0"/>
  </r>
  <r>
    <n v="539"/>
    <x v="23"/>
    <x v="0"/>
    <x v="14"/>
    <x v="0"/>
    <x v="2"/>
    <x v="1"/>
    <n v="0.14000000000000001"/>
    <n v="0.13639999999999999"/>
    <n v="0.46"/>
    <n v="0.22389999999999999"/>
    <n v="2"/>
    <n v="43"/>
    <n v="45"/>
    <x v="1"/>
    <x v="2"/>
    <x v="1"/>
    <x v="2"/>
    <x v="2"/>
    <n v="72.875"/>
    <n v="60.737004335513404"/>
    <n v="4.7880596767492199E-2"/>
    <b v="0"/>
  </r>
  <r>
    <n v="540"/>
    <x v="23"/>
    <x v="0"/>
    <x v="15"/>
    <x v="0"/>
    <x v="2"/>
    <x v="0"/>
    <n v="0.16"/>
    <n v="0.16669999999999999"/>
    <n v="0.4"/>
    <n v="0.16420000000000001"/>
    <n v="7"/>
    <n v="50"/>
    <n v="57"/>
    <x v="0"/>
    <x v="2"/>
    <x v="1"/>
    <x v="2"/>
    <x v="2"/>
    <n v="74.5"/>
    <n v="60.479964343214696"/>
    <n v="0.33089122597984089"/>
    <b v="0"/>
  </r>
  <r>
    <n v="541"/>
    <x v="23"/>
    <x v="0"/>
    <x v="16"/>
    <x v="0"/>
    <x v="2"/>
    <x v="0"/>
    <n v="0.16"/>
    <n v="0.1515"/>
    <n v="0.47"/>
    <n v="0.25369999999999998"/>
    <n v="4"/>
    <n v="66"/>
    <n v="70"/>
    <x v="0"/>
    <x v="2"/>
    <x v="1"/>
    <x v="2"/>
    <x v="2"/>
    <n v="76.958333333333329"/>
    <n v="60.93508960301557"/>
    <n v="0.88876842515724352"/>
    <b v="0"/>
  </r>
  <r>
    <n v="542"/>
    <x v="23"/>
    <x v="0"/>
    <x v="17"/>
    <x v="0"/>
    <x v="2"/>
    <x v="0"/>
    <n v="0.14000000000000001"/>
    <n v="0.1212"/>
    <n v="0.5"/>
    <n v="0.25369999999999998"/>
    <n v="6"/>
    <n v="178"/>
    <n v="184"/>
    <x v="0"/>
    <x v="2"/>
    <x v="1"/>
    <x v="3"/>
    <x v="2"/>
    <n v="83.291666666666671"/>
    <n v="67.7036246969204"/>
    <n v="2.7048719430566357"/>
    <b v="0"/>
  </r>
  <r>
    <n v="543"/>
    <x v="23"/>
    <x v="0"/>
    <x v="18"/>
    <x v="0"/>
    <x v="2"/>
    <x v="0"/>
    <n v="0.14000000000000001"/>
    <n v="0.13639999999999999"/>
    <n v="0.59"/>
    <n v="0.19400000000000001"/>
    <n v="8"/>
    <n v="145"/>
    <n v="153"/>
    <x v="0"/>
    <x v="2"/>
    <x v="1"/>
    <x v="3"/>
    <x v="2"/>
    <n v="85"/>
    <n v="70.80162120472518"/>
    <n v="3.4525184405588334"/>
    <b v="0"/>
  </r>
  <r>
    <n v="544"/>
    <x v="23"/>
    <x v="0"/>
    <x v="19"/>
    <x v="0"/>
    <x v="2"/>
    <x v="0"/>
    <n v="0.14000000000000001"/>
    <n v="0.1515"/>
    <n v="0.54"/>
    <n v="0.16420000000000001"/>
    <n v="5"/>
    <n v="101"/>
    <n v="106"/>
    <x v="0"/>
    <x v="2"/>
    <x v="1"/>
    <x v="3"/>
    <x v="2"/>
    <n v="84.708333333333329"/>
    <n v="70.523187162352727"/>
    <n v="2.7483019295494238"/>
    <b v="0"/>
  </r>
  <r>
    <n v="545"/>
    <x v="23"/>
    <x v="0"/>
    <x v="20"/>
    <x v="0"/>
    <x v="2"/>
    <x v="0"/>
    <n v="0.14000000000000001"/>
    <n v="0.13639999999999999"/>
    <n v="0.59"/>
    <n v="0.19400000000000001"/>
    <n v="1"/>
    <n v="80"/>
    <n v="81"/>
    <x v="0"/>
    <x v="2"/>
    <x v="1"/>
    <x v="3"/>
    <x v="2"/>
    <n v="85.25"/>
    <n v="70.743412659996892"/>
    <n v="2.4837820891631788"/>
    <b v="0"/>
  </r>
  <r>
    <n v="546"/>
    <x v="23"/>
    <x v="0"/>
    <x v="21"/>
    <x v="0"/>
    <x v="2"/>
    <x v="0"/>
    <n v="0.14000000000000001"/>
    <n v="0.1515"/>
    <n v="0.63"/>
    <n v="0.16420000000000001"/>
    <n v="6"/>
    <n v="53"/>
    <n v="59"/>
    <x v="0"/>
    <x v="2"/>
    <x v="1"/>
    <x v="0"/>
    <x v="2"/>
    <n v="83.75"/>
    <n v="71.217517385884037"/>
    <n v="0.13822188690061135"/>
    <b v="0"/>
  </r>
  <r>
    <n v="547"/>
    <x v="23"/>
    <x v="0"/>
    <x v="22"/>
    <x v="0"/>
    <x v="2"/>
    <x v="1"/>
    <n v="0.14000000000000001"/>
    <n v="0.13639999999999999"/>
    <n v="0.63"/>
    <n v="0.22389999999999999"/>
    <n v="3"/>
    <n v="32"/>
    <n v="35"/>
    <x v="1"/>
    <x v="2"/>
    <x v="1"/>
    <x v="0"/>
    <x v="2"/>
    <n v="83.5"/>
    <n v="71.318635896145381"/>
    <n v="0.45810844782436794"/>
    <b v="0"/>
  </r>
  <r>
    <n v="548"/>
    <x v="23"/>
    <x v="0"/>
    <x v="23"/>
    <x v="0"/>
    <x v="2"/>
    <x v="1"/>
    <n v="0.16"/>
    <n v="0.1515"/>
    <n v="0.64"/>
    <n v="0.25369999999999998"/>
    <n v="3"/>
    <n v="21"/>
    <n v="24"/>
    <x v="1"/>
    <x v="2"/>
    <x v="1"/>
    <x v="0"/>
    <x v="2"/>
    <n v="83.708333333333329"/>
    <n v="71.177963838760419"/>
    <n v="-1.6058229326199355E-3"/>
    <b v="0"/>
  </r>
  <r>
    <n v="549"/>
    <x v="24"/>
    <x v="0"/>
    <x v="0"/>
    <x v="0"/>
    <x v="3"/>
    <x v="1"/>
    <n v="0.16"/>
    <n v="0.13639999999999999"/>
    <n v="0.69"/>
    <n v="0.28360000000000002"/>
    <n v="3"/>
    <n v="6"/>
    <n v="9"/>
    <x v="1"/>
    <x v="3"/>
    <x v="1"/>
    <x v="0"/>
    <x v="2"/>
    <n v="83.416666666666671"/>
    <n v="71.447102151151668"/>
    <n v="-0.83468050234571711"/>
    <b v="0"/>
  </r>
  <r>
    <n v="550"/>
    <x v="24"/>
    <x v="0"/>
    <x v="1"/>
    <x v="0"/>
    <x v="3"/>
    <x v="1"/>
    <n v="0.16"/>
    <n v="0.16669999999999999"/>
    <n v="0.69"/>
    <n v="0.16420000000000001"/>
    <n v="0"/>
    <n v="5"/>
    <n v="5"/>
    <x v="1"/>
    <x v="3"/>
    <x v="1"/>
    <x v="0"/>
    <x v="2"/>
    <n v="83.25"/>
    <n v="71.6326680393435"/>
    <n v="-1.26031527222544"/>
    <b v="0"/>
  </r>
  <r>
    <n v="551"/>
    <x v="24"/>
    <x v="0"/>
    <x v="2"/>
    <x v="0"/>
    <x v="3"/>
    <x v="0"/>
    <n v="0.16"/>
    <n v="0.1515"/>
    <n v="0.69"/>
    <n v="0.22389999999999999"/>
    <n v="0"/>
    <n v="2"/>
    <n v="2"/>
    <x v="0"/>
    <x v="3"/>
    <x v="1"/>
    <x v="0"/>
    <x v="2"/>
    <n v="83.458333333333329"/>
    <n v="71.402094212782131"/>
    <n v="-1.0657735839183349"/>
    <b v="0"/>
  </r>
  <r>
    <n v="552"/>
    <x v="24"/>
    <x v="0"/>
    <x v="4"/>
    <x v="0"/>
    <x v="3"/>
    <x v="0"/>
    <n v="0.14000000000000001"/>
    <n v="0.16669999999999999"/>
    <n v="0.74"/>
    <n v="0.1045"/>
    <n v="0"/>
    <n v="1"/>
    <n v="1"/>
    <x v="0"/>
    <x v="3"/>
    <x v="1"/>
    <x v="0"/>
    <x v="2"/>
    <n v="83.416666666666671"/>
    <n v="71.451970287536611"/>
    <n v="-1.3672204471048341"/>
    <b v="0"/>
  </r>
  <r>
    <n v="553"/>
    <x v="24"/>
    <x v="0"/>
    <x v="5"/>
    <x v="0"/>
    <x v="3"/>
    <x v="0"/>
    <n v="0.14000000000000001"/>
    <n v="0.13639999999999999"/>
    <n v="0.74"/>
    <n v="0.22389999999999999"/>
    <n v="0"/>
    <n v="9"/>
    <n v="9"/>
    <x v="0"/>
    <x v="3"/>
    <x v="1"/>
    <x v="0"/>
    <x v="2"/>
    <n v="83.708333333333329"/>
    <n v="71.114408230477565"/>
    <n v="-1.1105801844080607"/>
    <b v="0"/>
  </r>
  <r>
    <n v="554"/>
    <x v="24"/>
    <x v="0"/>
    <x v="6"/>
    <x v="0"/>
    <x v="3"/>
    <x v="0"/>
    <n v="0.16"/>
    <n v="0.18179999999999999"/>
    <n v="0.74"/>
    <n v="0.1045"/>
    <n v="1"/>
    <n v="35"/>
    <n v="36"/>
    <x v="0"/>
    <x v="3"/>
    <x v="1"/>
    <x v="1"/>
    <x v="2"/>
    <n v="84.583333333333329"/>
    <n v="70.279514404465957"/>
    <n v="-0.29566816664816647"/>
    <b v="0"/>
  </r>
  <r>
    <n v="555"/>
    <x v="24"/>
    <x v="0"/>
    <x v="7"/>
    <x v="0"/>
    <x v="3"/>
    <x v="0"/>
    <n v="0.16"/>
    <n v="0.1515"/>
    <n v="0.74"/>
    <n v="0.22389999999999999"/>
    <n v="5"/>
    <n v="103"/>
    <n v="108"/>
    <x v="0"/>
    <x v="3"/>
    <x v="1"/>
    <x v="1"/>
    <x v="2"/>
    <n v="86.083333333333329"/>
    <n v="69.578180404533413"/>
    <n v="1.2392073189402184"/>
    <b v="0"/>
  </r>
  <r>
    <n v="556"/>
    <x v="24"/>
    <x v="0"/>
    <x v="8"/>
    <x v="0"/>
    <x v="3"/>
    <x v="1"/>
    <n v="0.16"/>
    <n v="0.18179999999999999"/>
    <n v="0.74"/>
    <n v="0.1343"/>
    <n v="5"/>
    <n v="233"/>
    <n v="238"/>
    <x v="1"/>
    <x v="3"/>
    <x v="1"/>
    <x v="1"/>
    <x v="2"/>
    <n v="84"/>
    <n v="69.641941385920603"/>
    <n v="0.76875267158192995"/>
    <b v="0"/>
  </r>
  <r>
    <n v="557"/>
    <x v="24"/>
    <x v="0"/>
    <x v="9"/>
    <x v="0"/>
    <x v="3"/>
    <x v="1"/>
    <n v="0.2"/>
    <n v="0.2273"/>
    <n v="0.64"/>
    <n v="8.9599999999999999E-2"/>
    <n v="10"/>
    <n v="134"/>
    <n v="144"/>
    <x v="1"/>
    <x v="3"/>
    <x v="1"/>
    <x v="1"/>
    <x v="0"/>
    <n v="75.25"/>
    <n v="62.252117128307546"/>
    <n v="-0.36075659406490918"/>
    <b v="0"/>
  </r>
  <r>
    <n v="558"/>
    <x v="24"/>
    <x v="0"/>
    <x v="10"/>
    <x v="0"/>
    <x v="3"/>
    <x v="1"/>
    <n v="0.22"/>
    <n v="0.2424"/>
    <n v="0.6"/>
    <n v="0.1045"/>
    <n v="6"/>
    <n v="49"/>
    <n v="55"/>
    <x v="1"/>
    <x v="3"/>
    <x v="1"/>
    <x v="1"/>
    <x v="0"/>
    <n v="70.958333333333329"/>
    <n v="60.840832374795554"/>
    <n v="-8.3665040646253949E-2"/>
    <b v="0"/>
  </r>
  <r>
    <n v="559"/>
    <x v="24"/>
    <x v="0"/>
    <x v="11"/>
    <x v="0"/>
    <x v="3"/>
    <x v="1"/>
    <n v="0.24"/>
    <n v="0.2424"/>
    <n v="0.6"/>
    <n v="0.1343"/>
    <n v="6"/>
    <n v="55"/>
    <n v="61"/>
    <x v="1"/>
    <x v="3"/>
    <x v="1"/>
    <x v="1"/>
    <x v="0"/>
    <n v="70.666666666666671"/>
    <n v="60.937363898027122"/>
    <n v="9.0171065193120126E-2"/>
    <b v="0"/>
  </r>
  <r>
    <n v="560"/>
    <x v="24"/>
    <x v="0"/>
    <x v="12"/>
    <x v="0"/>
    <x v="3"/>
    <x v="1"/>
    <n v="0.26"/>
    <n v="0.28789999999999999"/>
    <n v="0.56000000000000005"/>
    <n v="8.9599999999999999E-2"/>
    <n v="21"/>
    <n v="85"/>
    <n v="106"/>
    <x v="1"/>
    <x v="3"/>
    <x v="1"/>
    <x v="2"/>
    <x v="0"/>
    <n v="70.083333333333329"/>
    <n v="61.100712773659808"/>
    <n v="8.3423667596532206E-2"/>
    <b v="0"/>
  </r>
  <r>
    <n v="561"/>
    <x v="24"/>
    <x v="0"/>
    <x v="13"/>
    <x v="0"/>
    <x v="3"/>
    <x v="1"/>
    <n v="0.26"/>
    <n v="0.2727"/>
    <n v="0.56000000000000005"/>
    <n v="0.1343"/>
    <n v="21"/>
    <n v="72"/>
    <n v="93"/>
    <x v="1"/>
    <x v="3"/>
    <x v="1"/>
    <x v="2"/>
    <x v="0"/>
    <n v="67.166666666666671"/>
    <n v="60.982297264945217"/>
    <n v="-0.18257615918231604"/>
    <b v="0"/>
  </r>
  <r>
    <n v="562"/>
    <x v="24"/>
    <x v="0"/>
    <x v="14"/>
    <x v="0"/>
    <x v="3"/>
    <x v="1"/>
    <n v="0.3"/>
    <n v="0.33329999999999999"/>
    <n v="0.45"/>
    <n v="0"/>
    <n v="11"/>
    <n v="57"/>
    <n v="68"/>
    <x v="1"/>
    <x v="3"/>
    <x v="1"/>
    <x v="2"/>
    <x v="1"/>
    <n v="65.083333333333329"/>
    <n v="60.915420098667141"/>
    <n v="4.3153814116341487E-3"/>
    <b v="0"/>
  </r>
  <r>
    <n v="563"/>
    <x v="24"/>
    <x v="0"/>
    <x v="15"/>
    <x v="0"/>
    <x v="3"/>
    <x v="1"/>
    <n v="0.32"/>
    <n v="0.34849999999999998"/>
    <n v="0.42"/>
    <n v="0"/>
    <n v="21"/>
    <n v="63"/>
    <n v="84"/>
    <x v="1"/>
    <x v="3"/>
    <x v="1"/>
    <x v="2"/>
    <x v="1"/>
    <n v="63.75"/>
    <n v="61.198358886777207"/>
    <n v="-0.17148070917218122"/>
    <b v="0"/>
  </r>
  <r>
    <n v="564"/>
    <x v="24"/>
    <x v="0"/>
    <x v="16"/>
    <x v="0"/>
    <x v="3"/>
    <x v="1"/>
    <n v="0.32"/>
    <n v="0.34849999999999998"/>
    <n v="0.42"/>
    <n v="0"/>
    <n v="14"/>
    <n v="102"/>
    <n v="116"/>
    <x v="1"/>
    <x v="3"/>
    <x v="1"/>
    <x v="2"/>
    <x v="1"/>
    <n v="61.333333333333336"/>
    <n v="61.508335714103339"/>
    <n v="-0.43598062198459464"/>
    <b v="1"/>
  </r>
  <r>
    <n v="565"/>
    <x v="24"/>
    <x v="0"/>
    <x v="17"/>
    <x v="0"/>
    <x v="3"/>
    <x v="0"/>
    <n v="0.3"/>
    <n v="0.33329999999999999"/>
    <n v="0.45"/>
    <n v="0"/>
    <n v="14"/>
    <n v="208"/>
    <n v="222"/>
    <x v="0"/>
    <x v="3"/>
    <x v="1"/>
    <x v="3"/>
    <x v="1"/>
    <n v="57.5"/>
    <n v="60.816187776382151"/>
    <n v="-0.53844138540105202"/>
    <b v="1"/>
  </r>
  <r>
    <n v="566"/>
    <x v="24"/>
    <x v="0"/>
    <x v="18"/>
    <x v="0"/>
    <x v="3"/>
    <x v="1"/>
    <n v="0.3"/>
    <n v="0.31819999999999998"/>
    <n v="0.49"/>
    <n v="8.9599999999999999E-2"/>
    <n v="7"/>
    <n v="218"/>
    <n v="225"/>
    <x v="1"/>
    <x v="3"/>
    <x v="1"/>
    <x v="3"/>
    <x v="1"/>
    <n v="51.75"/>
    <n v="50.180760213972185"/>
    <n v="0.76235006551858953"/>
    <b v="0"/>
  </r>
  <r>
    <n v="567"/>
    <x v="24"/>
    <x v="0"/>
    <x v="19"/>
    <x v="0"/>
    <x v="3"/>
    <x v="1"/>
    <n v="0.26"/>
    <n v="0.2576"/>
    <n v="0.65"/>
    <n v="0.16420000000000001"/>
    <n v="13"/>
    <n v="133"/>
    <n v="146"/>
    <x v="1"/>
    <x v="3"/>
    <x v="1"/>
    <x v="3"/>
    <x v="0"/>
    <n v="46.708333333333336"/>
    <n v="36.128369157367381"/>
    <n v="1.1619641160005498"/>
    <b v="0"/>
  </r>
  <r>
    <n v="568"/>
    <x v="24"/>
    <x v="0"/>
    <x v="20"/>
    <x v="0"/>
    <x v="3"/>
    <x v="0"/>
    <n v="0.24"/>
    <n v="0.2273"/>
    <n v="0.65"/>
    <n v="0.19400000000000001"/>
    <n v="16"/>
    <n v="103"/>
    <n v="119"/>
    <x v="0"/>
    <x v="3"/>
    <x v="1"/>
    <x v="3"/>
    <x v="0"/>
    <n v="43.916666666666664"/>
    <n v="30.229436656671428"/>
    <n v="0.63339964421988659"/>
    <b v="0"/>
  </r>
  <r>
    <n v="569"/>
    <x v="24"/>
    <x v="0"/>
    <x v="21"/>
    <x v="0"/>
    <x v="3"/>
    <x v="0"/>
    <n v="0.24"/>
    <n v="0.2273"/>
    <n v="0.65"/>
    <n v="0.19400000000000001"/>
    <n v="5"/>
    <n v="40"/>
    <n v="45"/>
    <x v="0"/>
    <x v="3"/>
    <x v="1"/>
    <x v="0"/>
    <x v="0"/>
    <n v="41.416666666666664"/>
    <n v="25.924500190841243"/>
    <n v="0.20301475435826477"/>
    <b v="0"/>
  </r>
  <r>
    <n v="570"/>
    <x v="24"/>
    <x v="0"/>
    <x v="22"/>
    <x v="0"/>
    <x v="3"/>
    <x v="0"/>
    <n v="0.22"/>
    <n v="0.2273"/>
    <n v="0.64"/>
    <n v="0.16420000000000001"/>
    <n v="4"/>
    <n v="49"/>
    <n v="53"/>
    <x v="0"/>
    <x v="3"/>
    <x v="1"/>
    <x v="0"/>
    <x v="0"/>
    <n v="41.125"/>
    <n v="25.921809685886213"/>
    <n v="-0.26979731914140492"/>
    <b v="0"/>
  </r>
  <r>
    <n v="571"/>
    <x v="24"/>
    <x v="0"/>
    <x v="23"/>
    <x v="0"/>
    <x v="3"/>
    <x v="1"/>
    <n v="0.22"/>
    <n v="0.2273"/>
    <n v="0.64"/>
    <n v="0.16420000000000001"/>
    <n v="3"/>
    <n v="37"/>
    <n v="40"/>
    <x v="1"/>
    <x v="3"/>
    <x v="1"/>
    <x v="0"/>
    <x v="0"/>
    <n v="40.041666666666664"/>
    <n v="25.947236037216268"/>
    <n v="-0.50432628497426013"/>
    <b v="0"/>
  </r>
  <r>
    <n v="572"/>
    <x v="25"/>
    <x v="0"/>
    <x v="0"/>
    <x v="0"/>
    <x v="4"/>
    <x v="1"/>
    <n v="0.22"/>
    <n v="0.2273"/>
    <n v="0.69"/>
    <n v="0.1343"/>
    <n v="3"/>
    <n v="14"/>
    <n v="17"/>
    <x v="1"/>
    <x v="4"/>
    <x v="1"/>
    <x v="0"/>
    <x v="0"/>
    <n v="39.041666666666664"/>
    <n v="26.40730986853363"/>
    <n v="-0.7460075270015083"/>
    <b v="0"/>
  </r>
  <r>
    <n v="573"/>
    <x v="25"/>
    <x v="0"/>
    <x v="1"/>
    <x v="0"/>
    <x v="4"/>
    <x v="1"/>
    <n v="0.24"/>
    <n v="0.2424"/>
    <n v="0.65"/>
    <n v="0.1343"/>
    <n v="0"/>
    <n v="5"/>
    <n v="5"/>
    <x v="1"/>
    <x v="4"/>
    <x v="1"/>
    <x v="0"/>
    <x v="0"/>
    <n v="38.708333333333336"/>
    <n v="26.74595323582156"/>
    <n v="-0.9207369028535014"/>
    <b v="1"/>
  </r>
  <r>
    <n v="574"/>
    <x v="25"/>
    <x v="0"/>
    <x v="2"/>
    <x v="0"/>
    <x v="4"/>
    <x v="2"/>
    <n v="0.22"/>
    <n v="0.2273"/>
    <n v="0.69"/>
    <n v="0.19400000000000001"/>
    <n v="3"/>
    <n v="7"/>
    <n v="10"/>
    <x v="2"/>
    <x v="4"/>
    <x v="1"/>
    <x v="0"/>
    <x v="0"/>
    <n v="38.625"/>
    <n v="26.858425121365549"/>
    <n v="-1.0758648647021576"/>
    <b v="1"/>
  </r>
  <r>
    <n v="575"/>
    <x v="25"/>
    <x v="0"/>
    <x v="5"/>
    <x v="0"/>
    <x v="4"/>
    <x v="2"/>
    <n v="0.2"/>
    <n v="0.18179999999999999"/>
    <n v="0.86"/>
    <n v="0.28360000000000002"/>
    <n v="0"/>
    <n v="1"/>
    <n v="1"/>
    <x v="2"/>
    <x v="4"/>
    <x v="1"/>
    <x v="0"/>
    <x v="0"/>
    <n v="38.291666666666664"/>
    <n v="27.275533178013728"/>
    <n v="-1.1226938707618834"/>
    <b v="0"/>
  </r>
  <r>
    <n v="576"/>
    <x v="25"/>
    <x v="0"/>
    <x v="6"/>
    <x v="0"/>
    <x v="4"/>
    <x v="2"/>
    <n v="0.2"/>
    <n v="0.18179999999999999"/>
    <n v="0.86"/>
    <n v="0.28360000000000002"/>
    <n v="0"/>
    <n v="8"/>
    <n v="8"/>
    <x v="2"/>
    <x v="4"/>
    <x v="1"/>
    <x v="1"/>
    <x v="0"/>
    <n v="38.291666666666664"/>
    <n v="27.275533178013728"/>
    <n v="-1.1588597431677519"/>
    <b v="0"/>
  </r>
  <r>
    <n v="577"/>
    <x v="25"/>
    <x v="0"/>
    <x v="7"/>
    <x v="0"/>
    <x v="4"/>
    <x v="2"/>
    <n v="0.22"/>
    <n v="0.21210000000000001"/>
    <n v="0.87"/>
    <n v="0.29849999999999999"/>
    <n v="1"/>
    <n v="29"/>
    <n v="30"/>
    <x v="2"/>
    <x v="4"/>
    <x v="1"/>
    <x v="1"/>
    <x v="0"/>
    <n v="38.125"/>
    <n v="27.480131162271626"/>
    <n v="-1.0937680831996286"/>
    <b v="0"/>
  </r>
  <r>
    <n v="578"/>
    <x v="25"/>
    <x v="0"/>
    <x v="8"/>
    <x v="0"/>
    <x v="4"/>
    <x v="2"/>
    <n v="0.22"/>
    <n v="0.21210000000000001"/>
    <n v="0.87"/>
    <n v="0.29849999999999999"/>
    <n v="3"/>
    <n v="69"/>
    <n v="72"/>
    <x v="2"/>
    <x v="4"/>
    <x v="1"/>
    <x v="1"/>
    <x v="0"/>
    <n v="37.541666666666664"/>
    <n v="27.806754210265982"/>
    <n v="-0.81123971533436101"/>
    <b v="0"/>
  </r>
  <r>
    <n v="579"/>
    <x v="25"/>
    <x v="0"/>
    <x v="9"/>
    <x v="0"/>
    <x v="4"/>
    <x v="2"/>
    <n v="0.22"/>
    <n v="0.21210000000000001"/>
    <n v="0.87"/>
    <n v="0.29849999999999999"/>
    <n v="3"/>
    <n v="55"/>
    <n v="58"/>
    <x v="2"/>
    <x v="4"/>
    <x v="1"/>
    <x v="1"/>
    <x v="0"/>
    <n v="37.041666666666664"/>
    <n v="27.262777884342867"/>
    <n v="0.21699411733431531"/>
    <b v="0"/>
  </r>
  <r>
    <n v="580"/>
    <x v="25"/>
    <x v="0"/>
    <x v="10"/>
    <x v="0"/>
    <x v="4"/>
    <x v="2"/>
    <n v="0.22"/>
    <n v="0.21210000000000001"/>
    <n v="0.93"/>
    <n v="0.28360000000000002"/>
    <n v="2"/>
    <n v="26"/>
    <n v="28"/>
    <x v="2"/>
    <x v="4"/>
    <x v="1"/>
    <x v="1"/>
    <x v="0"/>
    <n v="41.166666666666664"/>
    <n v="36.497369371154583"/>
    <n v="2.4628404677999245"/>
    <b v="0"/>
  </r>
  <r>
    <n v="581"/>
    <x v="25"/>
    <x v="0"/>
    <x v="11"/>
    <x v="0"/>
    <x v="4"/>
    <x v="2"/>
    <n v="0.22"/>
    <n v="0.19700000000000001"/>
    <n v="0.93"/>
    <n v="0.32840000000000003"/>
    <n v="6"/>
    <n v="35"/>
    <n v="41"/>
    <x v="2"/>
    <x v="4"/>
    <x v="1"/>
    <x v="1"/>
    <x v="0"/>
    <n v="44.208333333333336"/>
    <n v="38.347358807827064"/>
    <n v="1.521648689212036"/>
    <b v="0"/>
  </r>
  <r>
    <n v="582"/>
    <x v="25"/>
    <x v="0"/>
    <x v="12"/>
    <x v="0"/>
    <x v="4"/>
    <x v="2"/>
    <n v="0.22"/>
    <n v="0.19700000000000001"/>
    <n v="0.93"/>
    <n v="0.32840000000000003"/>
    <n v="7"/>
    <n v="41"/>
    <n v="48"/>
    <x v="2"/>
    <x v="4"/>
    <x v="1"/>
    <x v="2"/>
    <x v="0"/>
    <n v="44.541666666666664"/>
    <n v="38.353027392175022"/>
    <n v="0.18632850570796824"/>
    <b v="0"/>
  </r>
  <r>
    <n v="583"/>
    <x v="25"/>
    <x v="0"/>
    <x v="13"/>
    <x v="0"/>
    <x v="4"/>
    <x v="2"/>
    <n v="0.22"/>
    <n v="0.19700000000000001"/>
    <n v="0.93"/>
    <n v="0.32840000000000003"/>
    <n v="4"/>
    <n v="43"/>
    <n v="47"/>
    <x v="2"/>
    <x v="4"/>
    <x v="1"/>
    <x v="2"/>
    <x v="0"/>
    <n v="43.791666666666664"/>
    <n v="38.458310762001325"/>
    <n v="-0.36649188053397214"/>
    <b v="0"/>
  </r>
  <r>
    <n v="584"/>
    <x v="25"/>
    <x v="0"/>
    <x v="14"/>
    <x v="0"/>
    <x v="4"/>
    <x v="2"/>
    <n v="0.22"/>
    <n v="0.19700000000000001"/>
    <n v="0.93"/>
    <n v="0.35820000000000002"/>
    <n v="0"/>
    <n v="36"/>
    <n v="36"/>
    <x v="2"/>
    <x v="4"/>
    <x v="1"/>
    <x v="2"/>
    <x v="0"/>
    <n v="43.041666666666664"/>
    <n v="38.568379892552294"/>
    <n v="-0.44357552144749834"/>
    <b v="0"/>
  </r>
  <r>
    <n v="585"/>
    <x v="25"/>
    <x v="0"/>
    <x v="15"/>
    <x v="0"/>
    <x v="4"/>
    <x v="2"/>
    <n v="0.22"/>
    <n v="0.18179999999999999"/>
    <n v="0.93"/>
    <n v="0.4627"/>
    <n v="1"/>
    <n v="42"/>
    <n v="43"/>
    <x v="2"/>
    <x v="4"/>
    <x v="1"/>
    <x v="2"/>
    <x v="0"/>
    <n v="42.833333333333336"/>
    <n v="38.62153788245358"/>
    <n v="-0.42912967558837156"/>
    <b v="0"/>
  </r>
  <r>
    <n v="586"/>
    <x v="25"/>
    <x v="0"/>
    <x v="16"/>
    <x v="0"/>
    <x v="4"/>
    <x v="3"/>
    <n v="0.22"/>
    <n v="0.19700000000000001"/>
    <n v="0.93"/>
    <n v="0.32840000000000003"/>
    <n v="1"/>
    <n v="35"/>
    <n v="36"/>
    <x v="3"/>
    <x v="4"/>
    <x v="1"/>
    <x v="2"/>
    <x v="0"/>
    <n v="42.625"/>
    <n v="38.634083285414548"/>
    <n v="-0.30267023224060163"/>
    <b v="0"/>
  </r>
  <r>
    <n v="587"/>
    <x v="25"/>
    <x v="0"/>
    <x v="17"/>
    <x v="0"/>
    <x v="4"/>
    <x v="2"/>
    <n v="0.2"/>
    <n v="0.18179999999999999"/>
    <n v="0.93"/>
    <n v="0.35820000000000002"/>
    <n v="0"/>
    <n v="26"/>
    <n v="26"/>
    <x v="2"/>
    <x v="4"/>
    <x v="1"/>
    <x v="3"/>
    <x v="0"/>
    <n v="42.833333333333336"/>
    <n v="38.610278724562534"/>
    <n v="-0.29374008238208493"/>
    <b v="0"/>
  </r>
  <r>
    <n v="588"/>
    <x v="26"/>
    <x v="0"/>
    <x v="16"/>
    <x v="0"/>
    <x v="5"/>
    <x v="0"/>
    <n v="0.22"/>
    <n v="0.2273"/>
    <n v="0.55000000000000004"/>
    <n v="0.19400000000000001"/>
    <n v="1"/>
    <n v="23"/>
    <n v="24"/>
    <x v="0"/>
    <x v="5"/>
    <x v="1"/>
    <x v="2"/>
    <x v="0"/>
    <n v="45.083333333333336"/>
    <n v="39.156227409283652"/>
    <n v="0.58883583094939518"/>
    <b v="0"/>
  </r>
  <r>
    <n v="589"/>
    <x v="26"/>
    <x v="0"/>
    <x v="17"/>
    <x v="0"/>
    <x v="5"/>
    <x v="0"/>
    <n v="0.22"/>
    <n v="0.2424"/>
    <n v="0.55000000000000004"/>
    <n v="0.1045"/>
    <n v="2"/>
    <n v="82"/>
    <n v="84"/>
    <x v="0"/>
    <x v="5"/>
    <x v="1"/>
    <x v="3"/>
    <x v="0"/>
    <n v="50.291666666666664"/>
    <n v="44.216344771221607"/>
    <n v="2.2207539967680003"/>
    <b v="0"/>
  </r>
  <r>
    <n v="590"/>
    <x v="26"/>
    <x v="0"/>
    <x v="18"/>
    <x v="0"/>
    <x v="5"/>
    <x v="0"/>
    <n v="0.2"/>
    <n v="0.2273"/>
    <n v="0.69"/>
    <n v="8.9599999999999999E-2"/>
    <n v="3"/>
    <n v="101"/>
    <n v="104"/>
    <x v="0"/>
    <x v="5"/>
    <x v="1"/>
    <x v="3"/>
    <x v="0"/>
    <n v="51.333333333333336"/>
    <n v="45.325553467127676"/>
    <n v="1.5219427541310444"/>
    <b v="0"/>
  </r>
  <r>
    <n v="591"/>
    <x v="26"/>
    <x v="0"/>
    <x v="19"/>
    <x v="0"/>
    <x v="5"/>
    <x v="0"/>
    <n v="0.2"/>
    <n v="0.2273"/>
    <n v="0.69"/>
    <n v="8.9599999999999999E-2"/>
    <n v="3"/>
    <n v="76"/>
    <n v="79"/>
    <x v="0"/>
    <x v="5"/>
    <x v="1"/>
    <x v="3"/>
    <x v="0"/>
    <n v="50.708333333333336"/>
    <n v="44.666375999486867"/>
    <n v="1.0975679828747749"/>
    <b v="0"/>
  </r>
  <r>
    <n v="592"/>
    <x v="26"/>
    <x v="0"/>
    <x v="20"/>
    <x v="0"/>
    <x v="5"/>
    <x v="0"/>
    <n v="0.18"/>
    <n v="0.21210000000000001"/>
    <n v="0.74"/>
    <n v="8.9599999999999999E-2"/>
    <n v="4"/>
    <n v="55"/>
    <n v="59"/>
    <x v="0"/>
    <x v="5"/>
    <x v="1"/>
    <x v="3"/>
    <x v="2"/>
    <n v="50"/>
    <n v="44.331753268126981"/>
    <n v="0.39314790601779964"/>
    <b v="0"/>
  </r>
  <r>
    <n v="593"/>
    <x v="26"/>
    <x v="0"/>
    <x v="21"/>
    <x v="0"/>
    <x v="5"/>
    <x v="0"/>
    <n v="0.18"/>
    <n v="0.21210000000000001"/>
    <n v="0.74"/>
    <n v="8.9599999999999999E-2"/>
    <n v="2"/>
    <n v="36"/>
    <n v="38"/>
    <x v="0"/>
    <x v="5"/>
    <x v="1"/>
    <x v="0"/>
    <x v="2"/>
    <n v="49.958333333333336"/>
    <n v="44.323395693438265"/>
    <n v="0.30796758030780824"/>
    <b v="0"/>
  </r>
  <r>
    <n v="594"/>
    <x v="26"/>
    <x v="0"/>
    <x v="22"/>
    <x v="0"/>
    <x v="5"/>
    <x v="0"/>
    <n v="0.18"/>
    <n v="0.21210000000000001"/>
    <n v="0.74"/>
    <n v="8.9599999999999999E-2"/>
    <n v="0"/>
    <n v="27"/>
    <n v="27"/>
    <x v="0"/>
    <x v="5"/>
    <x v="1"/>
    <x v="0"/>
    <x v="2"/>
    <n v="49.458333333333336"/>
    <n v="44.531355994025901"/>
    <n v="-0.59768868002929521"/>
    <b v="1"/>
  </r>
  <r>
    <n v="595"/>
    <x v="26"/>
    <x v="0"/>
    <x v="23"/>
    <x v="0"/>
    <x v="5"/>
    <x v="0"/>
    <n v="0.18"/>
    <n v="0.19700000000000001"/>
    <n v="0.8"/>
    <n v="0.16420000000000001"/>
    <n v="0"/>
    <n v="16"/>
    <n v="16"/>
    <x v="0"/>
    <x v="5"/>
    <x v="1"/>
    <x v="0"/>
    <x v="2"/>
    <n v="49.291666666666664"/>
    <n v="44.62644874439632"/>
    <n v="-0.69716026789815455"/>
    <b v="0"/>
  </r>
  <r>
    <n v="596"/>
    <x v="27"/>
    <x v="0"/>
    <x v="0"/>
    <x v="0"/>
    <x v="6"/>
    <x v="1"/>
    <n v="0.2"/>
    <n v="0.21210000000000001"/>
    <n v="0.75"/>
    <n v="0.1343"/>
    <n v="0"/>
    <n v="9"/>
    <n v="9"/>
    <x v="1"/>
    <x v="6"/>
    <x v="1"/>
    <x v="0"/>
    <x v="0"/>
    <n v="49.791666666666664"/>
    <n v="44.303282012752163"/>
    <n v="-0.56642686350510951"/>
    <b v="0"/>
  </r>
  <r>
    <n v="597"/>
    <x v="27"/>
    <x v="0"/>
    <x v="1"/>
    <x v="0"/>
    <x v="6"/>
    <x v="1"/>
    <n v="0.2"/>
    <n v="0.21210000000000001"/>
    <n v="0.75"/>
    <n v="0.1343"/>
    <n v="1"/>
    <n v="2"/>
    <n v="3"/>
    <x v="1"/>
    <x v="6"/>
    <x v="1"/>
    <x v="0"/>
    <x v="0"/>
    <n v="50.25"/>
    <n v="43.918155104991456"/>
    <n v="-0.80517040723108446"/>
    <b v="0"/>
  </r>
  <r>
    <n v="598"/>
    <x v="27"/>
    <x v="0"/>
    <x v="2"/>
    <x v="0"/>
    <x v="6"/>
    <x v="1"/>
    <n v="0.2"/>
    <n v="0.21210000000000001"/>
    <n v="0.75"/>
    <n v="0.16420000000000001"/>
    <n v="0"/>
    <n v="2"/>
    <n v="2"/>
    <x v="1"/>
    <x v="6"/>
    <x v="1"/>
    <x v="0"/>
    <x v="0"/>
    <n v="50.75"/>
    <n v="43.422344478390386"/>
    <n v="-0.93221408247824766"/>
    <b v="0"/>
  </r>
  <r>
    <n v="599"/>
    <x v="27"/>
    <x v="0"/>
    <x v="3"/>
    <x v="0"/>
    <x v="6"/>
    <x v="1"/>
    <n v="0.2"/>
    <n v="0.2273"/>
    <n v="0.75"/>
    <n v="0.1045"/>
    <n v="1"/>
    <n v="0"/>
    <n v="1"/>
    <x v="1"/>
    <x v="6"/>
    <x v="1"/>
    <x v="0"/>
    <x v="0"/>
    <n v="51"/>
    <n v="43.145859794322149"/>
    <n v="-1.1186781440417455"/>
    <b v="0"/>
  </r>
  <r>
    <n v="600"/>
    <x v="27"/>
    <x v="0"/>
    <x v="5"/>
    <x v="0"/>
    <x v="6"/>
    <x v="1"/>
    <n v="0.18"/>
    <n v="0.21210000000000001"/>
    <n v="0.8"/>
    <n v="0.1045"/>
    <n v="0"/>
    <n v="4"/>
    <n v="4"/>
    <x v="1"/>
    <x v="6"/>
    <x v="1"/>
    <x v="0"/>
    <x v="2"/>
    <n v="51.083333333333336"/>
    <n v="43.046907344013206"/>
    <n v="-1.2421978135166793"/>
    <b v="0"/>
  </r>
  <r>
    <n v="601"/>
    <x v="27"/>
    <x v="0"/>
    <x v="6"/>
    <x v="0"/>
    <x v="6"/>
    <x v="1"/>
    <n v="0.18"/>
    <n v="0.19700000000000001"/>
    <n v="0.8"/>
    <n v="0.1343"/>
    <n v="0"/>
    <n v="16"/>
    <n v="16"/>
    <x v="1"/>
    <x v="6"/>
    <x v="1"/>
    <x v="1"/>
    <x v="2"/>
    <n v="51"/>
    <n v="43.143844338999578"/>
    <n v="-1.2709468468092544"/>
    <b v="0"/>
  </r>
  <r>
    <n v="602"/>
    <x v="27"/>
    <x v="0"/>
    <x v="7"/>
    <x v="0"/>
    <x v="6"/>
    <x v="1"/>
    <n v="0.16"/>
    <n v="0.19700000000000001"/>
    <n v="0.86"/>
    <n v="8.9599999999999999E-2"/>
    <n v="2"/>
    <n v="58"/>
    <n v="60"/>
    <x v="1"/>
    <x v="6"/>
    <x v="1"/>
    <x v="1"/>
    <x v="2"/>
    <n v="50.541666666666664"/>
    <n v="43.587971183390238"/>
    <n v="-1.1877655602807928"/>
    <b v="0"/>
  </r>
  <r>
    <n v="603"/>
    <x v="27"/>
    <x v="0"/>
    <x v="8"/>
    <x v="0"/>
    <x v="6"/>
    <x v="1"/>
    <n v="0.16"/>
    <n v="0.19700000000000001"/>
    <n v="0.86"/>
    <n v="8.9599999999999999E-2"/>
    <n v="2"/>
    <n v="155"/>
    <n v="157"/>
    <x v="1"/>
    <x v="6"/>
    <x v="1"/>
    <x v="1"/>
    <x v="2"/>
    <n v="49.458333333333336"/>
    <n v="43.665705543134308"/>
    <n v="-0.36463238114998892"/>
    <b v="0"/>
  </r>
  <r>
    <n v="604"/>
    <x v="27"/>
    <x v="0"/>
    <x v="9"/>
    <x v="0"/>
    <x v="6"/>
    <x v="2"/>
    <n v="0.18"/>
    <n v="0.21210000000000001"/>
    <n v="0.86"/>
    <n v="8.9599999999999999E-2"/>
    <n v="6"/>
    <n v="95"/>
    <n v="101"/>
    <x v="2"/>
    <x v="6"/>
    <x v="1"/>
    <x v="1"/>
    <x v="2"/>
    <n v="44.333333333333336"/>
    <n v="37.240308534035336"/>
    <n v="-0.37005644787807879"/>
    <b v="0"/>
  </r>
  <r>
    <n v="605"/>
    <x v="27"/>
    <x v="0"/>
    <x v="10"/>
    <x v="0"/>
    <x v="6"/>
    <x v="2"/>
    <n v="0.18"/>
    <n v="0.21210000000000001"/>
    <n v="0.86"/>
    <n v="0.1045"/>
    <n v="0"/>
    <n v="49"/>
    <n v="49"/>
    <x v="2"/>
    <x v="6"/>
    <x v="1"/>
    <x v="1"/>
    <x v="2"/>
    <n v="42.416666666666664"/>
    <n v="35.331863518786342"/>
    <n v="0.20467074435718774"/>
    <b v="0"/>
  </r>
  <r>
    <n v="606"/>
    <x v="27"/>
    <x v="0"/>
    <x v="11"/>
    <x v="0"/>
    <x v="6"/>
    <x v="2"/>
    <n v="0.18"/>
    <n v="0.21210000000000001"/>
    <n v="0.93"/>
    <n v="0.1045"/>
    <n v="0"/>
    <n v="30"/>
    <n v="30"/>
    <x v="2"/>
    <x v="6"/>
    <x v="1"/>
    <x v="1"/>
    <x v="2"/>
    <n v="43.041666666666664"/>
    <n v="35.585144881423261"/>
    <n v="0.46081135829101438"/>
    <b v="0"/>
  </r>
  <r>
    <n v="607"/>
    <x v="27"/>
    <x v="0"/>
    <x v="12"/>
    <x v="0"/>
    <x v="6"/>
    <x v="2"/>
    <n v="0.18"/>
    <n v="0.21210000000000001"/>
    <n v="0.93"/>
    <n v="0.1045"/>
    <n v="1"/>
    <n v="28"/>
    <n v="29"/>
    <x v="2"/>
    <x v="6"/>
    <x v="1"/>
    <x v="2"/>
    <x v="2"/>
    <n v="45.041666666666664"/>
    <n v="36.164454283497605"/>
    <n v="0.79730366865904123"/>
    <b v="0"/>
  </r>
  <r>
    <n v="608"/>
    <x v="27"/>
    <x v="0"/>
    <x v="13"/>
    <x v="0"/>
    <x v="6"/>
    <x v="2"/>
    <n v="0.18"/>
    <n v="0.21210000000000001"/>
    <n v="0.93"/>
    <n v="0.1045"/>
    <n v="0"/>
    <n v="31"/>
    <n v="31"/>
    <x v="2"/>
    <x v="6"/>
    <x v="1"/>
    <x v="2"/>
    <x v="2"/>
    <n v="46.541666666666664"/>
    <n v="36.216713853120922"/>
    <n v="0.42392054610211527"/>
    <b v="0"/>
  </r>
  <r>
    <n v="609"/>
    <x v="27"/>
    <x v="0"/>
    <x v="14"/>
    <x v="0"/>
    <x v="6"/>
    <x v="2"/>
    <n v="0.22"/>
    <n v="0.2727"/>
    <n v="0.8"/>
    <n v="0"/>
    <n v="2"/>
    <n v="36"/>
    <n v="38"/>
    <x v="2"/>
    <x v="6"/>
    <x v="1"/>
    <x v="2"/>
    <x v="0"/>
    <n v="49.375"/>
    <n v="37.582156381198637"/>
    <n v="1.2082667851545188"/>
    <b v="0"/>
  </r>
  <r>
    <n v="610"/>
    <x v="27"/>
    <x v="0"/>
    <x v="15"/>
    <x v="0"/>
    <x v="6"/>
    <x v="1"/>
    <n v="0.2"/>
    <n v="0.2576"/>
    <n v="0.86"/>
    <n v="0"/>
    <n v="1"/>
    <n v="40"/>
    <n v="41"/>
    <x v="1"/>
    <x v="6"/>
    <x v="1"/>
    <x v="2"/>
    <x v="0"/>
    <n v="52.791666666666664"/>
    <n v="40.143199290482094"/>
    <n v="1.71344438142278"/>
    <b v="0"/>
  </r>
  <r>
    <n v="611"/>
    <x v="27"/>
    <x v="0"/>
    <x v="16"/>
    <x v="0"/>
    <x v="6"/>
    <x v="0"/>
    <n v="0.22"/>
    <n v="0.2727"/>
    <n v="0.8"/>
    <n v="0"/>
    <n v="10"/>
    <n v="70"/>
    <n v="80"/>
    <x v="0"/>
    <x v="6"/>
    <x v="1"/>
    <x v="2"/>
    <x v="0"/>
    <n v="55.541666666666664"/>
    <n v="41.536761263149586"/>
    <n v="1.3721365554969434"/>
    <b v="0"/>
  </r>
  <r>
    <n v="612"/>
    <x v="27"/>
    <x v="0"/>
    <x v="17"/>
    <x v="0"/>
    <x v="6"/>
    <x v="0"/>
    <n v="0.24"/>
    <n v="0.2424"/>
    <n v="0.75"/>
    <n v="0.1343"/>
    <n v="2"/>
    <n v="147"/>
    <n v="149"/>
    <x v="0"/>
    <x v="6"/>
    <x v="1"/>
    <x v="3"/>
    <x v="0"/>
    <n v="56"/>
    <n v="41.877668636575059"/>
    <n v="1.0346217334880863"/>
    <b v="0"/>
  </r>
  <r>
    <n v="613"/>
    <x v="27"/>
    <x v="0"/>
    <x v="18"/>
    <x v="0"/>
    <x v="6"/>
    <x v="0"/>
    <n v="0.24"/>
    <n v="0.2273"/>
    <n v="0.75"/>
    <n v="0.19400000000000001"/>
    <n v="2"/>
    <n v="107"/>
    <n v="109"/>
    <x v="0"/>
    <x v="6"/>
    <x v="1"/>
    <x v="3"/>
    <x v="0"/>
    <n v="52.625"/>
    <n v="37.041472057329379"/>
    <n v="0.47175636204832472"/>
    <b v="0"/>
  </r>
  <r>
    <n v="614"/>
    <x v="27"/>
    <x v="0"/>
    <x v="19"/>
    <x v="0"/>
    <x v="6"/>
    <x v="1"/>
    <n v="0.24"/>
    <n v="0.2424"/>
    <n v="0.75"/>
    <n v="0.1343"/>
    <n v="5"/>
    <n v="84"/>
    <n v="89"/>
    <x v="1"/>
    <x v="6"/>
    <x v="1"/>
    <x v="3"/>
    <x v="0"/>
    <n v="50.5"/>
    <n v="35.077553828747746"/>
    <n v="0.22020612232689604"/>
    <b v="0"/>
  </r>
  <r>
    <n v="615"/>
    <x v="27"/>
    <x v="0"/>
    <x v="20"/>
    <x v="0"/>
    <x v="6"/>
    <x v="1"/>
    <n v="0.24"/>
    <n v="0.2273"/>
    <n v="0.7"/>
    <n v="0.19400000000000001"/>
    <n v="1"/>
    <n v="61"/>
    <n v="62"/>
    <x v="1"/>
    <x v="6"/>
    <x v="1"/>
    <x v="3"/>
    <x v="0"/>
    <n v="48.583333333333336"/>
    <n v="34.126257475371695"/>
    <n v="-0.15380303837408221"/>
    <b v="0"/>
  </r>
  <r>
    <n v="616"/>
    <x v="27"/>
    <x v="0"/>
    <x v="21"/>
    <x v="0"/>
    <x v="6"/>
    <x v="1"/>
    <n v="0.22"/>
    <n v="0.2273"/>
    <n v="0.75"/>
    <n v="0.1343"/>
    <n v="1"/>
    <n v="57"/>
    <n v="58"/>
    <x v="1"/>
    <x v="6"/>
    <x v="1"/>
    <x v="0"/>
    <x v="0"/>
    <n v="47.5"/>
    <n v="34.094497834822199"/>
    <n v="-0.32238346782632599"/>
    <b v="0"/>
  </r>
  <r>
    <n v="617"/>
    <x v="27"/>
    <x v="0"/>
    <x v="22"/>
    <x v="0"/>
    <x v="6"/>
    <x v="0"/>
    <n v="0.24"/>
    <n v="0.21210000000000001"/>
    <n v="0.65"/>
    <n v="0.35820000000000002"/>
    <n v="0"/>
    <n v="26"/>
    <n v="26"/>
    <x v="0"/>
    <x v="6"/>
    <x v="1"/>
    <x v="0"/>
    <x v="0"/>
    <n v="46.416666666666664"/>
    <n v="34.159366487693823"/>
    <n v="-0.40849786773281949"/>
    <b v="0"/>
  </r>
  <r>
    <n v="618"/>
    <x v="27"/>
    <x v="0"/>
    <x v="23"/>
    <x v="0"/>
    <x v="6"/>
    <x v="0"/>
    <n v="0.24"/>
    <n v="0.2273"/>
    <n v="0.6"/>
    <n v="0.22389999999999999"/>
    <n v="1"/>
    <n v="22"/>
    <n v="23"/>
    <x v="0"/>
    <x v="6"/>
    <x v="1"/>
    <x v="0"/>
    <x v="0"/>
    <n v="46.708333333333336"/>
    <n v="34.007005885190225"/>
    <n v="-0.36753669665482364"/>
    <b v="1"/>
  </r>
  <r>
    <n v="619"/>
    <x v="28"/>
    <x v="0"/>
    <x v="0"/>
    <x v="0"/>
    <x v="0"/>
    <x v="0"/>
    <n v="0.22"/>
    <n v="0.19700000000000001"/>
    <n v="0.64"/>
    <n v="0.35820000000000002"/>
    <n v="2"/>
    <n v="26"/>
    <n v="28"/>
    <x v="0"/>
    <x v="0"/>
    <x v="0"/>
    <x v="0"/>
    <x v="0"/>
    <n v="47.125"/>
    <n v="33.76428844079264"/>
    <n v="-0.33242673747952795"/>
    <b v="0"/>
  </r>
  <r>
    <n v="620"/>
    <x v="28"/>
    <x v="0"/>
    <x v="1"/>
    <x v="0"/>
    <x v="0"/>
    <x v="0"/>
    <n v="0.22"/>
    <n v="0.2273"/>
    <n v="0.64"/>
    <n v="0.19400000000000001"/>
    <n v="0"/>
    <n v="20"/>
    <n v="20"/>
    <x v="0"/>
    <x v="0"/>
    <x v="0"/>
    <x v="0"/>
    <x v="0"/>
    <n v="47.166666666666664"/>
    <n v="33.740269665511704"/>
    <n v="-0.39976073263652262"/>
    <b v="0"/>
  </r>
  <r>
    <n v="621"/>
    <x v="28"/>
    <x v="0"/>
    <x v="2"/>
    <x v="0"/>
    <x v="0"/>
    <x v="0"/>
    <n v="0.22"/>
    <n v="0.2273"/>
    <n v="0.64"/>
    <n v="0.16420000000000001"/>
    <n v="0"/>
    <n v="15"/>
    <n v="15"/>
    <x v="0"/>
    <x v="0"/>
    <x v="0"/>
    <x v="0"/>
    <x v="0"/>
    <n v="46.791666666666664"/>
    <n v="34.103396702772393"/>
    <n v="-0.80563801659416612"/>
    <b v="0"/>
  </r>
  <r>
    <n v="622"/>
    <x v="28"/>
    <x v="0"/>
    <x v="3"/>
    <x v="0"/>
    <x v="0"/>
    <x v="0"/>
    <n v="0.2"/>
    <n v="0.21210000000000001"/>
    <n v="0.64"/>
    <n v="0.1343"/>
    <n v="3"/>
    <n v="5"/>
    <n v="8"/>
    <x v="0"/>
    <x v="0"/>
    <x v="0"/>
    <x v="0"/>
    <x v="0"/>
    <n v="46.5"/>
    <n v="34.415618294732056"/>
    <n v="-0.8627449517179927"/>
    <b v="0"/>
  </r>
  <r>
    <n v="623"/>
    <x v="28"/>
    <x v="0"/>
    <x v="4"/>
    <x v="0"/>
    <x v="0"/>
    <x v="0"/>
    <n v="0.16"/>
    <n v="0.18179999999999999"/>
    <n v="0.69"/>
    <n v="0.1045"/>
    <n v="1"/>
    <n v="2"/>
    <n v="3"/>
    <x v="0"/>
    <x v="0"/>
    <x v="0"/>
    <x v="0"/>
    <x v="2"/>
    <n v="46.208333333333336"/>
    <n v="34.783778286495242"/>
    <n v="-1.0215092944990145"/>
    <b v="0"/>
  </r>
  <r>
    <n v="624"/>
    <x v="28"/>
    <x v="0"/>
    <x v="6"/>
    <x v="0"/>
    <x v="0"/>
    <x v="0"/>
    <n v="0.16"/>
    <n v="0.18179999999999999"/>
    <n v="0.64"/>
    <n v="0.1343"/>
    <n v="0"/>
    <n v="2"/>
    <n v="2"/>
    <x v="0"/>
    <x v="0"/>
    <x v="0"/>
    <x v="1"/>
    <x v="2"/>
    <n v="46.208333333333336"/>
    <n v="34.783778286495242"/>
    <n v="-0.98692022202180696"/>
    <b v="0"/>
  </r>
  <r>
    <n v="625"/>
    <x v="28"/>
    <x v="0"/>
    <x v="7"/>
    <x v="0"/>
    <x v="0"/>
    <x v="0"/>
    <n v="0.16"/>
    <n v="0.18179999999999999"/>
    <n v="0.59"/>
    <n v="0.1045"/>
    <n v="1"/>
    <n v="4"/>
    <n v="5"/>
    <x v="0"/>
    <x v="0"/>
    <x v="0"/>
    <x v="1"/>
    <x v="2"/>
    <n v="46.25"/>
    <n v="34.729075652141596"/>
    <n v="-1.0439982127503331"/>
    <b v="0"/>
  </r>
  <r>
    <n v="626"/>
    <x v="28"/>
    <x v="0"/>
    <x v="8"/>
    <x v="0"/>
    <x v="0"/>
    <x v="0"/>
    <n v="0.18"/>
    <n v="0.19700000000000001"/>
    <n v="0.55000000000000004"/>
    <n v="0.16420000000000001"/>
    <n v="3"/>
    <n v="31"/>
    <n v="34"/>
    <x v="0"/>
    <x v="0"/>
    <x v="0"/>
    <x v="1"/>
    <x v="2"/>
    <n v="46.541666666666664"/>
    <n v="34.395372750802785"/>
    <n v="-0.90591729847647506"/>
    <b v="0"/>
  </r>
  <r>
    <n v="627"/>
    <x v="28"/>
    <x v="0"/>
    <x v="9"/>
    <x v="0"/>
    <x v="0"/>
    <x v="0"/>
    <n v="0.18"/>
    <n v="0.21210000000000001"/>
    <n v="0.59"/>
    <n v="8.9599999999999999E-2"/>
    <n v="0"/>
    <n v="34"/>
    <n v="34"/>
    <x v="0"/>
    <x v="0"/>
    <x v="0"/>
    <x v="1"/>
    <x v="2"/>
    <n v="46.708333333333336"/>
    <n v="34.341607628251097"/>
    <n v="-0.35492519303120218"/>
    <b v="0"/>
  </r>
  <r>
    <n v="628"/>
    <x v="28"/>
    <x v="0"/>
    <x v="10"/>
    <x v="0"/>
    <x v="0"/>
    <x v="1"/>
    <n v="0.18"/>
    <n v="0.21210000000000001"/>
    <n v="0.64"/>
    <n v="0.1045"/>
    <n v="4"/>
    <n v="51"/>
    <n v="55"/>
    <x v="1"/>
    <x v="0"/>
    <x v="0"/>
    <x v="1"/>
    <x v="2"/>
    <n v="47.958333333333336"/>
    <n v="34.40485199182973"/>
    <n v="0.12383874636566571"/>
    <b v="0"/>
  </r>
  <r>
    <n v="629"/>
    <x v="28"/>
    <x v="0"/>
    <x v="11"/>
    <x v="0"/>
    <x v="0"/>
    <x v="1"/>
    <n v="0.18"/>
    <n v="0.19700000000000001"/>
    <n v="0.64"/>
    <n v="0.1343"/>
    <n v="4"/>
    <n v="60"/>
    <n v="64"/>
    <x v="1"/>
    <x v="0"/>
    <x v="0"/>
    <x v="1"/>
    <x v="2"/>
    <n v="48.125"/>
    <n v="34.450105698077266"/>
    <n v="1.7068058010936787E-2"/>
    <b v="0"/>
  </r>
  <r>
    <n v="630"/>
    <x v="28"/>
    <x v="0"/>
    <x v="12"/>
    <x v="0"/>
    <x v="0"/>
    <x v="1"/>
    <n v="0.2"/>
    <n v="0.19700000000000001"/>
    <n v="0.59"/>
    <n v="0.19400000000000001"/>
    <n v="12"/>
    <n v="66"/>
    <n v="78"/>
    <x v="1"/>
    <x v="0"/>
    <x v="0"/>
    <x v="2"/>
    <x v="0"/>
    <n v="49.5"/>
    <n v="35.745477062626854"/>
    <n v="0.80404341776090038"/>
    <b v="0"/>
  </r>
  <r>
    <n v="631"/>
    <x v="28"/>
    <x v="0"/>
    <x v="13"/>
    <x v="0"/>
    <x v="0"/>
    <x v="1"/>
    <n v="0.22"/>
    <n v="0.2273"/>
    <n v="0.55000000000000004"/>
    <n v="0.16420000000000001"/>
    <n v="9"/>
    <n v="56"/>
    <n v="65"/>
    <x v="1"/>
    <x v="0"/>
    <x v="0"/>
    <x v="2"/>
    <x v="0"/>
    <n v="49.75"/>
    <n v="35.973722293532177"/>
    <n v="0.57044612188095278"/>
    <b v="0"/>
  </r>
  <r>
    <n v="632"/>
    <x v="28"/>
    <x v="0"/>
    <x v="14"/>
    <x v="0"/>
    <x v="0"/>
    <x v="1"/>
    <n v="0.22"/>
    <n v="0.2273"/>
    <n v="0.6"/>
    <n v="0.1343"/>
    <n v="10"/>
    <n v="89"/>
    <n v="99"/>
    <x v="1"/>
    <x v="0"/>
    <x v="0"/>
    <x v="2"/>
    <x v="0"/>
    <n v="52.125"/>
    <n v="38.795240071095229"/>
    <n v="1.3949421761390077"/>
    <b v="0"/>
  </r>
  <r>
    <n v="633"/>
    <x v="28"/>
    <x v="0"/>
    <x v="15"/>
    <x v="0"/>
    <x v="0"/>
    <x v="0"/>
    <n v="0.22"/>
    <n v="0.21210000000000001"/>
    <n v="0.69"/>
    <n v="0.25369999999999998"/>
    <n v="22"/>
    <n v="98"/>
    <n v="120"/>
    <x v="0"/>
    <x v="0"/>
    <x v="0"/>
    <x v="2"/>
    <x v="0"/>
    <n v="52.541666666666664"/>
    <n v="39.370016362782941"/>
    <n v="1.1957853902624742"/>
    <b v="0"/>
  </r>
  <r>
    <n v="634"/>
    <x v="28"/>
    <x v="0"/>
    <x v="16"/>
    <x v="0"/>
    <x v="0"/>
    <x v="0"/>
    <n v="0.24"/>
    <n v="0.2424"/>
    <n v="0.6"/>
    <n v="0.16420000000000001"/>
    <n v="19"/>
    <n v="88"/>
    <n v="107"/>
    <x v="0"/>
    <x v="0"/>
    <x v="0"/>
    <x v="2"/>
    <x v="0"/>
    <n v="52.666666666666664"/>
    <n v="39.597613747456471"/>
    <n v="1.6096154437106387"/>
    <b v="1"/>
  </r>
  <r>
    <n v="635"/>
    <x v="28"/>
    <x v="0"/>
    <x v="17"/>
    <x v="0"/>
    <x v="0"/>
    <x v="0"/>
    <n v="0.24"/>
    <n v="0.28789999999999999"/>
    <n v="0.6"/>
    <n v="0"/>
    <n v="9"/>
    <n v="82"/>
    <n v="91"/>
    <x v="0"/>
    <x v="0"/>
    <x v="0"/>
    <x v="3"/>
    <x v="0"/>
    <n v="51.416666666666664"/>
    <n v="38.258749117789662"/>
    <n v="0.64388739745222345"/>
    <b v="0"/>
  </r>
  <r>
    <n v="636"/>
    <x v="28"/>
    <x v="0"/>
    <x v="18"/>
    <x v="0"/>
    <x v="0"/>
    <x v="0"/>
    <n v="0.22"/>
    <n v="0.2273"/>
    <n v="0.69"/>
    <n v="0.1343"/>
    <n v="9"/>
    <n v="59"/>
    <n v="68"/>
    <x v="0"/>
    <x v="0"/>
    <x v="0"/>
    <x v="3"/>
    <x v="0"/>
    <n v="50.333333333333336"/>
    <n v="37.44870888430534"/>
    <n v="0.24919248615325912"/>
    <b v="0"/>
  </r>
  <r>
    <n v="637"/>
    <x v="28"/>
    <x v="0"/>
    <x v="19"/>
    <x v="0"/>
    <x v="0"/>
    <x v="1"/>
    <n v="0.22"/>
    <n v="0.21210000000000001"/>
    <n v="0.69"/>
    <n v="0.25369999999999998"/>
    <n v="6"/>
    <n v="52"/>
    <n v="58"/>
    <x v="1"/>
    <x v="0"/>
    <x v="0"/>
    <x v="3"/>
    <x v="0"/>
    <n v="49.791666666666664"/>
    <n v="37.275681741255418"/>
    <n v="-3.411025202312995E-2"/>
    <b v="0"/>
  </r>
  <r>
    <n v="638"/>
    <x v="28"/>
    <x v="0"/>
    <x v="20"/>
    <x v="0"/>
    <x v="0"/>
    <x v="0"/>
    <n v="0.18"/>
    <n v="0.21210000000000001"/>
    <n v="0.74"/>
    <n v="8.9599999999999999E-2"/>
    <n v="1"/>
    <n v="42"/>
    <n v="43"/>
    <x v="0"/>
    <x v="0"/>
    <x v="0"/>
    <x v="3"/>
    <x v="2"/>
    <n v="48.75"/>
    <n v="37.385477301266036"/>
    <n v="-0.48673486172895597"/>
    <b v="0"/>
  </r>
  <r>
    <n v="639"/>
    <x v="28"/>
    <x v="0"/>
    <x v="21"/>
    <x v="0"/>
    <x v="0"/>
    <x v="0"/>
    <n v="0.18"/>
    <n v="0.21210000000000001"/>
    <n v="0.74"/>
    <n v="8.9599999999999999E-2"/>
    <n v="1"/>
    <n v="35"/>
    <n v="36"/>
    <x v="0"/>
    <x v="0"/>
    <x v="0"/>
    <x v="0"/>
    <x v="2"/>
    <n v="48.125"/>
    <n v="37.610489401807556"/>
    <n v="-0.61673694934913947"/>
    <b v="0"/>
  </r>
  <r>
    <n v="640"/>
    <x v="28"/>
    <x v="0"/>
    <x v="22"/>
    <x v="0"/>
    <x v="0"/>
    <x v="0"/>
    <n v="0.16"/>
    <n v="0.19700000000000001"/>
    <n v="0.8"/>
    <n v="8.9599999999999999E-2"/>
    <n v="4"/>
    <n v="28"/>
    <n v="32"/>
    <x v="0"/>
    <x v="0"/>
    <x v="0"/>
    <x v="0"/>
    <x v="2"/>
    <n v="47.5"/>
    <n v="37.943894508007247"/>
    <n v="-0.77585141412216307"/>
    <b v="0"/>
  </r>
  <r>
    <n v="641"/>
    <x v="28"/>
    <x v="0"/>
    <x v="23"/>
    <x v="0"/>
    <x v="0"/>
    <x v="0"/>
    <n v="0.16"/>
    <n v="0.19700000000000001"/>
    <n v="0.8"/>
    <n v="8.9599999999999999E-2"/>
    <n v="3"/>
    <n v="30"/>
    <n v="33"/>
    <x v="0"/>
    <x v="0"/>
    <x v="0"/>
    <x v="0"/>
    <x v="2"/>
    <n v="47.041666666666664"/>
    <n v="38.204801845553014"/>
    <n v="-0.79163219785075811"/>
    <b v="0"/>
  </r>
  <r>
    <n v="642"/>
    <x v="29"/>
    <x v="0"/>
    <x v="0"/>
    <x v="0"/>
    <x v="1"/>
    <x v="0"/>
    <n v="0.16"/>
    <n v="0.18179999999999999"/>
    <n v="0.8"/>
    <n v="0.1045"/>
    <n v="0"/>
    <n v="33"/>
    <n v="33"/>
    <x v="0"/>
    <x v="1"/>
    <x v="0"/>
    <x v="0"/>
    <x v="2"/>
    <n v="45.958333333333336"/>
    <n v="38.981020093581847"/>
    <n v="-1.0513219882215277"/>
    <b v="0"/>
  </r>
  <r>
    <n v="643"/>
    <x v="29"/>
    <x v="0"/>
    <x v="1"/>
    <x v="0"/>
    <x v="1"/>
    <x v="0"/>
    <n v="0.14000000000000001"/>
    <n v="0.21210000000000001"/>
    <n v="0.8"/>
    <n v="0"/>
    <n v="7"/>
    <n v="22"/>
    <n v="29"/>
    <x v="0"/>
    <x v="1"/>
    <x v="0"/>
    <x v="0"/>
    <x v="2"/>
    <n v="44.875"/>
    <n v="39.711254017622942"/>
    <n v="-1.0530142897653691"/>
    <b v="1"/>
  </r>
  <r>
    <n v="644"/>
    <x v="29"/>
    <x v="0"/>
    <x v="2"/>
    <x v="0"/>
    <x v="1"/>
    <x v="0"/>
    <n v="0.16"/>
    <n v="0.2273"/>
    <n v="0.8"/>
    <n v="0"/>
    <n v="1"/>
    <n v="10"/>
    <n v="11"/>
    <x v="0"/>
    <x v="1"/>
    <x v="0"/>
    <x v="0"/>
    <x v="2"/>
    <n v="43.708333333333336"/>
    <n v="40.599292311958891"/>
    <n v="-1.1593719326292193"/>
    <b v="1"/>
  </r>
  <r>
    <n v="645"/>
    <x v="29"/>
    <x v="0"/>
    <x v="3"/>
    <x v="0"/>
    <x v="1"/>
    <x v="0"/>
    <n v="0.14000000000000001"/>
    <n v="0.21210000000000001"/>
    <n v="0.93"/>
    <n v="0"/>
    <n v="1"/>
    <n v="7"/>
    <n v="8"/>
    <x v="0"/>
    <x v="1"/>
    <x v="0"/>
    <x v="0"/>
    <x v="2"/>
    <n v="43.333333333333336"/>
    <n v="40.954552400421136"/>
    <n v="-1.1423603673530378"/>
    <b v="0"/>
  </r>
  <r>
    <n v="646"/>
    <x v="29"/>
    <x v="0"/>
    <x v="4"/>
    <x v="0"/>
    <x v="1"/>
    <x v="0"/>
    <n v="0.14000000000000001"/>
    <n v="0.21210000000000001"/>
    <n v="0.93"/>
    <n v="0"/>
    <n v="0"/>
    <n v="1"/>
    <n v="1"/>
    <x v="0"/>
    <x v="1"/>
    <x v="0"/>
    <x v="0"/>
    <x v="2"/>
    <n v="43.083333333333336"/>
    <n v="41.197210402253404"/>
    <n v="-1.1423603673530378"/>
    <b v="0"/>
  </r>
  <r>
    <n v="647"/>
    <x v="29"/>
    <x v="0"/>
    <x v="5"/>
    <x v="0"/>
    <x v="1"/>
    <x v="0"/>
    <n v="0.14000000000000001"/>
    <n v="0.21210000000000001"/>
    <n v="0.86"/>
    <n v="0"/>
    <n v="0"/>
    <n v="3"/>
    <n v="3"/>
    <x v="0"/>
    <x v="1"/>
    <x v="0"/>
    <x v="0"/>
    <x v="2"/>
    <n v="43.375"/>
    <n v="40.910094959132245"/>
    <n v="-1.0307377445155286"/>
    <b v="0"/>
  </r>
  <r>
    <n v="648"/>
    <x v="29"/>
    <x v="0"/>
    <x v="7"/>
    <x v="0"/>
    <x v="1"/>
    <x v="0"/>
    <n v="0.14000000000000001"/>
    <n v="0.21210000000000001"/>
    <n v="0.86"/>
    <n v="0"/>
    <n v="0"/>
    <n v="3"/>
    <n v="3"/>
    <x v="0"/>
    <x v="1"/>
    <x v="0"/>
    <x v="1"/>
    <x v="2"/>
    <n v="44.791666666666664"/>
    <n v="40.030400585236379"/>
    <n v="-0.49851867170155945"/>
    <b v="0"/>
  </r>
  <r>
    <n v="649"/>
    <x v="29"/>
    <x v="0"/>
    <x v="8"/>
    <x v="0"/>
    <x v="1"/>
    <x v="1"/>
    <n v="0.14000000000000001"/>
    <n v="0.21210000000000001"/>
    <n v="0.86"/>
    <n v="0"/>
    <n v="1"/>
    <n v="11"/>
    <n v="12"/>
    <x v="1"/>
    <x v="1"/>
    <x v="0"/>
    <x v="1"/>
    <x v="2"/>
    <n v="47.666666666666664"/>
    <n v="39.370775595795578"/>
    <n v="0.1591930277749232"/>
    <b v="0"/>
  </r>
  <r>
    <n v="650"/>
    <x v="29"/>
    <x v="0"/>
    <x v="9"/>
    <x v="0"/>
    <x v="1"/>
    <x v="1"/>
    <n v="0.16"/>
    <n v="0.2273"/>
    <n v="0.8"/>
    <n v="0"/>
    <n v="4"/>
    <n v="34"/>
    <n v="38"/>
    <x v="1"/>
    <x v="1"/>
    <x v="0"/>
    <x v="1"/>
    <x v="2"/>
    <n v="54.875"/>
    <n v="47.545230181832949"/>
    <n v="2.1946313861914999"/>
    <b v="0"/>
  </r>
  <r>
    <n v="651"/>
    <x v="29"/>
    <x v="0"/>
    <x v="10"/>
    <x v="0"/>
    <x v="1"/>
    <x v="1"/>
    <n v="0.18"/>
    <n v="0.2424"/>
    <n v="0.8"/>
    <n v="0"/>
    <n v="7"/>
    <n v="57"/>
    <n v="64"/>
    <x v="1"/>
    <x v="1"/>
    <x v="0"/>
    <x v="1"/>
    <x v="2"/>
    <n v="57.958333333333336"/>
    <n v="48.786561911948716"/>
    <n v="0.98877730737706204"/>
    <b v="0"/>
  </r>
  <r>
    <n v="652"/>
    <x v="29"/>
    <x v="0"/>
    <x v="11"/>
    <x v="0"/>
    <x v="1"/>
    <x v="0"/>
    <n v="0.22"/>
    <n v="0.2727"/>
    <n v="0.75"/>
    <n v="0"/>
    <n v="9"/>
    <n v="50"/>
    <n v="59"/>
    <x v="0"/>
    <x v="1"/>
    <x v="0"/>
    <x v="1"/>
    <x v="0"/>
    <n v="58.166666666666664"/>
    <n v="48.82414465660689"/>
    <n v="0.17158625455190052"/>
    <b v="0"/>
  </r>
  <r>
    <n v="653"/>
    <x v="29"/>
    <x v="0"/>
    <x v="12"/>
    <x v="0"/>
    <x v="1"/>
    <x v="0"/>
    <n v="0.3"/>
    <n v="0.31819999999999998"/>
    <n v="0.52"/>
    <n v="0.1045"/>
    <n v="10"/>
    <n v="87"/>
    <n v="97"/>
    <x v="0"/>
    <x v="1"/>
    <x v="0"/>
    <x v="2"/>
    <x v="1"/>
    <n v="57.708333333333336"/>
    <n v="48.867593215408782"/>
    <n v="-0.24954832844771155"/>
    <b v="0"/>
  </r>
  <r>
    <n v="654"/>
    <x v="29"/>
    <x v="0"/>
    <x v="13"/>
    <x v="0"/>
    <x v="1"/>
    <x v="0"/>
    <n v="0.28000000000000003"/>
    <n v="0.28789999999999999"/>
    <n v="0.61"/>
    <n v="0.1045"/>
    <n v="13"/>
    <n v="71"/>
    <n v="84"/>
    <x v="0"/>
    <x v="1"/>
    <x v="0"/>
    <x v="2"/>
    <x v="0"/>
    <n v="56.5"/>
    <n v="48.207883172775801"/>
    <n v="0.16048286734565942"/>
    <b v="0"/>
  </r>
  <r>
    <n v="655"/>
    <x v="29"/>
    <x v="0"/>
    <x v="14"/>
    <x v="0"/>
    <x v="1"/>
    <x v="0"/>
    <n v="0.28000000000000003"/>
    <n v="0.30299999999999999"/>
    <n v="0.61"/>
    <n v="8.9599999999999999E-2"/>
    <n v="18"/>
    <n v="104"/>
    <n v="122"/>
    <x v="0"/>
    <x v="1"/>
    <x v="0"/>
    <x v="2"/>
    <x v="0"/>
    <n v="55.25"/>
    <n v="47.851445846131099"/>
    <n v="-0.11711059076503867"/>
    <b v="0"/>
  </r>
  <r>
    <n v="656"/>
    <x v="29"/>
    <x v="0"/>
    <x v="15"/>
    <x v="0"/>
    <x v="1"/>
    <x v="0"/>
    <n v="0.3"/>
    <n v="0.33329999999999999"/>
    <n v="0.56000000000000005"/>
    <n v="0"/>
    <n v="14"/>
    <n v="95"/>
    <n v="109"/>
    <x v="0"/>
    <x v="1"/>
    <x v="0"/>
    <x v="2"/>
    <x v="1"/>
    <n v="53.75"/>
    <n v="46.203942990031564"/>
    <n v="0.5491185478094035"/>
    <b v="0"/>
  </r>
  <r>
    <n v="657"/>
    <x v="29"/>
    <x v="0"/>
    <x v="16"/>
    <x v="0"/>
    <x v="1"/>
    <x v="0"/>
    <n v="0.3"/>
    <n v="0.33329999999999999"/>
    <n v="0.56000000000000005"/>
    <n v="0"/>
    <n v="19"/>
    <n v="104"/>
    <n v="123"/>
    <x v="0"/>
    <x v="1"/>
    <x v="0"/>
    <x v="2"/>
    <x v="1"/>
    <n v="51.041666666666664"/>
    <n v="44.705295053238395"/>
    <n v="-0.29774266006211481"/>
    <b v="1"/>
  </r>
  <r>
    <n v="658"/>
    <x v="29"/>
    <x v="0"/>
    <x v="17"/>
    <x v="0"/>
    <x v="1"/>
    <x v="0"/>
    <n v="0.3"/>
    <n v="0.28789999999999999"/>
    <n v="0.56000000000000005"/>
    <n v="0.19400000000000001"/>
    <n v="6"/>
    <n v="71"/>
    <n v="77"/>
    <x v="0"/>
    <x v="1"/>
    <x v="0"/>
    <x v="3"/>
    <x v="1"/>
    <n v="49.5"/>
    <n v="42.709331024048353"/>
    <n v="0.56592557559080081"/>
    <b v="0"/>
  </r>
  <r>
    <n v="659"/>
    <x v="29"/>
    <x v="0"/>
    <x v="18"/>
    <x v="0"/>
    <x v="1"/>
    <x v="0"/>
    <n v="0.26"/>
    <n v="0.2576"/>
    <n v="0.65"/>
    <n v="0.16420000000000001"/>
    <n v="8"/>
    <n v="57"/>
    <n v="65"/>
    <x v="0"/>
    <x v="1"/>
    <x v="0"/>
    <x v="3"/>
    <x v="0"/>
    <n v="53"/>
    <n v="48.155545077790684"/>
    <n v="1.8501408414424596"/>
    <b v="0"/>
  </r>
  <r>
    <n v="660"/>
    <x v="29"/>
    <x v="0"/>
    <x v="19"/>
    <x v="0"/>
    <x v="1"/>
    <x v="0"/>
    <n v="0.26"/>
    <n v="0.2576"/>
    <n v="0.65"/>
    <n v="0.19400000000000001"/>
    <n v="9"/>
    <n v="46"/>
    <n v="55"/>
    <x v="0"/>
    <x v="1"/>
    <x v="0"/>
    <x v="3"/>
    <x v="0"/>
    <n v="56.791666666666664"/>
    <n v="52.525752827969328"/>
    <n v="1.731558887373192"/>
    <b v="0"/>
  </r>
  <r>
    <n v="661"/>
    <x v="29"/>
    <x v="0"/>
    <x v="20"/>
    <x v="0"/>
    <x v="1"/>
    <x v="1"/>
    <n v="0.26"/>
    <n v="0.2727"/>
    <n v="0.65"/>
    <n v="0.1045"/>
    <n v="3"/>
    <n v="30"/>
    <n v="33"/>
    <x v="1"/>
    <x v="1"/>
    <x v="0"/>
    <x v="3"/>
    <x v="0"/>
    <n v="59.125"/>
    <n v="53.673985683293864"/>
    <n v="0.98128064971390461"/>
    <b v="0"/>
  </r>
  <r>
    <n v="662"/>
    <x v="29"/>
    <x v="0"/>
    <x v="21"/>
    <x v="0"/>
    <x v="1"/>
    <x v="1"/>
    <n v="0.24"/>
    <n v="0.2424"/>
    <n v="0.7"/>
    <n v="0.16420000000000001"/>
    <n v="3"/>
    <n v="25"/>
    <n v="28"/>
    <x v="1"/>
    <x v="1"/>
    <x v="0"/>
    <x v="0"/>
    <x v="0"/>
    <n v="61"/>
    <n v="53.507415170804776"/>
    <n v="0.37034735360466625"/>
    <b v="0"/>
  </r>
  <r>
    <n v="663"/>
    <x v="29"/>
    <x v="0"/>
    <x v="22"/>
    <x v="0"/>
    <x v="1"/>
    <x v="1"/>
    <n v="0.24"/>
    <n v="0.2273"/>
    <n v="0.7"/>
    <n v="0.19400000000000001"/>
    <n v="2"/>
    <n v="19"/>
    <n v="21"/>
    <x v="1"/>
    <x v="1"/>
    <x v="0"/>
    <x v="0"/>
    <x v="0"/>
    <n v="62.166666666666664"/>
    <n v="53.059987927256252"/>
    <n v="-5.9527535433098001E-2"/>
    <b v="0"/>
  </r>
  <r>
    <n v="664"/>
    <x v="29"/>
    <x v="0"/>
    <x v="23"/>
    <x v="0"/>
    <x v="1"/>
    <x v="1"/>
    <n v="0.24"/>
    <n v="0.21210000000000001"/>
    <n v="0.65"/>
    <n v="0.28360000000000002"/>
    <n v="5"/>
    <n v="16"/>
    <n v="21"/>
    <x v="1"/>
    <x v="1"/>
    <x v="0"/>
    <x v="0"/>
    <x v="0"/>
    <n v="62.708333333333336"/>
    <n v="52.686504473377127"/>
    <n v="-0.48331338640544952"/>
    <b v="0"/>
  </r>
  <r>
    <n v="665"/>
    <x v="30"/>
    <x v="0"/>
    <x v="0"/>
    <x v="0"/>
    <x v="2"/>
    <x v="1"/>
    <n v="0.24"/>
    <n v="0.2273"/>
    <n v="0.65"/>
    <n v="0.22389999999999999"/>
    <n v="1"/>
    <n v="6"/>
    <n v="7"/>
    <x v="1"/>
    <x v="2"/>
    <x v="1"/>
    <x v="0"/>
    <x v="0"/>
    <n v="62.541666666666664"/>
    <n v="52.830310113292605"/>
    <n v="-0.80066691988030536"/>
    <b v="0"/>
  </r>
  <r>
    <n v="666"/>
    <x v="30"/>
    <x v="0"/>
    <x v="1"/>
    <x v="0"/>
    <x v="2"/>
    <x v="0"/>
    <n v="0.22"/>
    <n v="0.21210000000000001"/>
    <n v="0.64"/>
    <n v="0.25369999999999998"/>
    <n v="2"/>
    <n v="5"/>
    <n v="7"/>
    <x v="0"/>
    <x v="2"/>
    <x v="1"/>
    <x v="0"/>
    <x v="0"/>
    <n v="62.583333333333336"/>
    <n v="52.784975354625352"/>
    <n v="-0.95516811597361495"/>
    <b v="1"/>
  </r>
  <r>
    <n v="667"/>
    <x v="30"/>
    <x v="0"/>
    <x v="2"/>
    <x v="0"/>
    <x v="2"/>
    <x v="0"/>
    <n v="0.22"/>
    <n v="0.2273"/>
    <n v="0.64"/>
    <n v="0.19400000000000001"/>
    <n v="0"/>
    <n v="1"/>
    <n v="1"/>
    <x v="0"/>
    <x v="2"/>
    <x v="1"/>
    <x v="0"/>
    <x v="0"/>
    <n v="62.416666666666664"/>
    <n v="52.974084448798223"/>
    <n v="-1.0446028775793583"/>
    <b v="1"/>
  </r>
  <r>
    <n v="668"/>
    <x v="30"/>
    <x v="0"/>
    <x v="3"/>
    <x v="0"/>
    <x v="2"/>
    <x v="0"/>
    <n v="0.22"/>
    <n v="0.2273"/>
    <n v="0.64"/>
    <n v="0.19400000000000001"/>
    <n v="0"/>
    <n v="2"/>
    <n v="2"/>
    <x v="0"/>
    <x v="2"/>
    <x v="1"/>
    <x v="0"/>
    <x v="0"/>
    <n v="62.458333333333336"/>
    <n v="52.92404661536122"/>
    <n v="-1.065862310283147"/>
    <b v="0"/>
  </r>
  <r>
    <n v="669"/>
    <x v="30"/>
    <x v="0"/>
    <x v="4"/>
    <x v="0"/>
    <x v="2"/>
    <x v="0"/>
    <n v="0.2"/>
    <n v="0.19700000000000001"/>
    <n v="0.59"/>
    <n v="0.22389999999999999"/>
    <n v="0"/>
    <n v="2"/>
    <n v="2"/>
    <x v="0"/>
    <x v="2"/>
    <x v="1"/>
    <x v="0"/>
    <x v="0"/>
    <n v="62.458333333333336"/>
    <n v="52.92404661536122"/>
    <n v="-1.0640777504253698"/>
    <b v="0"/>
  </r>
  <r>
    <n v="670"/>
    <x v="30"/>
    <x v="0"/>
    <x v="5"/>
    <x v="0"/>
    <x v="2"/>
    <x v="0"/>
    <n v="0.18"/>
    <n v="0.16669999999999999"/>
    <n v="0.64"/>
    <n v="0.28360000000000002"/>
    <n v="0"/>
    <n v="8"/>
    <n v="8"/>
    <x v="0"/>
    <x v="2"/>
    <x v="1"/>
    <x v="0"/>
    <x v="2"/>
    <n v="62.5"/>
    <n v="52.87474945978262"/>
    <n v="-1.0428063462695967"/>
    <b v="0"/>
  </r>
  <r>
    <n v="671"/>
    <x v="30"/>
    <x v="0"/>
    <x v="6"/>
    <x v="0"/>
    <x v="2"/>
    <x v="0"/>
    <n v="0.16"/>
    <n v="0.13639999999999999"/>
    <n v="0.69"/>
    <n v="0.32840000000000003"/>
    <n v="0"/>
    <n v="37"/>
    <n v="37"/>
    <x v="0"/>
    <x v="2"/>
    <x v="1"/>
    <x v="1"/>
    <x v="2"/>
    <n v="63.083333333333336"/>
    <n v="52.321677830651538"/>
    <n v="-0.67246390553833801"/>
    <b v="0"/>
  </r>
  <r>
    <n v="672"/>
    <x v="30"/>
    <x v="0"/>
    <x v="7"/>
    <x v="0"/>
    <x v="2"/>
    <x v="1"/>
    <n v="0.16"/>
    <n v="0.13639999999999999"/>
    <n v="0.64"/>
    <n v="0.28360000000000002"/>
    <n v="1"/>
    <n v="71"/>
    <n v="72"/>
    <x v="1"/>
    <x v="2"/>
    <x v="1"/>
    <x v="1"/>
    <x v="2"/>
    <n v="63.708333333333336"/>
    <n v="52.085614442800399"/>
    <n v="-8.426155842958935E-2"/>
    <b v="0"/>
  </r>
  <r>
    <n v="673"/>
    <x v="30"/>
    <x v="0"/>
    <x v="8"/>
    <x v="0"/>
    <x v="2"/>
    <x v="1"/>
    <n v="0.16"/>
    <n v="0.13639999999999999"/>
    <n v="0.59"/>
    <n v="0.28360000000000002"/>
    <n v="3"/>
    <n v="182"/>
    <n v="185"/>
    <x v="1"/>
    <x v="2"/>
    <x v="1"/>
    <x v="1"/>
    <x v="2"/>
    <n v="66.333333333333329"/>
    <n v="54.071343102678114"/>
    <n v="1.5316661282496766"/>
    <b v="0"/>
  </r>
  <r>
    <n v="674"/>
    <x v="30"/>
    <x v="0"/>
    <x v="9"/>
    <x v="0"/>
    <x v="2"/>
    <x v="1"/>
    <n v="0.16"/>
    <n v="0.13639999999999999"/>
    <n v="0.59"/>
    <n v="0.29849999999999999"/>
    <n v="0"/>
    <n v="112"/>
    <n v="112"/>
    <x v="1"/>
    <x v="2"/>
    <x v="1"/>
    <x v="1"/>
    <x v="2"/>
    <n v="63.458333333333336"/>
    <n v="49.09261802885986"/>
    <n v="1.1142167806276011"/>
    <b v="0"/>
  </r>
  <r>
    <n v="675"/>
    <x v="30"/>
    <x v="0"/>
    <x v="10"/>
    <x v="0"/>
    <x v="2"/>
    <x v="1"/>
    <n v="0.16"/>
    <n v="0.1515"/>
    <n v="0.59"/>
    <n v="0.19400000000000001"/>
    <n v="1"/>
    <n v="68"/>
    <n v="69"/>
    <x v="1"/>
    <x v="2"/>
    <x v="1"/>
    <x v="1"/>
    <x v="2"/>
    <n v="60.75"/>
    <n v="48.080774427677611"/>
    <n v="-0.19397381836424601"/>
    <b v="0"/>
  </r>
  <r>
    <n v="676"/>
    <x v="30"/>
    <x v="0"/>
    <x v="11"/>
    <x v="0"/>
    <x v="2"/>
    <x v="1"/>
    <n v="0.16"/>
    <n v="0.1515"/>
    <n v="0.59"/>
    <n v="0.19400000000000001"/>
    <n v="2"/>
    <n v="46"/>
    <n v="48"/>
    <x v="1"/>
    <x v="2"/>
    <x v="1"/>
    <x v="1"/>
    <x v="2"/>
    <n v="60"/>
    <n v="48.086877899141641"/>
    <n v="-0.12993838336782507"/>
    <b v="0"/>
  </r>
  <r>
    <n v="677"/>
    <x v="30"/>
    <x v="0"/>
    <x v="12"/>
    <x v="0"/>
    <x v="2"/>
    <x v="1"/>
    <n v="0.18"/>
    <n v="0.21210000000000001"/>
    <n v="0.55000000000000004"/>
    <n v="0.1045"/>
    <n v="6"/>
    <n v="62"/>
    <n v="68"/>
    <x v="1"/>
    <x v="2"/>
    <x v="1"/>
    <x v="2"/>
    <x v="2"/>
    <n v="60.291666666666664"/>
    <n v="48.032126175379076"/>
    <n v="-5.5581546173521248E-2"/>
    <b v="0"/>
  </r>
  <r>
    <n v="678"/>
    <x v="30"/>
    <x v="0"/>
    <x v="13"/>
    <x v="0"/>
    <x v="2"/>
    <x v="1"/>
    <n v="0.16"/>
    <n v="0.2273"/>
    <n v="0.59"/>
    <n v="0"/>
    <n v="2"/>
    <n v="52"/>
    <n v="54"/>
    <x v="1"/>
    <x v="2"/>
    <x v="1"/>
    <x v="2"/>
    <x v="2"/>
    <n v="59.625"/>
    <n v="48.031522710747403"/>
    <n v="-0.11896922821783519"/>
    <b v="0"/>
  </r>
  <r>
    <n v="679"/>
    <x v="30"/>
    <x v="0"/>
    <x v="14"/>
    <x v="0"/>
    <x v="2"/>
    <x v="1"/>
    <n v="0.18"/>
    <n v="0.19700000000000001"/>
    <n v="0.55000000000000004"/>
    <n v="0.1343"/>
    <n v="1"/>
    <n v="85"/>
    <n v="86"/>
    <x v="1"/>
    <x v="2"/>
    <x v="1"/>
    <x v="2"/>
    <x v="2"/>
    <n v="59.625"/>
    <n v="48.031522710747403"/>
    <n v="-9.9237913042872689E-2"/>
    <b v="0"/>
  </r>
  <r>
    <n v="680"/>
    <x v="30"/>
    <x v="0"/>
    <x v="15"/>
    <x v="0"/>
    <x v="2"/>
    <x v="1"/>
    <n v="0.16"/>
    <n v="0.18179999999999999"/>
    <n v="0.59"/>
    <n v="0.1343"/>
    <n v="3"/>
    <n v="41"/>
    <n v="44"/>
    <x v="1"/>
    <x v="2"/>
    <x v="1"/>
    <x v="2"/>
    <x v="2"/>
    <n v="58.208333333333336"/>
    <n v="47.720180005005687"/>
    <n v="-0.14379714232073312"/>
    <b v="0"/>
  </r>
  <r>
    <n v="681"/>
    <x v="30"/>
    <x v="0"/>
    <x v="16"/>
    <x v="0"/>
    <x v="2"/>
    <x v="1"/>
    <n v="0.16"/>
    <n v="0.18179999999999999"/>
    <n v="0.56000000000000005"/>
    <n v="0.19400000000000001"/>
    <n v="3"/>
    <n v="83"/>
    <n v="86"/>
    <x v="1"/>
    <x v="2"/>
    <x v="1"/>
    <x v="2"/>
    <x v="2"/>
    <n v="59.041666666666664"/>
    <n v="47.635827918167593"/>
    <n v="6.2432704801575367E-2"/>
    <b v="0"/>
  </r>
  <r>
    <n v="682"/>
    <x v="30"/>
    <x v="0"/>
    <x v="17"/>
    <x v="0"/>
    <x v="2"/>
    <x v="1"/>
    <n v="0.16"/>
    <n v="0.1515"/>
    <n v="0.59"/>
    <n v="0.19400000000000001"/>
    <n v="6"/>
    <n v="155"/>
    <n v="161"/>
    <x v="1"/>
    <x v="2"/>
    <x v="1"/>
    <x v="3"/>
    <x v="2"/>
    <n v="62.791666666666664"/>
    <n v="53.081544460564075"/>
    <n v="2.1023747288125869"/>
    <b v="0"/>
  </r>
  <r>
    <n v="683"/>
    <x v="30"/>
    <x v="0"/>
    <x v="18"/>
    <x v="0"/>
    <x v="2"/>
    <x v="1"/>
    <n v="0.16"/>
    <n v="0.1515"/>
    <n v="0.55000000000000004"/>
    <n v="0.22389999999999999"/>
    <n v="3"/>
    <n v="153"/>
    <n v="156"/>
    <x v="1"/>
    <x v="2"/>
    <x v="1"/>
    <x v="3"/>
    <x v="2"/>
    <n v="63.083333333333336"/>
    <n v="53.660702702189369"/>
    <n v="1.8967311460491838"/>
    <b v="0"/>
  </r>
  <r>
    <n v="684"/>
    <x v="30"/>
    <x v="0"/>
    <x v="19"/>
    <x v="0"/>
    <x v="2"/>
    <x v="0"/>
    <n v="0.3"/>
    <n v="0.31819999999999998"/>
    <n v="0.61"/>
    <n v="0.1045"/>
    <n v="3"/>
    <n v="108"/>
    <n v="111"/>
    <x v="0"/>
    <x v="2"/>
    <x v="1"/>
    <x v="3"/>
    <x v="1"/>
    <n v="61.083333333333336"/>
    <n v="50.868899413455289"/>
    <n v="0.78641068621752674"/>
    <b v="0"/>
  </r>
  <r>
    <n v="685"/>
    <x v="30"/>
    <x v="0"/>
    <x v="20"/>
    <x v="0"/>
    <x v="2"/>
    <x v="2"/>
    <n v="0.16"/>
    <n v="0.16669999999999999"/>
    <n v="0.59"/>
    <n v="0.16420000000000001"/>
    <n v="0"/>
    <n v="78"/>
    <n v="78"/>
    <x v="2"/>
    <x v="2"/>
    <x v="1"/>
    <x v="3"/>
    <x v="2"/>
    <n v="59.541666666666664"/>
    <n v="49.840597357250203"/>
    <n v="0.2003125723535889"/>
    <b v="0"/>
  </r>
  <r>
    <n v="686"/>
    <x v="30"/>
    <x v="0"/>
    <x v="21"/>
    <x v="0"/>
    <x v="2"/>
    <x v="2"/>
    <n v="0.16"/>
    <n v="0.19700000000000001"/>
    <n v="0.59"/>
    <n v="8.9599999999999999E-2"/>
    <n v="3"/>
    <n v="53"/>
    <n v="56"/>
    <x v="2"/>
    <x v="2"/>
    <x v="1"/>
    <x v="0"/>
    <x v="2"/>
    <n v="58.958333333333336"/>
    <n v="49.696889209501322"/>
    <n v="2.1511576401952337E-2"/>
    <b v="0"/>
  </r>
  <r>
    <n v="687"/>
    <x v="30"/>
    <x v="0"/>
    <x v="22"/>
    <x v="0"/>
    <x v="2"/>
    <x v="1"/>
    <n v="0.16"/>
    <n v="0.18179999999999999"/>
    <n v="0.59"/>
    <n v="0.1045"/>
    <n v="0"/>
    <n v="34"/>
    <n v="34"/>
    <x v="1"/>
    <x v="2"/>
    <x v="1"/>
    <x v="0"/>
    <x v="2"/>
    <n v="58.125"/>
    <n v="49.915853106045859"/>
    <n v="-0.47622657987134143"/>
    <b v="0"/>
  </r>
  <r>
    <n v="688"/>
    <x v="30"/>
    <x v="0"/>
    <x v="23"/>
    <x v="0"/>
    <x v="2"/>
    <x v="1"/>
    <n v="0.16"/>
    <n v="0.19700000000000001"/>
    <n v="0.64"/>
    <n v="8.9599999999999999E-2"/>
    <n v="2"/>
    <n v="15"/>
    <n v="17"/>
    <x v="1"/>
    <x v="2"/>
    <x v="1"/>
    <x v="0"/>
    <x v="2"/>
    <n v="57.375"/>
    <n v="50.426711779269972"/>
    <n v="-0.83639664211600195"/>
    <b v="0"/>
  </r>
  <r>
    <n v="689"/>
    <x v="31"/>
    <x v="1"/>
    <x v="0"/>
    <x v="0"/>
    <x v="3"/>
    <x v="1"/>
    <n v="0.16"/>
    <n v="0.18179999999999999"/>
    <n v="0.64"/>
    <n v="0.1045"/>
    <n v="2"/>
    <n v="6"/>
    <n v="8"/>
    <x v="1"/>
    <x v="3"/>
    <x v="1"/>
    <x v="0"/>
    <x v="2"/>
    <n v="56.75"/>
    <n v="51.03813578440954"/>
    <n v="-1.1075161440667092"/>
    <b v="0"/>
  </r>
  <r>
    <n v="690"/>
    <x v="31"/>
    <x v="1"/>
    <x v="1"/>
    <x v="0"/>
    <x v="3"/>
    <x v="1"/>
    <n v="0.16"/>
    <n v="0.18179999999999999"/>
    <n v="0.69"/>
    <n v="0.1045"/>
    <n v="0"/>
    <n v="3"/>
    <n v="3"/>
    <x v="1"/>
    <x v="3"/>
    <x v="1"/>
    <x v="0"/>
    <x v="2"/>
    <n v="56.541666666666664"/>
    <n v="51.255522855477786"/>
    <n v="-1.1058926967480542"/>
    <b v="1"/>
  </r>
  <r>
    <n v="691"/>
    <x v="31"/>
    <x v="1"/>
    <x v="2"/>
    <x v="0"/>
    <x v="3"/>
    <x v="1"/>
    <n v="0.16"/>
    <n v="0.2273"/>
    <n v="0.69"/>
    <n v="0"/>
    <n v="0"/>
    <n v="2"/>
    <n v="2"/>
    <x v="1"/>
    <x v="3"/>
    <x v="1"/>
    <x v="0"/>
    <x v="2"/>
    <n v="56.583333333333336"/>
    <n v="51.2104920182732"/>
    <n v="-1.0911481270785433"/>
    <b v="1"/>
  </r>
  <r>
    <n v="692"/>
    <x v="31"/>
    <x v="1"/>
    <x v="3"/>
    <x v="0"/>
    <x v="3"/>
    <x v="1"/>
    <n v="0.16"/>
    <n v="0.2273"/>
    <n v="0.69"/>
    <n v="0"/>
    <n v="0"/>
    <n v="2"/>
    <n v="2"/>
    <x v="1"/>
    <x v="3"/>
    <x v="1"/>
    <x v="0"/>
    <x v="2"/>
    <n v="56.541666666666664"/>
    <n v="51.257219357197712"/>
    <n v="-1.1421188319314524"/>
    <b v="0"/>
  </r>
  <r>
    <n v="693"/>
    <x v="31"/>
    <x v="1"/>
    <x v="5"/>
    <x v="0"/>
    <x v="3"/>
    <x v="2"/>
    <n v="0.14000000000000001"/>
    <n v="0.21210000000000001"/>
    <n v="0.93"/>
    <n v="0"/>
    <n v="0"/>
    <n v="3"/>
    <n v="3"/>
    <x v="2"/>
    <x v="3"/>
    <x v="1"/>
    <x v="0"/>
    <x v="2"/>
    <n v="56.5"/>
    <n v="51.303868826061638"/>
    <n v="-1.1421188319314524"/>
    <b v="0"/>
  </r>
  <r>
    <n v="694"/>
    <x v="31"/>
    <x v="1"/>
    <x v="6"/>
    <x v="0"/>
    <x v="3"/>
    <x v="2"/>
    <n v="0.14000000000000001"/>
    <n v="0.21210000000000001"/>
    <n v="0.93"/>
    <n v="0"/>
    <n v="0"/>
    <n v="22"/>
    <n v="22"/>
    <x v="2"/>
    <x v="3"/>
    <x v="1"/>
    <x v="1"/>
    <x v="2"/>
    <n v="56.5"/>
    <n v="51.303868826061638"/>
    <n v="-1.1076064216359631"/>
    <b v="0"/>
  </r>
  <r>
    <n v="695"/>
    <x v="31"/>
    <x v="1"/>
    <x v="7"/>
    <x v="0"/>
    <x v="3"/>
    <x v="2"/>
    <n v="0.16"/>
    <n v="0.2273"/>
    <n v="0.93"/>
    <n v="0"/>
    <n v="0"/>
    <n v="52"/>
    <n v="52"/>
    <x v="2"/>
    <x v="3"/>
    <x v="1"/>
    <x v="1"/>
    <x v="2"/>
    <n v="56.333333333333336"/>
    <n v="51.427168142805662"/>
    <n v="-0.88280039226623519"/>
    <b v="0"/>
  </r>
  <r>
    <n v="696"/>
    <x v="31"/>
    <x v="1"/>
    <x v="8"/>
    <x v="0"/>
    <x v="3"/>
    <x v="2"/>
    <n v="0.16"/>
    <n v="0.2273"/>
    <n v="0.93"/>
    <n v="0"/>
    <n v="3"/>
    <n v="132"/>
    <n v="135"/>
    <x v="2"/>
    <x v="3"/>
    <x v="1"/>
    <x v="1"/>
    <x v="2"/>
    <n v="56.208333333333336"/>
    <n v="51.441802631430157"/>
    <n v="-0.36607230650873679"/>
    <b v="0"/>
  </r>
  <r>
    <n v="697"/>
    <x v="31"/>
    <x v="1"/>
    <x v="9"/>
    <x v="0"/>
    <x v="3"/>
    <x v="1"/>
    <n v="0.16"/>
    <n v="0.2273"/>
    <n v="0.93"/>
    <n v="0"/>
    <n v="2"/>
    <n v="114"/>
    <n v="116"/>
    <x v="1"/>
    <x v="3"/>
    <x v="1"/>
    <x v="1"/>
    <x v="2"/>
    <n v="57.041666666666664"/>
    <n v="52.914598270656157"/>
    <n v="1.3889091121506736"/>
    <b v="0"/>
  </r>
  <r>
    <n v="698"/>
    <x v="31"/>
    <x v="1"/>
    <x v="10"/>
    <x v="0"/>
    <x v="3"/>
    <x v="1"/>
    <n v="0.16"/>
    <n v="0.2273"/>
    <n v="0.93"/>
    <n v="0"/>
    <n v="0"/>
    <n v="47"/>
    <n v="47"/>
    <x v="1"/>
    <x v="3"/>
    <x v="1"/>
    <x v="1"/>
    <x v="2"/>
    <n v="57.333333333333336"/>
    <n v="53.271794206418605"/>
    <n v="0.87204125812004463"/>
    <b v="0"/>
  </r>
  <r>
    <n v="699"/>
    <x v="31"/>
    <x v="1"/>
    <x v="11"/>
    <x v="0"/>
    <x v="3"/>
    <x v="1"/>
    <n v="0.18"/>
    <n v="0.2424"/>
    <n v="0.86"/>
    <n v="0"/>
    <n v="2"/>
    <n v="49"/>
    <n v="51"/>
    <x v="1"/>
    <x v="3"/>
    <x v="1"/>
    <x v="1"/>
    <x v="2"/>
    <n v="57.916666666666664"/>
    <n v="53.230358015823576"/>
    <n v="-0.16623241637485586"/>
    <b v="0"/>
  </r>
  <r>
    <n v="700"/>
    <x v="31"/>
    <x v="1"/>
    <x v="12"/>
    <x v="0"/>
    <x v="3"/>
    <x v="1"/>
    <n v="0.2"/>
    <n v="0.2576"/>
    <n v="0.86"/>
    <n v="0"/>
    <n v="2"/>
    <n v="53"/>
    <n v="55"/>
    <x v="1"/>
    <x v="3"/>
    <x v="1"/>
    <x v="2"/>
    <x v="0"/>
    <n v="57.958333333333336"/>
    <n v="53.225099641842455"/>
    <n v="-0.32886174446366145"/>
    <b v="0"/>
  </r>
  <r>
    <n v="701"/>
    <x v="31"/>
    <x v="1"/>
    <x v="13"/>
    <x v="0"/>
    <x v="3"/>
    <x v="1"/>
    <n v="0.2"/>
    <n v="0.2576"/>
    <n v="0.86"/>
    <n v="0"/>
    <n v="3"/>
    <n v="49"/>
    <n v="52"/>
    <x v="1"/>
    <x v="3"/>
    <x v="1"/>
    <x v="2"/>
    <x v="0"/>
    <n v="58.333333333333336"/>
    <n v="53.23505437672393"/>
    <n v="-0.12799452877595424"/>
    <b v="0"/>
  </r>
  <r>
    <n v="702"/>
    <x v="31"/>
    <x v="1"/>
    <x v="14"/>
    <x v="0"/>
    <x v="3"/>
    <x v="1"/>
    <n v="0.22"/>
    <n v="0.2576"/>
    <n v="0.8"/>
    <n v="8.9599999999999999E-2"/>
    <n v="5"/>
    <n v="49"/>
    <n v="54"/>
    <x v="1"/>
    <x v="3"/>
    <x v="1"/>
    <x v="2"/>
    <x v="0"/>
    <n v="59.291666666666664"/>
    <n v="53.323034558179017"/>
    <n v="7.7948169678257531E-2"/>
    <b v="0"/>
  </r>
  <r>
    <n v="703"/>
    <x v="31"/>
    <x v="1"/>
    <x v="15"/>
    <x v="0"/>
    <x v="3"/>
    <x v="1"/>
    <n v="0.24"/>
    <n v="0.28789999999999999"/>
    <n v="0.75"/>
    <n v="0"/>
    <n v="7"/>
    <n v="45"/>
    <n v="52"/>
    <x v="1"/>
    <x v="3"/>
    <x v="1"/>
    <x v="2"/>
    <x v="0"/>
    <n v="59.666666666666664"/>
    <n v="53.315848583183289"/>
    <n v="-0.11466638825897142"/>
    <b v="0"/>
  </r>
  <r>
    <n v="704"/>
    <x v="31"/>
    <x v="1"/>
    <x v="16"/>
    <x v="0"/>
    <x v="3"/>
    <x v="1"/>
    <n v="0.24"/>
    <n v="0.2424"/>
    <n v="0.75"/>
    <n v="0.1343"/>
    <n v="3"/>
    <n v="61"/>
    <n v="64"/>
    <x v="1"/>
    <x v="3"/>
    <x v="1"/>
    <x v="2"/>
    <x v="0"/>
    <n v="60.666666666666664"/>
    <n v="53.390820467051519"/>
    <n v="0.11832689476767551"/>
    <b v="1"/>
  </r>
  <r>
    <n v="705"/>
    <x v="31"/>
    <x v="1"/>
    <x v="17"/>
    <x v="0"/>
    <x v="3"/>
    <x v="1"/>
    <n v="0.24"/>
    <n v="0.28789999999999999"/>
    <n v="0.75"/>
    <n v="0"/>
    <n v="4"/>
    <n v="172"/>
    <n v="176"/>
    <x v="1"/>
    <x v="3"/>
    <x v="1"/>
    <x v="3"/>
    <x v="0"/>
    <n v="62.291666666666664"/>
    <n v="54.085664070722238"/>
    <n v="0.5959472654723561"/>
    <b v="0"/>
  </r>
  <r>
    <n v="706"/>
    <x v="31"/>
    <x v="1"/>
    <x v="18"/>
    <x v="0"/>
    <x v="3"/>
    <x v="1"/>
    <n v="0.24"/>
    <n v="0.2576"/>
    <n v="0.81"/>
    <n v="0.1045"/>
    <n v="3"/>
    <n v="165"/>
    <n v="168"/>
    <x v="1"/>
    <x v="3"/>
    <x v="1"/>
    <x v="3"/>
    <x v="0"/>
    <n v="62.875"/>
    <n v="55.424302078326299"/>
    <n v="1.9592037012913053"/>
    <b v="0"/>
  </r>
  <r>
    <n v="707"/>
    <x v="31"/>
    <x v="1"/>
    <x v="19"/>
    <x v="0"/>
    <x v="3"/>
    <x v="1"/>
    <n v="0.24"/>
    <n v="0.2424"/>
    <n v="0.81"/>
    <n v="0.1343"/>
    <n v="3"/>
    <n v="105"/>
    <n v="108"/>
    <x v="1"/>
    <x v="3"/>
    <x v="1"/>
    <x v="3"/>
    <x v="0"/>
    <n v="63.458333333333336"/>
    <n v="56.63919304161913"/>
    <n v="1.9568743154969928"/>
    <b v="0"/>
  </r>
  <r>
    <n v="708"/>
    <x v="31"/>
    <x v="1"/>
    <x v="20"/>
    <x v="0"/>
    <x v="3"/>
    <x v="1"/>
    <n v="0.22"/>
    <n v="0.2273"/>
    <n v="0.87"/>
    <n v="0.1343"/>
    <n v="5"/>
    <n v="69"/>
    <n v="74"/>
    <x v="1"/>
    <x v="3"/>
    <x v="1"/>
    <x v="3"/>
    <x v="0"/>
    <n v="62.75"/>
    <n v="56.162226203863334"/>
    <n v="0.45983985327027838"/>
    <b v="0"/>
  </r>
  <r>
    <n v="709"/>
    <x v="31"/>
    <x v="1"/>
    <x v="21"/>
    <x v="0"/>
    <x v="3"/>
    <x v="1"/>
    <n v="0.22"/>
    <n v="0.2273"/>
    <n v="0.87"/>
    <n v="0.1343"/>
    <n v="0"/>
    <n v="64"/>
    <n v="64"/>
    <x v="1"/>
    <x v="3"/>
    <x v="1"/>
    <x v="0"/>
    <x v="0"/>
    <n v="62.791666666666664"/>
    <n v="56.171305661433088"/>
    <n v="0.13707020157386993"/>
    <b v="0"/>
  </r>
  <r>
    <n v="710"/>
    <x v="31"/>
    <x v="1"/>
    <x v="22"/>
    <x v="0"/>
    <x v="3"/>
    <x v="1"/>
    <n v="0.22"/>
    <n v="0.2576"/>
    <n v="0.87"/>
    <n v="8.9599999999999999E-2"/>
    <n v="2"/>
    <n v="34"/>
    <n v="36"/>
    <x v="1"/>
    <x v="3"/>
    <x v="1"/>
    <x v="0"/>
    <x v="0"/>
    <n v="62.75"/>
    <n v="56.170741261915381"/>
    <n v="-7.4407369830929854E-2"/>
    <b v="0"/>
  </r>
  <r>
    <n v="711"/>
    <x v="31"/>
    <x v="1"/>
    <x v="23"/>
    <x v="0"/>
    <x v="3"/>
    <x v="2"/>
    <n v="0.2"/>
    <n v="0.19700000000000001"/>
    <n v="0.93"/>
    <n v="0.19400000000000001"/>
    <n v="1"/>
    <n v="15"/>
    <n v="16"/>
    <x v="2"/>
    <x v="3"/>
    <x v="1"/>
    <x v="0"/>
    <x v="0"/>
    <n v="62.916666666666664"/>
    <n v="56.09380084067778"/>
    <n v="-0.49149120743434599"/>
    <b v="0"/>
  </r>
  <r>
    <n v="712"/>
    <x v="32"/>
    <x v="1"/>
    <x v="0"/>
    <x v="0"/>
    <x v="4"/>
    <x v="2"/>
    <n v="0.22"/>
    <n v="0.2424"/>
    <n v="0.93"/>
    <n v="0.1045"/>
    <n v="0"/>
    <n v="2"/>
    <n v="2"/>
    <x v="2"/>
    <x v="4"/>
    <x v="1"/>
    <x v="0"/>
    <x v="0"/>
    <n v="63.583333333333336"/>
    <n v="55.6049080306896"/>
    <n v="-0.64060757704656757"/>
    <b v="0"/>
  </r>
  <r>
    <n v="713"/>
    <x v="32"/>
    <x v="1"/>
    <x v="1"/>
    <x v="0"/>
    <x v="4"/>
    <x v="2"/>
    <n v="0.22"/>
    <n v="0.2273"/>
    <n v="0.93"/>
    <n v="0.19400000000000001"/>
    <n v="0"/>
    <n v="3"/>
    <n v="3"/>
    <x v="2"/>
    <x v="4"/>
    <x v="1"/>
    <x v="0"/>
    <x v="0"/>
    <n v="64"/>
    <n v="55.15905854100879"/>
    <n v="-0.9909240486949098"/>
    <b v="1"/>
  </r>
  <r>
    <n v="714"/>
    <x v="32"/>
    <x v="1"/>
    <x v="2"/>
    <x v="0"/>
    <x v="4"/>
    <x v="2"/>
    <n v="0.22"/>
    <n v="0.2273"/>
    <n v="0.93"/>
    <n v="0.1343"/>
    <n v="4"/>
    <n v="0"/>
    <n v="4"/>
    <x v="2"/>
    <x v="4"/>
    <x v="1"/>
    <x v="0"/>
    <x v="0"/>
    <n v="64.083333333333329"/>
    <n v="55.064323387697478"/>
    <n v="-1.1129430342082405"/>
    <b v="0"/>
  </r>
  <r>
    <n v="715"/>
    <x v="32"/>
    <x v="1"/>
    <x v="3"/>
    <x v="0"/>
    <x v="4"/>
    <x v="2"/>
    <n v="0.22"/>
    <n v="0.2273"/>
    <n v="0.93"/>
    <n v="0.1343"/>
    <n v="0"/>
    <n v="1"/>
    <n v="1"/>
    <x v="2"/>
    <x v="4"/>
    <x v="1"/>
    <x v="0"/>
    <x v="0"/>
    <n v="64"/>
    <n v="55.160634987044091"/>
    <n v="-1.1612711083384299"/>
    <b v="0"/>
  </r>
  <r>
    <n v="716"/>
    <x v="32"/>
    <x v="1"/>
    <x v="4"/>
    <x v="0"/>
    <x v="4"/>
    <x v="2"/>
    <n v="0.22"/>
    <n v="0.21210000000000001"/>
    <n v="0.93"/>
    <n v="0.28360000000000002"/>
    <n v="0"/>
    <n v="1"/>
    <n v="1"/>
    <x v="2"/>
    <x v="4"/>
    <x v="1"/>
    <x v="0"/>
    <x v="0"/>
    <n v="64"/>
    <n v="55.160634987044091"/>
    <n v="-1.1778978320619455"/>
    <b v="0"/>
  </r>
  <r>
    <n v="717"/>
    <x v="32"/>
    <x v="1"/>
    <x v="5"/>
    <x v="0"/>
    <x v="4"/>
    <x v="2"/>
    <n v="0.22"/>
    <n v="0.2424"/>
    <n v="0.93"/>
    <n v="0.1045"/>
    <n v="0"/>
    <n v="3"/>
    <n v="3"/>
    <x v="2"/>
    <x v="4"/>
    <x v="1"/>
    <x v="0"/>
    <x v="0"/>
    <n v="64.041666666666671"/>
    <n v="55.111333298796303"/>
    <n v="-1.1703976958963762"/>
    <b v="0"/>
  </r>
  <r>
    <n v="718"/>
    <x v="32"/>
    <x v="1"/>
    <x v="6"/>
    <x v="0"/>
    <x v="4"/>
    <x v="2"/>
    <n v="0.22"/>
    <n v="0.2424"/>
    <n v="0.93"/>
    <n v="0.1045"/>
    <n v="1"/>
    <n v="17"/>
    <n v="18"/>
    <x v="2"/>
    <x v="4"/>
    <x v="1"/>
    <x v="1"/>
    <x v="0"/>
    <n v="65.541666666666671"/>
    <n v="53.853245969479637"/>
    <n v="-0.51292675439947977"/>
    <b v="0"/>
  </r>
  <r>
    <n v="719"/>
    <x v="32"/>
    <x v="1"/>
    <x v="7"/>
    <x v="0"/>
    <x v="4"/>
    <x v="2"/>
    <n v="0.22"/>
    <n v="0.21210000000000001"/>
    <n v="0.93"/>
    <n v="0.22389999999999999"/>
    <n v="1"/>
    <n v="48"/>
    <n v="49"/>
    <x v="2"/>
    <x v="4"/>
    <x v="1"/>
    <x v="1"/>
    <x v="0"/>
    <n v="68.416666666666671"/>
    <n v="53.040523201126845"/>
    <n v="0.36069824365929881"/>
    <b v="0"/>
  </r>
  <r>
    <n v="720"/>
    <x v="32"/>
    <x v="1"/>
    <x v="8"/>
    <x v="0"/>
    <x v="4"/>
    <x v="2"/>
    <n v="0.22"/>
    <n v="0.21210000000000001"/>
    <n v="0.93"/>
    <n v="0.22389999999999999"/>
    <n v="1"/>
    <n v="154"/>
    <n v="155"/>
    <x v="2"/>
    <x v="4"/>
    <x v="1"/>
    <x v="1"/>
    <x v="0"/>
    <n v="74.208333333333329"/>
    <n v="58.169153013593387"/>
    <n v="1.8762220739202153"/>
    <b v="0"/>
  </r>
  <r>
    <n v="721"/>
    <x v="32"/>
    <x v="1"/>
    <x v="9"/>
    <x v="0"/>
    <x v="4"/>
    <x v="1"/>
    <n v="0.24"/>
    <n v="0.2576"/>
    <n v="0.93"/>
    <n v="8.9599999999999999E-2"/>
    <n v="4"/>
    <n v="119"/>
    <n v="123"/>
    <x v="1"/>
    <x v="4"/>
    <x v="1"/>
    <x v="1"/>
    <x v="0"/>
    <n v="73.291666666666671"/>
    <n v="57.002272393046006"/>
    <n v="1.0839900104991309"/>
    <b v="0"/>
  </r>
  <r>
    <n v="722"/>
    <x v="32"/>
    <x v="1"/>
    <x v="10"/>
    <x v="0"/>
    <x v="4"/>
    <x v="1"/>
    <n v="0.22"/>
    <n v="0.2727"/>
    <n v="1"/>
    <n v="0"/>
    <n v="2"/>
    <n v="59"/>
    <n v="61"/>
    <x v="1"/>
    <x v="4"/>
    <x v="1"/>
    <x v="1"/>
    <x v="0"/>
    <n v="70.333333333333329"/>
    <n v="56.146289254958326"/>
    <n v="-0.28039030938452131"/>
    <b v="0"/>
  </r>
  <r>
    <n v="723"/>
    <x v="32"/>
    <x v="1"/>
    <x v="11"/>
    <x v="0"/>
    <x v="4"/>
    <x v="1"/>
    <n v="0.24"/>
    <n v="0.2273"/>
    <n v="0.93"/>
    <n v="0.19400000000000001"/>
    <n v="5"/>
    <n v="47"/>
    <n v="52"/>
    <x v="1"/>
    <x v="4"/>
    <x v="1"/>
    <x v="1"/>
    <x v="0"/>
    <n v="70.458333333333329"/>
    <n v="56.127943259064409"/>
    <n v="-7.4146160896700883E-2"/>
    <b v="0"/>
  </r>
  <r>
    <n v="724"/>
    <x v="32"/>
    <x v="1"/>
    <x v="12"/>
    <x v="0"/>
    <x v="4"/>
    <x v="1"/>
    <n v="0.24"/>
    <n v="0.2273"/>
    <n v="0.93"/>
    <n v="0.22389999999999999"/>
    <n v="3"/>
    <n v="61"/>
    <n v="64"/>
    <x v="1"/>
    <x v="4"/>
    <x v="1"/>
    <x v="2"/>
    <x v="0"/>
    <n v="71.166666666666671"/>
    <n v="55.991976650903851"/>
    <n v="-7.4747031564683178E-4"/>
    <b v="0"/>
  </r>
  <r>
    <n v="725"/>
    <x v="32"/>
    <x v="1"/>
    <x v="13"/>
    <x v="0"/>
    <x v="4"/>
    <x v="0"/>
    <n v="0.34"/>
    <n v="0.33329999999999999"/>
    <n v="0.93"/>
    <n v="0.16420000000000001"/>
    <n v="1"/>
    <n v="74"/>
    <n v="75"/>
    <x v="0"/>
    <x v="4"/>
    <x v="1"/>
    <x v="2"/>
    <x v="1"/>
    <n v="70.625"/>
    <n v="56.127039519445454"/>
    <n v="-0.33299718690161167"/>
    <b v="0"/>
  </r>
  <r>
    <n v="726"/>
    <x v="32"/>
    <x v="1"/>
    <x v="14"/>
    <x v="0"/>
    <x v="4"/>
    <x v="0"/>
    <n v="0.38"/>
    <n v="0.39389999999999997"/>
    <n v="0.82"/>
    <n v="0.3881"/>
    <n v="2"/>
    <n v="61"/>
    <n v="63"/>
    <x v="0"/>
    <x v="4"/>
    <x v="1"/>
    <x v="2"/>
    <x v="1"/>
    <n v="69.458333333333329"/>
    <n v="56.322811168930606"/>
    <n v="-0.43439744857848367"/>
    <b v="0"/>
  </r>
  <r>
    <n v="727"/>
    <x v="32"/>
    <x v="1"/>
    <x v="15"/>
    <x v="0"/>
    <x v="4"/>
    <x v="0"/>
    <n v="0.38"/>
    <n v="0.39389999999999997"/>
    <n v="0.76"/>
    <n v="0.32840000000000003"/>
    <n v="10"/>
    <n v="66"/>
    <n v="76"/>
    <x v="0"/>
    <x v="4"/>
    <x v="1"/>
    <x v="2"/>
    <x v="1"/>
    <n v="69.333333333333329"/>
    <n v="56.341093711248718"/>
    <n v="-0.23413190092318412"/>
    <b v="1"/>
  </r>
  <r>
    <n v="728"/>
    <x v="32"/>
    <x v="1"/>
    <x v="16"/>
    <x v="0"/>
    <x v="4"/>
    <x v="0"/>
    <n v="0.36"/>
    <n v="0.33329999999999999"/>
    <n v="0.71"/>
    <n v="0.29849999999999999"/>
    <n v="8"/>
    <n v="95"/>
    <n v="103"/>
    <x v="0"/>
    <x v="4"/>
    <x v="1"/>
    <x v="2"/>
    <x v="1"/>
    <n v="69.416666666666671"/>
    <n v="56.352860863812687"/>
    <n v="5.9658229471337192E-2"/>
    <b v="0"/>
  </r>
  <r>
    <n v="729"/>
    <x v="32"/>
    <x v="1"/>
    <x v="17"/>
    <x v="0"/>
    <x v="4"/>
    <x v="0"/>
    <n v="0.36"/>
    <n v="0.31819999999999998"/>
    <n v="0.53"/>
    <n v="0.52239999999999998"/>
    <n v="7"/>
    <n v="183"/>
    <n v="190"/>
    <x v="0"/>
    <x v="4"/>
    <x v="1"/>
    <x v="3"/>
    <x v="1"/>
    <n v="72.416666666666671"/>
    <n v="60.015879541180176"/>
    <n v="1.535581450440648"/>
    <b v="0"/>
  </r>
  <r>
    <n v="730"/>
    <x v="32"/>
    <x v="1"/>
    <x v="18"/>
    <x v="0"/>
    <x v="4"/>
    <x v="0"/>
    <n v="0.34"/>
    <n v="0.28789999999999999"/>
    <n v="0.42"/>
    <n v="0.55220000000000002"/>
    <n v="7"/>
    <n v="175"/>
    <n v="182"/>
    <x v="0"/>
    <x v="4"/>
    <x v="1"/>
    <x v="3"/>
    <x v="1"/>
    <n v="70.625"/>
    <n v="56.914743638869716"/>
    <n v="1.1185649836285092"/>
    <b v="0"/>
  </r>
  <r>
    <n v="731"/>
    <x v="32"/>
    <x v="1"/>
    <x v="19"/>
    <x v="0"/>
    <x v="4"/>
    <x v="0"/>
    <n v="0.28000000000000003"/>
    <n v="0.2424"/>
    <n v="0.45"/>
    <n v="0.49249999999999999"/>
    <n v="3"/>
    <n v="88"/>
    <n v="91"/>
    <x v="0"/>
    <x v="4"/>
    <x v="1"/>
    <x v="3"/>
    <x v="0"/>
    <n v="67.041666666666671"/>
    <n v="52.101472203740087"/>
    <n v="0.31608926939627013"/>
    <b v="0"/>
  </r>
  <r>
    <n v="732"/>
    <x v="32"/>
    <x v="1"/>
    <x v="20"/>
    <x v="0"/>
    <x v="4"/>
    <x v="0"/>
    <n v="0.24"/>
    <n v="0.19700000000000001"/>
    <n v="0.48"/>
    <n v="0.55220000000000002"/>
    <n v="4"/>
    <n v="71"/>
    <n v="75"/>
    <x v="0"/>
    <x v="4"/>
    <x v="1"/>
    <x v="3"/>
    <x v="0"/>
    <n v="67.791666666666671"/>
    <n v="52.588624300290469"/>
    <n v="0.55449118589205393"/>
    <b v="0"/>
  </r>
  <r>
    <n v="733"/>
    <x v="32"/>
    <x v="1"/>
    <x v="21"/>
    <x v="0"/>
    <x v="4"/>
    <x v="0"/>
    <n v="0.22"/>
    <n v="0.19700000000000001"/>
    <n v="0.47"/>
    <n v="0.32840000000000003"/>
    <n v="1"/>
    <n v="62"/>
    <n v="63"/>
    <x v="0"/>
    <x v="4"/>
    <x v="1"/>
    <x v="0"/>
    <x v="0"/>
    <n v="66.916666666666671"/>
    <n v="52.638155004890137"/>
    <n v="-0.3304610115941099"/>
    <b v="0"/>
  </r>
  <r>
    <n v="734"/>
    <x v="32"/>
    <x v="1"/>
    <x v="22"/>
    <x v="0"/>
    <x v="4"/>
    <x v="0"/>
    <n v="0.22"/>
    <n v="0.21210000000000001"/>
    <n v="0.44"/>
    <n v="0.25369999999999998"/>
    <n v="5"/>
    <n v="35"/>
    <n v="40"/>
    <x v="0"/>
    <x v="4"/>
    <x v="1"/>
    <x v="0"/>
    <x v="0"/>
    <n v="66"/>
    <n v="52.900234239639197"/>
    <n v="-0.5438532920396637"/>
    <b v="0"/>
  </r>
  <r>
    <n v="735"/>
    <x v="32"/>
    <x v="1"/>
    <x v="23"/>
    <x v="0"/>
    <x v="4"/>
    <x v="0"/>
    <n v="0.2"/>
    <n v="0.16669999999999999"/>
    <n v="0.44"/>
    <n v="0.44779999999999998"/>
    <n v="3"/>
    <n v="29"/>
    <n v="32"/>
    <x v="0"/>
    <x v="4"/>
    <x v="1"/>
    <x v="0"/>
    <x v="0"/>
    <n v="65.916666666666671"/>
    <n v="52.9445293529539"/>
    <n v="-0.58485030899062296"/>
    <b v="0"/>
  </r>
  <r>
    <n v="736"/>
    <x v="33"/>
    <x v="1"/>
    <x v="0"/>
    <x v="0"/>
    <x v="5"/>
    <x v="0"/>
    <n v="0.2"/>
    <n v="0.16669999999999999"/>
    <n v="0.4"/>
    <n v="0.44779999999999998"/>
    <n v="1"/>
    <n v="11"/>
    <n v="12"/>
    <x v="0"/>
    <x v="5"/>
    <x v="1"/>
    <x v="0"/>
    <x v="0"/>
    <n v="65.125"/>
    <n v="53.611576053652087"/>
    <n v="-1.0067321798329689"/>
    <b v="1"/>
  </r>
  <r>
    <n v="737"/>
    <x v="33"/>
    <x v="1"/>
    <x v="1"/>
    <x v="0"/>
    <x v="5"/>
    <x v="0"/>
    <n v="0.2"/>
    <n v="0.1515"/>
    <n v="0.44"/>
    <n v="0.52239999999999998"/>
    <n v="0"/>
    <n v="5"/>
    <n v="5"/>
    <x v="0"/>
    <x v="5"/>
    <x v="1"/>
    <x v="0"/>
    <x v="0"/>
    <n v="64.916666666666671"/>
    <n v="53.836238536046928"/>
    <n v="-1.1152157825375033"/>
    <b v="1"/>
  </r>
  <r>
    <n v="738"/>
    <x v="33"/>
    <x v="1"/>
    <x v="2"/>
    <x v="0"/>
    <x v="5"/>
    <x v="0"/>
    <n v="0.18"/>
    <n v="0.16669999999999999"/>
    <n v="0.43"/>
    <n v="0.25369999999999998"/>
    <n v="0"/>
    <n v="2"/>
    <n v="2"/>
    <x v="0"/>
    <x v="5"/>
    <x v="1"/>
    <x v="0"/>
    <x v="2"/>
    <n v="64.75"/>
    <n v="54.035616273777762"/>
    <n v="-1.2330443655411825"/>
    <b v="1"/>
  </r>
  <r>
    <n v="739"/>
    <x v="33"/>
    <x v="1"/>
    <x v="3"/>
    <x v="0"/>
    <x v="5"/>
    <x v="0"/>
    <n v="0.18"/>
    <n v="0.16669999999999999"/>
    <n v="0.43"/>
    <n v="0.25369999999999998"/>
    <n v="0"/>
    <n v="1"/>
    <n v="1"/>
    <x v="0"/>
    <x v="5"/>
    <x v="1"/>
    <x v="0"/>
    <x v="2"/>
    <n v="64.708333333333329"/>
    <n v="54.086467942478492"/>
    <n v="-1.2508474444703368"/>
    <b v="0"/>
  </r>
  <r>
    <n v="740"/>
    <x v="33"/>
    <x v="1"/>
    <x v="5"/>
    <x v="0"/>
    <x v="5"/>
    <x v="0"/>
    <n v="0.16"/>
    <n v="0.13639999999999999"/>
    <n v="0.5"/>
    <n v="0.29849999999999999"/>
    <n v="0"/>
    <n v="2"/>
    <n v="2"/>
    <x v="0"/>
    <x v="5"/>
    <x v="1"/>
    <x v="0"/>
    <x v="2"/>
    <n v="64.958333333333329"/>
    <n v="53.792256729551426"/>
    <n v="-1.1600699357559745"/>
    <b v="0"/>
  </r>
  <r>
    <n v="741"/>
    <x v="33"/>
    <x v="1"/>
    <x v="6"/>
    <x v="0"/>
    <x v="5"/>
    <x v="0"/>
    <n v="0.16"/>
    <n v="0.13639999999999999"/>
    <n v="0.43"/>
    <n v="0.35820000000000002"/>
    <n v="0"/>
    <n v="39"/>
    <n v="39"/>
    <x v="0"/>
    <x v="5"/>
    <x v="1"/>
    <x v="1"/>
    <x v="2"/>
    <n v="66.041666666666671"/>
    <n v="52.720327872790136"/>
    <n v="-0.79995910105283097"/>
    <b v="0"/>
  </r>
  <r>
    <n v="742"/>
    <x v="33"/>
    <x v="1"/>
    <x v="7"/>
    <x v="0"/>
    <x v="5"/>
    <x v="0"/>
    <n v="0.14000000000000001"/>
    <n v="0.1212"/>
    <n v="0.5"/>
    <n v="0.32840000000000003"/>
    <n v="1"/>
    <n v="86"/>
    <n v="87"/>
    <x v="0"/>
    <x v="5"/>
    <x v="1"/>
    <x v="1"/>
    <x v="2"/>
    <n v="68.041666666666671"/>
    <n v="52.560093281853113"/>
    <n v="0.23456566679613794"/>
    <b v="0"/>
  </r>
  <r>
    <n v="743"/>
    <x v="33"/>
    <x v="1"/>
    <x v="8"/>
    <x v="0"/>
    <x v="5"/>
    <x v="0"/>
    <n v="0.14000000000000001"/>
    <n v="0.1212"/>
    <n v="0.5"/>
    <n v="0.35820000000000002"/>
    <n v="4"/>
    <n v="184"/>
    <n v="188"/>
    <x v="0"/>
    <x v="5"/>
    <x v="1"/>
    <x v="1"/>
    <x v="2"/>
    <n v="73.583333333333329"/>
    <n v="60.982475506005656"/>
    <n v="2.4888167036972315"/>
    <b v="0"/>
  </r>
  <r>
    <n v="744"/>
    <x v="33"/>
    <x v="1"/>
    <x v="9"/>
    <x v="0"/>
    <x v="5"/>
    <x v="0"/>
    <n v="0.16"/>
    <n v="0.13639999999999999"/>
    <n v="0.47"/>
    <n v="0.29849999999999999"/>
    <n v="6"/>
    <n v="127"/>
    <n v="133"/>
    <x v="0"/>
    <x v="5"/>
    <x v="1"/>
    <x v="1"/>
    <x v="2"/>
    <n v="71.041666666666671"/>
    <n v="57.157660802431351"/>
    <n v="1.2612455000867184"/>
    <b v="0"/>
  </r>
  <r>
    <n v="745"/>
    <x v="33"/>
    <x v="1"/>
    <x v="10"/>
    <x v="0"/>
    <x v="5"/>
    <x v="0"/>
    <n v="0.18"/>
    <n v="0.1515"/>
    <n v="0.43"/>
    <n v="0.32840000000000003"/>
    <n v="2"/>
    <n v="50"/>
    <n v="52"/>
    <x v="0"/>
    <x v="5"/>
    <x v="1"/>
    <x v="1"/>
    <x v="2"/>
    <n v="67.625"/>
    <n v="55.725891648317301"/>
    <n v="-0.10865381184948072"/>
    <b v="0"/>
  </r>
  <r>
    <n v="746"/>
    <x v="33"/>
    <x v="1"/>
    <x v="11"/>
    <x v="0"/>
    <x v="5"/>
    <x v="0"/>
    <n v="0.18"/>
    <n v="0.13639999999999999"/>
    <n v="0.43"/>
    <n v="0.44779999999999998"/>
    <n v="9"/>
    <n v="55"/>
    <n v="64"/>
    <x v="0"/>
    <x v="5"/>
    <x v="1"/>
    <x v="1"/>
    <x v="2"/>
    <n v="68.125"/>
    <n v="55.633359166725796"/>
    <n v="0.15950228073168624"/>
    <b v="0"/>
  </r>
  <r>
    <n v="747"/>
    <x v="33"/>
    <x v="1"/>
    <x v="12"/>
    <x v="0"/>
    <x v="5"/>
    <x v="0"/>
    <n v="0.2"/>
    <n v="0.18179999999999999"/>
    <n v="0.4"/>
    <n v="0.35820000000000002"/>
    <n v="2"/>
    <n v="67"/>
    <n v="69"/>
    <x v="0"/>
    <x v="5"/>
    <x v="1"/>
    <x v="2"/>
    <x v="0"/>
    <n v="69.041666666666671"/>
    <n v="55.743573750637424"/>
    <n v="0.60301981769095458"/>
    <b v="0"/>
  </r>
  <r>
    <n v="748"/>
    <x v="33"/>
    <x v="1"/>
    <x v="13"/>
    <x v="0"/>
    <x v="5"/>
    <x v="0"/>
    <n v="0.2"/>
    <n v="0.16669999999999999"/>
    <n v="0.4"/>
    <n v="0.41789999999999999"/>
    <n v="4"/>
    <n v="47"/>
    <n v="51"/>
    <x v="0"/>
    <x v="5"/>
    <x v="1"/>
    <x v="2"/>
    <x v="0"/>
    <n v="69.583333333333329"/>
    <n v="55.806277242888584"/>
    <n v="0.55716556977709331"/>
    <b v="0"/>
  </r>
  <r>
    <n v="749"/>
    <x v="33"/>
    <x v="1"/>
    <x v="14"/>
    <x v="0"/>
    <x v="5"/>
    <x v="0"/>
    <n v="0.22"/>
    <n v="0.19700000000000001"/>
    <n v="0.37"/>
    <n v="0.3881"/>
    <n v="4"/>
    <n v="43"/>
    <n v="47"/>
    <x v="0"/>
    <x v="5"/>
    <x v="1"/>
    <x v="2"/>
    <x v="0"/>
    <n v="71.25"/>
    <n v="55.82445311167313"/>
    <n v="0.74557427020745015"/>
    <b v="0"/>
  </r>
  <r>
    <n v="750"/>
    <x v="33"/>
    <x v="1"/>
    <x v="15"/>
    <x v="0"/>
    <x v="5"/>
    <x v="0"/>
    <n v="0.22"/>
    <n v="0.19700000000000001"/>
    <n v="0.37"/>
    <n v="0.32840000000000003"/>
    <n v="4"/>
    <n v="56"/>
    <n v="60"/>
    <x v="0"/>
    <x v="5"/>
    <x v="1"/>
    <x v="2"/>
    <x v="0"/>
    <n v="73.041666666666671"/>
    <n v="55.702220053069517"/>
    <n v="0.76509893665249218"/>
    <b v="0"/>
  </r>
  <r>
    <n v="751"/>
    <x v="33"/>
    <x v="1"/>
    <x v="16"/>
    <x v="0"/>
    <x v="5"/>
    <x v="0"/>
    <n v="0.22"/>
    <n v="0.21210000000000001"/>
    <n v="0.37"/>
    <n v="0.25369999999999998"/>
    <n v="5"/>
    <n v="73"/>
    <n v="78"/>
    <x v="0"/>
    <x v="5"/>
    <x v="1"/>
    <x v="2"/>
    <x v="0"/>
    <n v="74.666666666666671"/>
    <n v="55.87382265400332"/>
    <n v="0.98267553336505231"/>
    <b v="0"/>
  </r>
  <r>
    <n v="752"/>
    <x v="33"/>
    <x v="1"/>
    <x v="17"/>
    <x v="0"/>
    <x v="5"/>
    <x v="0"/>
    <n v="0.2"/>
    <n v="0.19700000000000001"/>
    <n v="0.4"/>
    <n v="0.19400000000000001"/>
    <n v="5"/>
    <n v="170"/>
    <n v="175"/>
    <x v="0"/>
    <x v="5"/>
    <x v="1"/>
    <x v="3"/>
    <x v="0"/>
    <n v="79.958333333333329"/>
    <n v="61.892950477744876"/>
    <n v="3.2127477594958971"/>
    <b v="0"/>
  </r>
  <r>
    <n v="753"/>
    <x v="33"/>
    <x v="1"/>
    <x v="18"/>
    <x v="0"/>
    <x v="5"/>
    <x v="0"/>
    <n v="0.2"/>
    <n v="0.21210000000000001"/>
    <n v="0.4"/>
    <n v="0.16420000000000001"/>
    <n v="2"/>
    <n v="145"/>
    <n v="147"/>
    <x v="0"/>
    <x v="5"/>
    <x v="1"/>
    <x v="3"/>
    <x v="0"/>
    <n v="79.125"/>
    <n v="60.680426254557432"/>
    <n v="3.0764892053166273"/>
    <b v="0"/>
  </r>
  <r>
    <n v="754"/>
    <x v="33"/>
    <x v="1"/>
    <x v="19"/>
    <x v="0"/>
    <x v="5"/>
    <x v="0"/>
    <n v="0.2"/>
    <n v="0.2576"/>
    <n v="0.4"/>
    <n v="0"/>
    <n v="4"/>
    <n v="92"/>
    <n v="96"/>
    <x v="0"/>
    <x v="5"/>
    <x v="1"/>
    <x v="3"/>
    <x v="0"/>
    <n v="77.291666666666671"/>
    <n v="59.186866321233268"/>
    <n v="2.1604013150518022"/>
    <b v="0"/>
  </r>
  <r>
    <n v="755"/>
    <x v="33"/>
    <x v="1"/>
    <x v="20"/>
    <x v="0"/>
    <x v="5"/>
    <x v="0"/>
    <n v="0.2"/>
    <n v="0.2273"/>
    <n v="0.47"/>
    <n v="8.9599999999999999E-2"/>
    <n v="1"/>
    <n v="108"/>
    <n v="109"/>
    <x v="0"/>
    <x v="5"/>
    <x v="1"/>
    <x v="3"/>
    <x v="0"/>
    <n v="76.25"/>
    <n v="59.063157058687018"/>
    <n v="1.1333659673209389"/>
    <b v="0"/>
  </r>
  <r>
    <n v="756"/>
    <x v="33"/>
    <x v="1"/>
    <x v="21"/>
    <x v="0"/>
    <x v="5"/>
    <x v="0"/>
    <n v="0.18"/>
    <n v="0.21210000000000001"/>
    <n v="0.55000000000000004"/>
    <n v="0.1045"/>
    <n v="1"/>
    <n v="53"/>
    <n v="54"/>
    <x v="0"/>
    <x v="5"/>
    <x v="1"/>
    <x v="0"/>
    <x v="2"/>
    <n v="73.5"/>
    <n v="59.008473967727717"/>
    <n v="0.10339827363893163"/>
    <b v="0"/>
  </r>
  <r>
    <n v="757"/>
    <x v="33"/>
    <x v="1"/>
    <x v="22"/>
    <x v="0"/>
    <x v="5"/>
    <x v="0"/>
    <n v="0.18"/>
    <n v="0.21210000000000001"/>
    <n v="0.51"/>
    <n v="8.9599999999999999E-2"/>
    <n v="2"/>
    <n v="39"/>
    <n v="41"/>
    <x v="0"/>
    <x v="5"/>
    <x v="1"/>
    <x v="0"/>
    <x v="2"/>
    <n v="73.166666666666671"/>
    <n v="59.145852636156754"/>
    <n v="0.19310449096550331"/>
    <b v="0"/>
  </r>
  <r>
    <n v="758"/>
    <x v="33"/>
    <x v="1"/>
    <x v="23"/>
    <x v="0"/>
    <x v="5"/>
    <x v="0"/>
    <n v="0.2"/>
    <n v="0.2273"/>
    <n v="0.47"/>
    <n v="0.1045"/>
    <n v="4"/>
    <n v="34"/>
    <n v="38"/>
    <x v="0"/>
    <x v="5"/>
    <x v="1"/>
    <x v="0"/>
    <x v="0"/>
    <n v="72.75"/>
    <n v="59.416913124272888"/>
    <n v="-0.35719030278033087"/>
    <b v="0"/>
  </r>
  <r>
    <n v="759"/>
    <x v="34"/>
    <x v="1"/>
    <x v="0"/>
    <x v="0"/>
    <x v="6"/>
    <x v="1"/>
    <n v="0.2"/>
    <n v="0.2576"/>
    <n v="0.44"/>
    <n v="0"/>
    <n v="3"/>
    <n v="10"/>
    <n v="13"/>
    <x v="1"/>
    <x v="6"/>
    <x v="1"/>
    <x v="0"/>
    <x v="0"/>
    <n v="72.791666666666671"/>
    <n v="59.39183018525042"/>
    <n v="-0.10513683606243117"/>
    <b v="0"/>
  </r>
  <r>
    <n v="760"/>
    <x v="34"/>
    <x v="1"/>
    <x v="1"/>
    <x v="0"/>
    <x v="6"/>
    <x v="1"/>
    <n v="0.16"/>
    <n v="0.2273"/>
    <n v="0.59"/>
    <n v="0"/>
    <n v="0"/>
    <n v="7"/>
    <n v="7"/>
    <x v="1"/>
    <x v="6"/>
    <x v="1"/>
    <x v="0"/>
    <x v="2"/>
    <n v="73"/>
    <n v="59.181371922326164"/>
    <n v="-0.87309285599671105"/>
    <b v="0"/>
  </r>
  <r>
    <n v="761"/>
    <x v="34"/>
    <x v="1"/>
    <x v="2"/>
    <x v="0"/>
    <x v="6"/>
    <x v="1"/>
    <n v="0.14000000000000001"/>
    <n v="0.16669999999999999"/>
    <n v="0.63"/>
    <n v="0.1045"/>
    <n v="0"/>
    <n v="1"/>
    <n v="1"/>
    <x v="1"/>
    <x v="6"/>
    <x v="1"/>
    <x v="0"/>
    <x v="2"/>
    <n v="73.416666666666671"/>
    <n v="58.72997654458527"/>
    <n v="-0.96609943444627111"/>
    <b v="0"/>
  </r>
  <r>
    <n v="762"/>
    <x v="34"/>
    <x v="1"/>
    <x v="3"/>
    <x v="0"/>
    <x v="6"/>
    <x v="1"/>
    <n v="0.14000000000000001"/>
    <n v="0.16669999999999999"/>
    <n v="0.63"/>
    <n v="0.1045"/>
    <n v="0"/>
    <n v="1"/>
    <n v="1"/>
    <x v="1"/>
    <x v="6"/>
    <x v="1"/>
    <x v="0"/>
    <x v="2"/>
    <n v="73.833333333333329"/>
    <n v="58.22719121769012"/>
    <n v="-1.19938074264647"/>
    <b v="0"/>
  </r>
  <r>
    <n v="763"/>
    <x v="34"/>
    <x v="1"/>
    <x v="5"/>
    <x v="0"/>
    <x v="6"/>
    <x v="1"/>
    <n v="0.14000000000000001"/>
    <n v="0.1515"/>
    <n v="0.63"/>
    <n v="0.1343"/>
    <n v="0"/>
    <n v="7"/>
    <n v="7"/>
    <x v="1"/>
    <x v="6"/>
    <x v="1"/>
    <x v="0"/>
    <x v="2"/>
    <n v="74.125"/>
    <n v="57.862890788784327"/>
    <n v="-1.3196468039118761"/>
    <b v="0"/>
  </r>
  <r>
    <n v="764"/>
    <x v="34"/>
    <x v="1"/>
    <x v="6"/>
    <x v="0"/>
    <x v="6"/>
    <x v="1"/>
    <n v="0.16"/>
    <n v="0.2273"/>
    <n v="0.55000000000000004"/>
    <n v="0"/>
    <n v="2"/>
    <n v="26"/>
    <n v="28"/>
    <x v="1"/>
    <x v="6"/>
    <x v="1"/>
    <x v="1"/>
    <x v="2"/>
    <n v="74.208333333333329"/>
    <n v="57.763369742925939"/>
    <n v="-1.2553183827952159"/>
    <b v="0"/>
  </r>
  <r>
    <n v="765"/>
    <x v="34"/>
    <x v="1"/>
    <x v="7"/>
    <x v="0"/>
    <x v="6"/>
    <x v="0"/>
    <n v="0.14000000000000001"/>
    <n v="0.21210000000000001"/>
    <n v="0.59"/>
    <n v="0"/>
    <n v="0"/>
    <n v="87"/>
    <n v="87"/>
    <x v="0"/>
    <x v="6"/>
    <x v="1"/>
    <x v="1"/>
    <x v="2"/>
    <n v="73.208333333333329"/>
    <n v="58.796612714225866"/>
    <n v="-1.4030269420882462"/>
    <b v="0"/>
  </r>
  <r>
    <n v="766"/>
    <x v="34"/>
    <x v="1"/>
    <x v="8"/>
    <x v="0"/>
    <x v="6"/>
    <x v="0"/>
    <n v="0.14000000000000001"/>
    <n v="0.1515"/>
    <n v="0.74"/>
    <n v="0.1343"/>
    <n v="3"/>
    <n v="217"/>
    <n v="220"/>
    <x v="0"/>
    <x v="6"/>
    <x v="1"/>
    <x v="1"/>
    <x v="2"/>
    <n v="69.75"/>
    <n v="60.370054482838341"/>
    <n v="-1.3889271654651589"/>
    <b v="0"/>
  </r>
  <r>
    <n v="767"/>
    <x v="34"/>
    <x v="1"/>
    <x v="9"/>
    <x v="0"/>
    <x v="6"/>
    <x v="1"/>
    <n v="0.16"/>
    <n v="0.18179999999999999"/>
    <n v="0.8"/>
    <n v="0.1343"/>
    <n v="3"/>
    <n v="124"/>
    <n v="127"/>
    <x v="1"/>
    <x v="6"/>
    <x v="1"/>
    <x v="1"/>
    <x v="2"/>
    <n v="61"/>
    <n v="52.329225353400339"/>
    <n v="-1.1881452688689038"/>
    <b v="0"/>
  </r>
  <r>
    <n v="768"/>
    <x v="34"/>
    <x v="1"/>
    <x v="10"/>
    <x v="0"/>
    <x v="6"/>
    <x v="1"/>
    <n v="0.2"/>
    <n v="0.21210000000000001"/>
    <n v="0.51"/>
    <n v="0.1343"/>
    <n v="5"/>
    <n v="46"/>
    <n v="51"/>
    <x v="1"/>
    <x v="6"/>
    <x v="1"/>
    <x v="1"/>
    <x v="0"/>
    <n v="56.541666666666664"/>
    <n v="51.002965955245031"/>
    <n v="-0.86089622493318207"/>
    <b v="0"/>
  </r>
  <r>
    <n v="769"/>
    <x v="34"/>
    <x v="1"/>
    <x v="11"/>
    <x v="0"/>
    <x v="6"/>
    <x v="0"/>
    <n v="0.22"/>
    <n v="0.2273"/>
    <n v="0.51"/>
    <n v="0.16420000000000001"/>
    <n v="3"/>
    <n v="61"/>
    <n v="64"/>
    <x v="0"/>
    <x v="6"/>
    <x v="1"/>
    <x v="1"/>
    <x v="0"/>
    <n v="55.833333333333336"/>
    <n v="51.200939755868326"/>
    <n v="-0.38588717153473251"/>
    <b v="0"/>
  </r>
  <r>
    <n v="770"/>
    <x v="34"/>
    <x v="1"/>
    <x v="12"/>
    <x v="0"/>
    <x v="6"/>
    <x v="1"/>
    <n v="0.24"/>
    <n v="0.2424"/>
    <n v="0.48"/>
    <n v="0.16420000000000001"/>
    <n v="8"/>
    <n v="78"/>
    <n v="86"/>
    <x v="1"/>
    <x v="6"/>
    <x v="1"/>
    <x v="2"/>
    <x v="0"/>
    <n v="55.125"/>
    <n v="51.200639007561307"/>
    <n v="1.793689824665437E-2"/>
    <b v="0"/>
  </r>
  <r>
    <n v="771"/>
    <x v="34"/>
    <x v="1"/>
    <x v="13"/>
    <x v="0"/>
    <x v="6"/>
    <x v="1"/>
    <n v="0.26"/>
    <n v="0.2576"/>
    <n v="0.5"/>
    <n v="0.22389999999999999"/>
    <n v="9"/>
    <n v="73"/>
    <n v="82"/>
    <x v="1"/>
    <x v="6"/>
    <x v="1"/>
    <x v="2"/>
    <x v="0"/>
    <n v="53.708333333333336"/>
    <n v="50.777844506769121"/>
    <n v="8.2343047611765086E-2"/>
    <b v="0"/>
  </r>
  <r>
    <n v="772"/>
    <x v="34"/>
    <x v="1"/>
    <x v="14"/>
    <x v="0"/>
    <x v="6"/>
    <x v="1"/>
    <n v="0.28000000000000003"/>
    <n v="0.2727"/>
    <n v="0.45"/>
    <n v="0.16420000000000001"/>
    <n v="15"/>
    <n v="76"/>
    <n v="91"/>
    <x v="1"/>
    <x v="6"/>
    <x v="1"/>
    <x v="2"/>
    <x v="0"/>
    <n v="53.291666666666664"/>
    <n v="50.576226729016938"/>
    <n v="0.4332126331818269"/>
    <b v="0"/>
  </r>
  <r>
    <n v="773"/>
    <x v="34"/>
    <x v="1"/>
    <x v="15"/>
    <x v="0"/>
    <x v="6"/>
    <x v="1"/>
    <n v="0.28000000000000003"/>
    <n v="0.2727"/>
    <n v="0.48"/>
    <n v="0.25369999999999998"/>
    <n v="9"/>
    <n v="81"/>
    <n v="90"/>
    <x v="1"/>
    <x v="6"/>
    <x v="1"/>
    <x v="2"/>
    <x v="0"/>
    <n v="51.791666666666664"/>
    <n v="49.939075200528677"/>
    <n v="-8.5080817785249147E-2"/>
    <b v="0"/>
  </r>
  <r>
    <n v="774"/>
    <x v="34"/>
    <x v="1"/>
    <x v="16"/>
    <x v="0"/>
    <x v="6"/>
    <x v="1"/>
    <n v="0.3"/>
    <n v="0.28789999999999999"/>
    <n v="0.42"/>
    <n v="0.22389999999999999"/>
    <n v="8"/>
    <n v="91"/>
    <n v="99"/>
    <x v="1"/>
    <x v="6"/>
    <x v="1"/>
    <x v="2"/>
    <x v="1"/>
    <n v="50.541666666666664"/>
    <n v="49.312648669895843"/>
    <n v="-6.6938456790214915E-2"/>
    <b v="0"/>
  </r>
  <r>
    <n v="775"/>
    <x v="34"/>
    <x v="1"/>
    <x v="17"/>
    <x v="0"/>
    <x v="6"/>
    <x v="1"/>
    <n v="0.26"/>
    <n v="0.2727"/>
    <n v="0.56000000000000005"/>
    <n v="0.1343"/>
    <n v="10"/>
    <n v="195"/>
    <n v="205"/>
    <x v="1"/>
    <x v="6"/>
    <x v="1"/>
    <x v="3"/>
    <x v="0"/>
    <n v="49.375"/>
    <n v="48.43984391243297"/>
    <n v="4.1961145624313689E-2"/>
    <b v="0"/>
  </r>
  <r>
    <n v="776"/>
    <x v="34"/>
    <x v="1"/>
    <x v="18"/>
    <x v="0"/>
    <x v="6"/>
    <x v="1"/>
    <n v="0.24"/>
    <n v="0.2576"/>
    <n v="0.6"/>
    <n v="0.1045"/>
    <n v="3"/>
    <n v="152"/>
    <n v="155"/>
    <x v="1"/>
    <x v="6"/>
    <x v="1"/>
    <x v="3"/>
    <x v="0"/>
    <n v="44.083333333333336"/>
    <n v="36.053000437962304"/>
    <n v="9.6644240715792029E-2"/>
    <b v="0"/>
  </r>
  <r>
    <n v="777"/>
    <x v="34"/>
    <x v="1"/>
    <x v="19"/>
    <x v="0"/>
    <x v="6"/>
    <x v="1"/>
    <n v="0.24"/>
    <n v="0.2424"/>
    <n v="0.65"/>
    <n v="0.1343"/>
    <n v="1"/>
    <n v="102"/>
    <n v="103"/>
    <x v="1"/>
    <x v="6"/>
    <x v="1"/>
    <x v="3"/>
    <x v="0"/>
    <n v="41.083333333333336"/>
    <n v="28.659798638005373"/>
    <n v="0.14780672103882678"/>
    <b v="0"/>
  </r>
  <r>
    <n v="778"/>
    <x v="34"/>
    <x v="1"/>
    <x v="20"/>
    <x v="0"/>
    <x v="6"/>
    <x v="1"/>
    <n v="0.24"/>
    <n v="0.2424"/>
    <n v="0.65"/>
    <n v="0.16420000000000001"/>
    <n v="2"/>
    <n v="69"/>
    <n v="71"/>
    <x v="1"/>
    <x v="6"/>
    <x v="1"/>
    <x v="3"/>
    <x v="0"/>
    <n v="40.291666666666664"/>
    <n v="27.094808048561738"/>
    <n v="0.16762442275801784"/>
    <b v="0"/>
  </r>
  <r>
    <n v="779"/>
    <x v="34"/>
    <x v="1"/>
    <x v="21"/>
    <x v="0"/>
    <x v="6"/>
    <x v="1"/>
    <n v="0.24"/>
    <n v="0.2424"/>
    <n v="0.7"/>
    <n v="0.16420000000000001"/>
    <n v="2"/>
    <n v="41"/>
    <n v="43"/>
    <x v="1"/>
    <x v="6"/>
    <x v="1"/>
    <x v="0"/>
    <x v="0"/>
    <n v="40.208333333333336"/>
    <n v="26.999161285953452"/>
    <n v="-3.425470581157336E-2"/>
    <b v="0"/>
  </r>
  <r>
    <n v="780"/>
    <x v="34"/>
    <x v="1"/>
    <x v="22"/>
    <x v="0"/>
    <x v="6"/>
    <x v="1"/>
    <n v="0.24"/>
    <n v="0.2424"/>
    <n v="0.65"/>
    <n v="0.16420000000000001"/>
    <n v="1"/>
    <n v="45"/>
    <n v="46"/>
    <x v="1"/>
    <x v="6"/>
    <x v="1"/>
    <x v="0"/>
    <x v="0"/>
    <n v="40.75"/>
    <n v="27.187353198004462"/>
    <n v="-0.2125968180486455"/>
    <b v="1"/>
  </r>
  <r>
    <n v="781"/>
    <x v="34"/>
    <x v="1"/>
    <x v="23"/>
    <x v="0"/>
    <x v="6"/>
    <x v="1"/>
    <n v="0.24"/>
    <n v="0.2424"/>
    <n v="0.7"/>
    <n v="0.1343"/>
    <n v="1"/>
    <n v="30"/>
    <n v="31"/>
    <x v="1"/>
    <x v="6"/>
    <x v="1"/>
    <x v="0"/>
    <x v="0"/>
    <n v="40.708333333333336"/>
    <n v="27.179722567395345"/>
    <n v="-0.36554573809178953"/>
    <b v="0"/>
  </r>
  <r>
    <n v="782"/>
    <x v="35"/>
    <x v="1"/>
    <x v="0"/>
    <x v="0"/>
    <x v="0"/>
    <x v="1"/>
    <n v="0.24"/>
    <n v="0.2424"/>
    <n v="0.7"/>
    <n v="0.16420000000000001"/>
    <n v="3"/>
    <n v="36"/>
    <n v="39"/>
    <x v="1"/>
    <x v="0"/>
    <x v="0"/>
    <x v="0"/>
    <x v="0"/>
    <n v="41.875"/>
    <n v="27.345315948948663"/>
    <n v="-0.15587108233593541"/>
    <b v="1"/>
  </r>
  <r>
    <n v="783"/>
    <x v="35"/>
    <x v="1"/>
    <x v="1"/>
    <x v="0"/>
    <x v="0"/>
    <x v="1"/>
    <n v="0.24"/>
    <n v="0.2424"/>
    <n v="0.65"/>
    <n v="0.16420000000000001"/>
    <n v="1"/>
    <n v="17"/>
    <n v="18"/>
    <x v="1"/>
    <x v="0"/>
    <x v="0"/>
    <x v="0"/>
    <x v="0"/>
    <n v="41.875"/>
    <n v="27.345315948948663"/>
    <n v="-0.45037026711938133"/>
    <b v="1"/>
  </r>
  <r>
    <n v="784"/>
    <x v="35"/>
    <x v="1"/>
    <x v="2"/>
    <x v="0"/>
    <x v="0"/>
    <x v="1"/>
    <n v="0.24"/>
    <n v="0.2424"/>
    <n v="0.75"/>
    <n v="0.16420000000000001"/>
    <n v="5"/>
    <n v="12"/>
    <n v="17"/>
    <x v="1"/>
    <x v="0"/>
    <x v="0"/>
    <x v="0"/>
    <x v="0"/>
    <n v="42.958333333333336"/>
    <n v="26.869214914934297"/>
    <n v="-0.35233646427240356"/>
    <b v="0"/>
  </r>
  <r>
    <n v="785"/>
    <x v="35"/>
    <x v="1"/>
    <x v="3"/>
    <x v="0"/>
    <x v="0"/>
    <x v="1"/>
    <n v="0.24"/>
    <n v="0.2424"/>
    <n v="0.75"/>
    <n v="0.16420000000000001"/>
    <n v="1"/>
    <n v="10"/>
    <n v="11"/>
    <x v="1"/>
    <x v="0"/>
    <x v="0"/>
    <x v="0"/>
    <x v="0"/>
    <n v="43.083333333333336"/>
    <n v="26.749915345931338"/>
    <n v="-0.68916951510218805"/>
    <b v="0"/>
  </r>
  <r>
    <n v="786"/>
    <x v="35"/>
    <x v="1"/>
    <x v="4"/>
    <x v="0"/>
    <x v="0"/>
    <x v="2"/>
    <n v="0.22"/>
    <n v="0.2273"/>
    <n v="0.93"/>
    <n v="0.1343"/>
    <n v="0"/>
    <n v="8"/>
    <n v="8"/>
    <x v="2"/>
    <x v="0"/>
    <x v="0"/>
    <x v="0"/>
    <x v="0"/>
    <n v="43.166666666666664"/>
    <n v="26.648544566940839"/>
    <n v="-0.77838681201757609"/>
    <b v="0"/>
  </r>
  <r>
    <n v="787"/>
    <x v="35"/>
    <x v="1"/>
    <x v="5"/>
    <x v="0"/>
    <x v="0"/>
    <x v="2"/>
    <n v="0.2"/>
    <n v="0.2273"/>
    <n v="1"/>
    <n v="8.9599999999999999E-2"/>
    <n v="0"/>
    <n v="9"/>
    <n v="9"/>
    <x v="2"/>
    <x v="0"/>
    <x v="0"/>
    <x v="0"/>
    <x v="0"/>
    <n v="42.916666666666664"/>
    <n v="27.018378071660564"/>
    <n v="-0.93136977121522257"/>
    <b v="0"/>
  </r>
  <r>
    <n v="788"/>
    <x v="35"/>
    <x v="1"/>
    <x v="6"/>
    <x v="0"/>
    <x v="0"/>
    <x v="2"/>
    <n v="0.2"/>
    <n v="0.2576"/>
    <n v="1"/>
    <n v="0"/>
    <n v="0"/>
    <n v="4"/>
    <n v="4"/>
    <x v="2"/>
    <x v="0"/>
    <x v="0"/>
    <x v="1"/>
    <x v="0"/>
    <n v="42.583333333333336"/>
    <n v="27.500065876073933"/>
    <n v="-0.94644251194965645"/>
    <b v="0"/>
  </r>
  <r>
    <n v="789"/>
    <x v="35"/>
    <x v="1"/>
    <x v="7"/>
    <x v="0"/>
    <x v="0"/>
    <x v="2"/>
    <n v="0.22"/>
    <n v="0.2576"/>
    <n v="0.93"/>
    <n v="8.9599999999999999E-2"/>
    <n v="0"/>
    <n v="4"/>
    <n v="4"/>
    <x v="2"/>
    <x v="0"/>
    <x v="0"/>
    <x v="1"/>
    <x v="0"/>
    <n v="42.458333333333336"/>
    <n v="27.689236908584359"/>
    <n v="-0.95708344432218095"/>
    <b v="0"/>
  </r>
  <r>
    <n v="790"/>
    <x v="35"/>
    <x v="1"/>
    <x v="8"/>
    <x v="0"/>
    <x v="0"/>
    <x v="2"/>
    <n v="0.2"/>
    <n v="0.2273"/>
    <n v="1"/>
    <n v="8.9599999999999999E-2"/>
    <n v="0"/>
    <n v="10"/>
    <n v="10"/>
    <x v="2"/>
    <x v="0"/>
    <x v="0"/>
    <x v="1"/>
    <x v="0"/>
    <n v="42.625"/>
    <n v="27.458763549223658"/>
    <n v="-0.88199993607222005"/>
    <b v="0"/>
  </r>
  <r>
    <n v="791"/>
    <x v="35"/>
    <x v="1"/>
    <x v="9"/>
    <x v="0"/>
    <x v="0"/>
    <x v="2"/>
    <n v="0.2"/>
    <n v="0.2273"/>
    <n v="1"/>
    <n v="8.9599999999999999E-2"/>
    <n v="3"/>
    <n v="17"/>
    <n v="20"/>
    <x v="2"/>
    <x v="0"/>
    <x v="0"/>
    <x v="1"/>
    <x v="0"/>
    <n v="43.166666666666664"/>
    <n v="26.909941054120353"/>
    <n v="-0.71726687134619249"/>
    <b v="0"/>
  </r>
  <r>
    <n v="792"/>
    <x v="35"/>
    <x v="1"/>
    <x v="10"/>
    <x v="0"/>
    <x v="0"/>
    <x v="2"/>
    <n v="0.2"/>
    <n v="0.21210000000000001"/>
    <n v="1"/>
    <n v="0.1343"/>
    <n v="3"/>
    <n v="31"/>
    <n v="34"/>
    <x v="2"/>
    <x v="0"/>
    <x v="0"/>
    <x v="1"/>
    <x v="0"/>
    <n v="44.208333333333336"/>
    <n v="26.454192018701288"/>
    <n v="-0.45817600603690423"/>
    <b v="0"/>
  </r>
  <r>
    <n v="793"/>
    <x v="35"/>
    <x v="1"/>
    <x v="11"/>
    <x v="0"/>
    <x v="0"/>
    <x v="2"/>
    <n v="0.22"/>
    <n v="0.2273"/>
    <n v="1"/>
    <n v="0.1343"/>
    <n v="1"/>
    <n v="46"/>
    <n v="47"/>
    <x v="2"/>
    <x v="0"/>
    <x v="0"/>
    <x v="1"/>
    <x v="0"/>
    <n v="46.5"/>
    <n v="27.875499605583208"/>
    <n v="0.11685882540009357"/>
    <b v="0"/>
  </r>
  <r>
    <n v="794"/>
    <x v="35"/>
    <x v="1"/>
    <x v="12"/>
    <x v="0"/>
    <x v="0"/>
    <x v="2"/>
    <n v="0.22"/>
    <n v="0.2273"/>
    <n v="1"/>
    <n v="0.16420000000000001"/>
    <n v="10"/>
    <n v="42"/>
    <n v="52"/>
    <x v="2"/>
    <x v="0"/>
    <x v="0"/>
    <x v="2"/>
    <x v="0"/>
    <n v="49.416666666666664"/>
    <n v="31.372816628227785"/>
    <n v="0.52815004431426837"/>
    <b v="0"/>
  </r>
  <r>
    <n v="795"/>
    <x v="35"/>
    <x v="1"/>
    <x v="13"/>
    <x v="0"/>
    <x v="0"/>
    <x v="2"/>
    <n v="0.22"/>
    <n v="0.2273"/>
    <n v="1"/>
    <n v="0.16420000000000001"/>
    <n v="10"/>
    <n v="62"/>
    <n v="72"/>
    <x v="2"/>
    <x v="0"/>
    <x v="0"/>
    <x v="2"/>
    <x v="0"/>
    <n v="54.5"/>
    <n v="40.395867201441803"/>
    <n v="1.3698665536980605"/>
    <b v="0"/>
  </r>
  <r>
    <n v="796"/>
    <x v="35"/>
    <x v="1"/>
    <x v="14"/>
    <x v="0"/>
    <x v="0"/>
    <x v="2"/>
    <n v="0.22"/>
    <n v="0.2727"/>
    <n v="1"/>
    <n v="0"/>
    <n v="5"/>
    <n v="50"/>
    <n v="55"/>
    <x v="2"/>
    <x v="0"/>
    <x v="0"/>
    <x v="2"/>
    <x v="0"/>
    <n v="59.083333333333336"/>
    <n v="47.993583508329678"/>
    <n v="1.6152200951170479"/>
    <b v="0"/>
  </r>
  <r>
    <n v="797"/>
    <x v="35"/>
    <x v="1"/>
    <x v="15"/>
    <x v="0"/>
    <x v="0"/>
    <x v="2"/>
    <n v="0.22"/>
    <n v="0.2727"/>
    <n v="1"/>
    <n v="0"/>
    <n v="11"/>
    <n v="49"/>
    <n v="60"/>
    <x v="2"/>
    <x v="0"/>
    <x v="0"/>
    <x v="2"/>
    <x v="0"/>
    <n v="63.5"/>
    <n v="52.286834322592732"/>
    <n v="1.4690245766430845"/>
    <b v="0"/>
  </r>
  <r>
    <n v="798"/>
    <x v="35"/>
    <x v="1"/>
    <x v="16"/>
    <x v="0"/>
    <x v="0"/>
    <x v="2"/>
    <n v="0.22"/>
    <n v="0.2273"/>
    <n v="1"/>
    <n v="0.1343"/>
    <n v="8"/>
    <n v="63"/>
    <n v="71"/>
    <x v="2"/>
    <x v="0"/>
    <x v="0"/>
    <x v="2"/>
    <x v="0"/>
    <n v="68.583333333333329"/>
    <n v="57.592962029768174"/>
    <n v="1.9610166633303543"/>
    <b v="0"/>
  </r>
  <r>
    <n v="799"/>
    <x v="35"/>
    <x v="1"/>
    <x v="17"/>
    <x v="0"/>
    <x v="0"/>
    <x v="1"/>
    <n v="0.24"/>
    <n v="0.21210000000000001"/>
    <n v="1"/>
    <n v="0.28360000000000002"/>
    <n v="14"/>
    <n v="64"/>
    <n v="78"/>
    <x v="1"/>
    <x v="0"/>
    <x v="0"/>
    <x v="3"/>
    <x v="0"/>
    <n v="72.166666666666671"/>
    <n v="60.358830387915084"/>
    <n v="1.8048089833453904"/>
    <b v="1"/>
  </r>
  <r>
    <n v="800"/>
    <x v="35"/>
    <x v="1"/>
    <x v="18"/>
    <x v="0"/>
    <x v="0"/>
    <x v="1"/>
    <n v="0.28000000000000003"/>
    <n v="0.2424"/>
    <n v="0.93"/>
    <n v="0.44779999999999998"/>
    <n v="2"/>
    <n v="81"/>
    <n v="83"/>
    <x v="1"/>
    <x v="0"/>
    <x v="0"/>
    <x v="3"/>
    <x v="0"/>
    <n v="73.958333333333329"/>
    <n v="61.172229538138197"/>
    <n v="1.2481034816576657"/>
    <b v="0"/>
  </r>
  <r>
    <n v="801"/>
    <x v="35"/>
    <x v="1"/>
    <x v="19"/>
    <x v="0"/>
    <x v="0"/>
    <x v="1"/>
    <n v="0.28000000000000003"/>
    <n v="0.2424"/>
    <n v="0.93"/>
    <n v="0.44779999999999998"/>
    <n v="6"/>
    <n v="78"/>
    <n v="84"/>
    <x v="1"/>
    <x v="0"/>
    <x v="0"/>
    <x v="3"/>
    <x v="0"/>
    <n v="73.75"/>
    <n v="61.148607293323074"/>
    <n v="0.30706825154249695"/>
    <b v="0"/>
  </r>
  <r>
    <n v="802"/>
    <x v="35"/>
    <x v="1"/>
    <x v="20"/>
    <x v="0"/>
    <x v="0"/>
    <x v="0"/>
    <n v="0.3"/>
    <n v="0.28789999999999999"/>
    <n v="0.87"/>
    <n v="0.25369999999999998"/>
    <n v="5"/>
    <n v="64"/>
    <n v="69"/>
    <x v="0"/>
    <x v="0"/>
    <x v="0"/>
    <x v="3"/>
    <x v="1"/>
    <n v="71.125"/>
    <n v="62.03527222475936"/>
    <n v="-0.65232639720810659"/>
    <b v="0"/>
  </r>
  <r>
    <n v="803"/>
    <x v="35"/>
    <x v="1"/>
    <x v="21"/>
    <x v="0"/>
    <x v="0"/>
    <x v="0"/>
    <n v="0.26"/>
    <n v="0.2576"/>
    <n v="1"/>
    <n v="0.19400000000000001"/>
    <n v="3"/>
    <n v="53"/>
    <n v="56"/>
    <x v="0"/>
    <x v="0"/>
    <x v="0"/>
    <x v="0"/>
    <x v="0"/>
    <n v="69.333333333333329"/>
    <n v="62.716523491346202"/>
    <n v="-0.63781233174655283"/>
    <b v="0"/>
  </r>
  <r>
    <n v="804"/>
    <x v="35"/>
    <x v="1"/>
    <x v="22"/>
    <x v="0"/>
    <x v="0"/>
    <x v="0"/>
    <n v="0.26"/>
    <n v="0.2727"/>
    <n v="0.93"/>
    <n v="0.1343"/>
    <n v="2"/>
    <n v="43"/>
    <n v="45"/>
    <x v="0"/>
    <x v="0"/>
    <x v="0"/>
    <x v="0"/>
    <x v="0"/>
    <n v="68.125"/>
    <n v="63.261577390332619"/>
    <n v="-0.66702326890902908"/>
    <b v="0"/>
  </r>
  <r>
    <n v="805"/>
    <x v="35"/>
    <x v="1"/>
    <x v="23"/>
    <x v="0"/>
    <x v="0"/>
    <x v="0"/>
    <n v="0.26"/>
    <n v="0.2576"/>
    <n v="0.93"/>
    <n v="0.22389999999999999"/>
    <n v="7"/>
    <n v="52"/>
    <n v="59"/>
    <x v="0"/>
    <x v="0"/>
    <x v="0"/>
    <x v="0"/>
    <x v="0"/>
    <n v="68.833333333333329"/>
    <n v="63.086322273302748"/>
    <n v="-0.16407747171293011"/>
    <b v="0"/>
  </r>
  <r>
    <n v="806"/>
    <x v="36"/>
    <x v="1"/>
    <x v="0"/>
    <x v="0"/>
    <x v="1"/>
    <x v="0"/>
    <n v="0.26"/>
    <n v="0.2576"/>
    <n v="0.7"/>
    <n v="0.19400000000000001"/>
    <n v="2"/>
    <n v="37"/>
    <n v="39"/>
    <x v="0"/>
    <x v="1"/>
    <x v="0"/>
    <x v="0"/>
    <x v="0"/>
    <n v="67.625"/>
    <n v="63.558813913468811"/>
    <n v="-0.64027329586249893"/>
    <b v="0"/>
  </r>
  <r>
    <n v="807"/>
    <x v="36"/>
    <x v="1"/>
    <x v="1"/>
    <x v="0"/>
    <x v="1"/>
    <x v="0"/>
    <n v="0.26"/>
    <n v="0.2273"/>
    <n v="0.65"/>
    <n v="0.41789999999999999"/>
    <n v="4"/>
    <n v="40"/>
    <n v="44"/>
    <x v="0"/>
    <x v="1"/>
    <x v="0"/>
    <x v="0"/>
    <x v="0"/>
    <n v="66.625"/>
    <n v="64.214188124757442"/>
    <n v="-0.86629084289193992"/>
    <b v="0"/>
  </r>
  <r>
    <n v="808"/>
    <x v="36"/>
    <x v="1"/>
    <x v="2"/>
    <x v="0"/>
    <x v="1"/>
    <x v="0"/>
    <n v="0.26"/>
    <n v="0.2273"/>
    <n v="0.6"/>
    <n v="0.32840000000000003"/>
    <n v="0"/>
    <n v="20"/>
    <n v="20"/>
    <x v="0"/>
    <x v="1"/>
    <x v="0"/>
    <x v="0"/>
    <x v="0"/>
    <n v="65"/>
    <n v="65.295981632802679"/>
    <n v="-1.0138102503368633"/>
    <b v="1"/>
  </r>
  <r>
    <n v="809"/>
    <x v="36"/>
    <x v="1"/>
    <x v="3"/>
    <x v="0"/>
    <x v="1"/>
    <x v="0"/>
    <n v="0.26"/>
    <n v="0.28789999999999999"/>
    <n v="0.6"/>
    <n v="8.9599999999999999E-2"/>
    <n v="3"/>
    <n v="10"/>
    <n v="13"/>
    <x v="0"/>
    <x v="1"/>
    <x v="0"/>
    <x v="0"/>
    <x v="0"/>
    <n v="64.291666666666671"/>
    <n v="65.894830018662361"/>
    <n v="-1.0431250631307256"/>
    <b v="1"/>
  </r>
  <r>
    <n v="810"/>
    <x v="36"/>
    <x v="1"/>
    <x v="4"/>
    <x v="0"/>
    <x v="1"/>
    <x v="0"/>
    <n v="0.26"/>
    <n v="0.2273"/>
    <n v="0.6"/>
    <n v="0.35820000000000002"/>
    <n v="0"/>
    <n v="2"/>
    <n v="2"/>
    <x v="0"/>
    <x v="1"/>
    <x v="0"/>
    <x v="0"/>
    <x v="0"/>
    <n v="63.791666666666664"/>
    <n v="66.344934714858525"/>
    <n v="-1.0723791253235802"/>
    <b v="0"/>
  </r>
  <r>
    <n v="811"/>
    <x v="36"/>
    <x v="1"/>
    <x v="5"/>
    <x v="0"/>
    <x v="1"/>
    <x v="0"/>
    <n v="0.26"/>
    <n v="0.2576"/>
    <n v="0.6"/>
    <n v="0.22389999999999999"/>
    <n v="0"/>
    <n v="1"/>
    <n v="1"/>
    <x v="0"/>
    <x v="1"/>
    <x v="0"/>
    <x v="0"/>
    <x v="0"/>
    <n v="63.791666666666664"/>
    <n v="66.344934714858525"/>
    <n v="-1.0570685369786865"/>
    <b v="0"/>
  </r>
  <r>
    <n v="812"/>
    <x v="36"/>
    <x v="1"/>
    <x v="6"/>
    <x v="0"/>
    <x v="1"/>
    <x v="0"/>
    <n v="0.26"/>
    <n v="0.2576"/>
    <n v="0.6"/>
    <n v="0.22389999999999999"/>
    <n v="0"/>
    <n v="1"/>
    <n v="1"/>
    <x v="0"/>
    <x v="1"/>
    <x v="0"/>
    <x v="1"/>
    <x v="0"/>
    <n v="64.166666666666671"/>
    <n v="65.999121645450813"/>
    <n v="-0.93587597463258498"/>
    <b v="0"/>
  </r>
  <r>
    <n v="813"/>
    <x v="36"/>
    <x v="1"/>
    <x v="7"/>
    <x v="0"/>
    <x v="1"/>
    <x v="0"/>
    <n v="0.24"/>
    <n v="0.2424"/>
    <n v="0.65"/>
    <n v="0.16420000000000001"/>
    <n v="0"/>
    <n v="8"/>
    <n v="8"/>
    <x v="0"/>
    <x v="1"/>
    <x v="0"/>
    <x v="1"/>
    <x v="0"/>
    <n v="65.375"/>
    <n v="65.051025123092543"/>
    <n v="-0.62105971483226852"/>
    <b v="0"/>
  </r>
  <r>
    <n v="814"/>
    <x v="36"/>
    <x v="1"/>
    <x v="8"/>
    <x v="0"/>
    <x v="1"/>
    <x v="0"/>
    <n v="0.24"/>
    <n v="0.2576"/>
    <n v="0.65"/>
    <n v="0.1045"/>
    <n v="2"/>
    <n v="21"/>
    <n v="23"/>
    <x v="0"/>
    <x v="1"/>
    <x v="0"/>
    <x v="1"/>
    <x v="0"/>
    <n v="69"/>
    <n v="64.132336007190091"/>
    <n v="0.36508353174217401"/>
    <b v="0"/>
  </r>
  <r>
    <n v="815"/>
    <x v="36"/>
    <x v="1"/>
    <x v="9"/>
    <x v="0"/>
    <x v="1"/>
    <x v="0"/>
    <n v="0.28000000000000003"/>
    <n v="0.28789999999999999"/>
    <n v="0.56000000000000005"/>
    <n v="0.1045"/>
    <n v="7"/>
    <n v="38"/>
    <n v="45"/>
    <x v="0"/>
    <x v="1"/>
    <x v="0"/>
    <x v="1"/>
    <x v="0"/>
    <n v="77.625"/>
    <n v="71.20626041114032"/>
    <n v="2.4230109343438606"/>
    <b v="0"/>
  </r>
  <r>
    <n v="816"/>
    <x v="36"/>
    <x v="1"/>
    <x v="10"/>
    <x v="0"/>
    <x v="1"/>
    <x v="0"/>
    <n v="0.3"/>
    <n v="0.28789999999999999"/>
    <n v="0.52"/>
    <n v="0.25369999999999998"/>
    <n v="15"/>
    <n v="74"/>
    <n v="89"/>
    <x v="0"/>
    <x v="1"/>
    <x v="0"/>
    <x v="1"/>
    <x v="1"/>
    <n v="80.666666666666671"/>
    <n v="71.311116681193823"/>
    <n v="0.68955032772391833"/>
    <b v="0"/>
  </r>
  <r>
    <n v="817"/>
    <x v="36"/>
    <x v="1"/>
    <x v="11"/>
    <x v="0"/>
    <x v="1"/>
    <x v="0"/>
    <n v="0.32"/>
    <n v="0.30299999999999999"/>
    <n v="0.49"/>
    <n v="0.25369999999999998"/>
    <n v="28"/>
    <n v="89"/>
    <n v="117"/>
    <x v="0"/>
    <x v="1"/>
    <x v="0"/>
    <x v="1"/>
    <x v="1"/>
    <n v="79.25"/>
    <n v="71.475900468801981"/>
    <n v="-0.26053847903929162"/>
    <b v="0"/>
  </r>
  <r>
    <n v="818"/>
    <x v="36"/>
    <x v="1"/>
    <x v="12"/>
    <x v="0"/>
    <x v="1"/>
    <x v="0"/>
    <n v="0.34"/>
    <n v="0.33329999999999999"/>
    <n v="0.46"/>
    <n v="0"/>
    <n v="48"/>
    <n v="126"/>
    <n v="174"/>
    <x v="0"/>
    <x v="1"/>
    <x v="0"/>
    <x v="2"/>
    <x v="1"/>
    <n v="76.333333333333329"/>
    <n v="71.296482422326434"/>
    <n v="-0.37423237695352884"/>
    <b v="0"/>
  </r>
  <r>
    <n v="819"/>
    <x v="36"/>
    <x v="1"/>
    <x v="13"/>
    <x v="0"/>
    <x v="1"/>
    <x v="0"/>
    <n v="0.34"/>
    <n v="0.36359999999999998"/>
    <n v="0.46"/>
    <n v="0"/>
    <n v="47"/>
    <n v="135"/>
    <n v="182"/>
    <x v="0"/>
    <x v="1"/>
    <x v="0"/>
    <x v="2"/>
    <x v="1"/>
    <n v="71.833333333333329"/>
    <n v="68.205359133229067"/>
    <n v="-9.5010026303431722E-2"/>
    <b v="0"/>
  </r>
  <r>
    <n v="820"/>
    <x v="36"/>
    <x v="1"/>
    <x v="14"/>
    <x v="0"/>
    <x v="1"/>
    <x v="0"/>
    <n v="0.34"/>
    <n v="0.34849999999999998"/>
    <n v="0.46"/>
    <n v="8.9599999999999999E-2"/>
    <n v="47"/>
    <n v="114"/>
    <n v="161"/>
    <x v="0"/>
    <x v="1"/>
    <x v="0"/>
    <x v="2"/>
    <x v="1"/>
    <n v="66.916666666666671"/>
    <n v="64.044764688910917"/>
    <n v="-0.12399844233752465"/>
    <b v="0"/>
  </r>
  <r>
    <n v="821"/>
    <x v="36"/>
    <x v="1"/>
    <x v="15"/>
    <x v="0"/>
    <x v="1"/>
    <x v="0"/>
    <n v="0.34"/>
    <n v="0.34849999999999998"/>
    <n v="0.46"/>
    <n v="8.9599999999999999E-2"/>
    <n v="52"/>
    <n v="130"/>
    <n v="182"/>
    <x v="0"/>
    <x v="1"/>
    <x v="0"/>
    <x v="2"/>
    <x v="1"/>
    <n v="62.708333333333336"/>
    <n v="60.831541565830484"/>
    <n v="-0.17423455691869258"/>
    <b v="0"/>
  </r>
  <r>
    <n v="822"/>
    <x v="36"/>
    <x v="1"/>
    <x v="16"/>
    <x v="0"/>
    <x v="1"/>
    <x v="0"/>
    <n v="0.34"/>
    <n v="0.34849999999999998"/>
    <n v="0.49"/>
    <n v="0.1045"/>
    <n v="42"/>
    <n v="115"/>
    <n v="157"/>
    <x v="0"/>
    <x v="1"/>
    <x v="0"/>
    <x v="2"/>
    <x v="1"/>
    <n v="57.208333333333336"/>
    <n v="55.292093283851578"/>
    <n v="-0.32457971909667976"/>
    <b v="0"/>
  </r>
  <r>
    <n v="823"/>
    <x v="36"/>
    <x v="1"/>
    <x v="17"/>
    <x v="0"/>
    <x v="1"/>
    <x v="0"/>
    <n v="0.34"/>
    <n v="0.36359999999999998"/>
    <n v="0.46"/>
    <n v="0"/>
    <n v="24"/>
    <n v="97"/>
    <n v="121"/>
    <x v="0"/>
    <x v="1"/>
    <x v="0"/>
    <x v="3"/>
    <x v="1"/>
    <n v="55.416666666666664"/>
    <n v="52.546390821880401"/>
    <n v="0.62095471947846914"/>
    <b v="1"/>
  </r>
  <r>
    <n v="824"/>
    <x v="36"/>
    <x v="1"/>
    <x v="18"/>
    <x v="0"/>
    <x v="1"/>
    <x v="0"/>
    <n v="0.3"/>
    <n v="0.30299999999999999"/>
    <n v="0.56000000000000005"/>
    <n v="0.16420000000000001"/>
    <n v="13"/>
    <n v="65"/>
    <n v="78"/>
    <x v="0"/>
    <x v="1"/>
    <x v="0"/>
    <x v="3"/>
    <x v="1"/>
    <n v="59.375"/>
    <n v="60.654267923958201"/>
    <n v="2.1654727748103419"/>
    <b v="0"/>
  </r>
  <r>
    <n v="825"/>
    <x v="36"/>
    <x v="1"/>
    <x v="19"/>
    <x v="0"/>
    <x v="1"/>
    <x v="0"/>
    <n v="0.28000000000000003"/>
    <n v="0.28789999999999999"/>
    <n v="0.61"/>
    <n v="0.1343"/>
    <n v="1"/>
    <n v="20"/>
    <n v="21"/>
    <x v="0"/>
    <x v="1"/>
    <x v="0"/>
    <x v="3"/>
    <x v="0"/>
    <n v="63.416666666666664"/>
    <n v="65.023685762535237"/>
    <n v="1.6623091833337043"/>
    <b v="0"/>
  </r>
  <r>
    <n v="826"/>
    <x v="36"/>
    <x v="1"/>
    <x v="20"/>
    <x v="0"/>
    <x v="1"/>
    <x v="0"/>
    <n v="0.28000000000000003"/>
    <n v="0.28789999999999999"/>
    <n v="0.61"/>
    <n v="0.1045"/>
    <n v="5"/>
    <n v="21"/>
    <n v="26"/>
    <x v="0"/>
    <x v="1"/>
    <x v="0"/>
    <x v="3"/>
    <x v="0"/>
    <n v="67.875"/>
    <n v="65.654108451198539"/>
    <n v="0.96275767433158221"/>
    <b v="0"/>
  </r>
  <r>
    <n v="827"/>
    <x v="36"/>
    <x v="1"/>
    <x v="21"/>
    <x v="0"/>
    <x v="1"/>
    <x v="0"/>
    <n v="0.26"/>
    <n v="0.30299999999999999"/>
    <n v="0.6"/>
    <n v="0"/>
    <n v="5"/>
    <n v="22"/>
    <n v="27"/>
    <x v="0"/>
    <x v="1"/>
    <x v="0"/>
    <x v="0"/>
    <x v="0"/>
    <n v="70.458333333333329"/>
    <n v="65.15264962856989"/>
    <n v="0.34302294232242792"/>
    <b v="0"/>
  </r>
  <r>
    <n v="828"/>
    <x v="36"/>
    <x v="1"/>
    <x v="22"/>
    <x v="0"/>
    <x v="1"/>
    <x v="0"/>
    <n v="0.26"/>
    <n v="0.30299999999999999"/>
    <n v="0.6"/>
    <n v="0"/>
    <n v="5"/>
    <n v="57"/>
    <n v="62"/>
    <x v="0"/>
    <x v="1"/>
    <x v="0"/>
    <x v="0"/>
    <x v="0"/>
    <n v="72.583333333333329"/>
    <n v="64.502050298836423"/>
    <n v="0.20216539823333177"/>
    <b v="0"/>
  </r>
  <r>
    <n v="829"/>
    <x v="36"/>
    <x v="1"/>
    <x v="23"/>
    <x v="0"/>
    <x v="1"/>
    <x v="0"/>
    <n v="0.24"/>
    <n v="0.28789999999999999"/>
    <n v="0.65"/>
    <n v="0"/>
    <n v="4"/>
    <n v="26"/>
    <n v="30"/>
    <x v="0"/>
    <x v="1"/>
    <x v="0"/>
    <x v="0"/>
    <x v="0"/>
    <n v="71.541666666666671"/>
    <n v="64.881148308249763"/>
    <n v="-0.4514085265683096"/>
    <b v="0"/>
  </r>
  <r>
    <n v="830"/>
    <x v="37"/>
    <x v="1"/>
    <x v="0"/>
    <x v="0"/>
    <x v="2"/>
    <x v="0"/>
    <n v="0.24"/>
    <n v="0.28789999999999999"/>
    <n v="0.65"/>
    <n v="0"/>
    <n v="1"/>
    <n v="14"/>
    <n v="15"/>
    <x v="0"/>
    <x v="2"/>
    <x v="1"/>
    <x v="0"/>
    <x v="0"/>
    <n v="71.333333333333329"/>
    <n v="65.028199011403245"/>
    <n v="-0.64018094815027859"/>
    <b v="0"/>
  </r>
  <r>
    <n v="831"/>
    <x v="37"/>
    <x v="1"/>
    <x v="1"/>
    <x v="0"/>
    <x v="2"/>
    <x v="0"/>
    <n v="0.22"/>
    <n v="0.2727"/>
    <n v="0.75"/>
    <n v="0"/>
    <n v="1"/>
    <n v="4"/>
    <n v="5"/>
    <x v="0"/>
    <x v="2"/>
    <x v="1"/>
    <x v="0"/>
    <x v="0"/>
    <n v="71.125"/>
    <n v="65.224236959557615"/>
    <n v="-0.86983032332386845"/>
    <b v="0"/>
  </r>
  <r>
    <n v="832"/>
    <x v="37"/>
    <x v="1"/>
    <x v="2"/>
    <x v="0"/>
    <x v="2"/>
    <x v="0"/>
    <n v="0.2"/>
    <n v="0.2576"/>
    <n v="0.8"/>
    <n v="0"/>
    <n v="0"/>
    <n v="3"/>
    <n v="3"/>
    <x v="0"/>
    <x v="2"/>
    <x v="1"/>
    <x v="0"/>
    <x v="0"/>
    <n v="71.083333333333329"/>
    <n v="65.268619976395911"/>
    <n v="-0.97557423067890614"/>
    <b v="1"/>
  </r>
  <r>
    <n v="833"/>
    <x v="37"/>
    <x v="1"/>
    <x v="3"/>
    <x v="0"/>
    <x v="2"/>
    <x v="0"/>
    <n v="0.2"/>
    <n v="0.2576"/>
    <n v="0.86"/>
    <n v="0"/>
    <n v="0"/>
    <n v="1"/>
    <n v="1"/>
    <x v="0"/>
    <x v="2"/>
    <x v="1"/>
    <x v="0"/>
    <x v="0"/>
    <n v="71.041666666666671"/>
    <n v="65.314276464988325"/>
    <n v="-1.012146492188998"/>
    <b v="0"/>
  </r>
  <r>
    <n v="834"/>
    <x v="37"/>
    <x v="1"/>
    <x v="4"/>
    <x v="0"/>
    <x v="2"/>
    <x v="0"/>
    <n v="0.2"/>
    <n v="0.2576"/>
    <n v="0.86"/>
    <n v="0"/>
    <n v="1"/>
    <n v="1"/>
    <n v="2"/>
    <x v="0"/>
    <x v="2"/>
    <x v="1"/>
    <x v="0"/>
    <x v="0"/>
    <n v="71.041666666666671"/>
    <n v="65.314276464988325"/>
    <n v="-1.0298384786319257"/>
    <b v="0"/>
  </r>
  <r>
    <n v="835"/>
    <x v="37"/>
    <x v="1"/>
    <x v="5"/>
    <x v="0"/>
    <x v="2"/>
    <x v="0"/>
    <n v="0.2"/>
    <n v="0.2576"/>
    <n v="0.86"/>
    <n v="0"/>
    <n v="1"/>
    <n v="9"/>
    <n v="10"/>
    <x v="0"/>
    <x v="2"/>
    <x v="1"/>
    <x v="0"/>
    <x v="0"/>
    <n v="71.083333333333329"/>
    <n v="65.268619976395911"/>
    <n v="-0.99865509114861717"/>
    <b v="0"/>
  </r>
  <r>
    <n v="836"/>
    <x v="37"/>
    <x v="1"/>
    <x v="6"/>
    <x v="0"/>
    <x v="2"/>
    <x v="0"/>
    <n v="0.18"/>
    <n v="0.2424"/>
    <n v="0.93"/>
    <n v="0"/>
    <n v="1"/>
    <n v="29"/>
    <n v="30"/>
    <x v="0"/>
    <x v="2"/>
    <x v="1"/>
    <x v="1"/>
    <x v="2"/>
    <n v="70.75"/>
    <n v="65.613658440244308"/>
    <n v="-1.0204802747123041"/>
    <b v="0"/>
  </r>
  <r>
    <n v="837"/>
    <x v="37"/>
    <x v="1"/>
    <x v="7"/>
    <x v="0"/>
    <x v="2"/>
    <x v="0"/>
    <n v="0.18"/>
    <n v="0.2424"/>
    <n v="0.86"/>
    <n v="0"/>
    <n v="6"/>
    <n v="89"/>
    <n v="95"/>
    <x v="0"/>
    <x v="2"/>
    <x v="1"/>
    <x v="1"/>
    <x v="2"/>
    <n v="71.125"/>
    <n v="65.395992763817091"/>
    <n v="-0.45280405951327113"/>
    <b v="0"/>
  </r>
  <r>
    <n v="838"/>
    <x v="37"/>
    <x v="1"/>
    <x v="8"/>
    <x v="0"/>
    <x v="2"/>
    <x v="1"/>
    <n v="0.16"/>
    <n v="0.2273"/>
    <n v="1"/>
    <n v="0"/>
    <n v="7"/>
    <n v="223"/>
    <n v="230"/>
    <x v="1"/>
    <x v="2"/>
    <x v="1"/>
    <x v="1"/>
    <x v="2"/>
    <n v="71.333333333333329"/>
    <n v="65.483264816397877"/>
    <n v="0.52313270885528829"/>
    <b v="0"/>
  </r>
  <r>
    <n v="839"/>
    <x v="37"/>
    <x v="1"/>
    <x v="9"/>
    <x v="0"/>
    <x v="2"/>
    <x v="0"/>
    <n v="0.22"/>
    <n v="0.2727"/>
    <n v="0.8"/>
    <n v="0"/>
    <n v="3"/>
    <n v="115"/>
    <n v="118"/>
    <x v="0"/>
    <x v="2"/>
    <x v="1"/>
    <x v="1"/>
    <x v="0"/>
    <n v="71.875"/>
    <n v="66.891419154640005"/>
    <n v="2.6037163197705153"/>
    <b v="0"/>
  </r>
  <r>
    <n v="840"/>
    <x v="37"/>
    <x v="1"/>
    <x v="10"/>
    <x v="0"/>
    <x v="2"/>
    <x v="0"/>
    <n v="0.24"/>
    <n v="0.2576"/>
    <n v="0.75"/>
    <n v="0.1045"/>
    <n v="6"/>
    <n v="49"/>
    <n v="55"/>
    <x v="0"/>
    <x v="2"/>
    <x v="1"/>
    <x v="1"/>
    <x v="0"/>
    <n v="72.583333333333329"/>
    <n v="67.488431644224036"/>
    <n v="1.208044754245913"/>
    <b v="0"/>
  </r>
  <r>
    <n v="841"/>
    <x v="37"/>
    <x v="1"/>
    <x v="11"/>
    <x v="0"/>
    <x v="2"/>
    <x v="0"/>
    <n v="0.3"/>
    <n v="0.31819999999999998"/>
    <n v="0.65"/>
    <n v="8.9599999999999999E-2"/>
    <n v="11"/>
    <n v="36"/>
    <n v="47"/>
    <x v="0"/>
    <x v="2"/>
    <x v="1"/>
    <x v="1"/>
    <x v="1"/>
    <n v="72.291666666666671"/>
    <n v="67.582786055433473"/>
    <n v="-0.30819939681792463"/>
    <b v="0"/>
  </r>
  <r>
    <n v="842"/>
    <x v="37"/>
    <x v="1"/>
    <x v="12"/>
    <x v="0"/>
    <x v="2"/>
    <x v="1"/>
    <n v="0.32"/>
    <n v="0.34849999999999998"/>
    <n v="0.62"/>
    <n v="0"/>
    <n v="7"/>
    <n v="59"/>
    <n v="66"/>
    <x v="1"/>
    <x v="2"/>
    <x v="1"/>
    <x v="2"/>
    <x v="1"/>
    <n v="72.416666666666671"/>
    <n v="67.536731820006921"/>
    <n v="-0.26505409442115174"/>
    <b v="0"/>
  </r>
  <r>
    <n v="843"/>
    <x v="37"/>
    <x v="1"/>
    <x v="13"/>
    <x v="0"/>
    <x v="2"/>
    <x v="1"/>
    <n v="0.36"/>
    <n v="0.36359999999999998"/>
    <n v="0.56999999999999995"/>
    <n v="8.9599999999999999E-2"/>
    <n v="10"/>
    <n v="54"/>
    <n v="64"/>
    <x v="1"/>
    <x v="2"/>
    <x v="1"/>
    <x v="2"/>
    <x v="1"/>
    <n v="72.375"/>
    <n v="67.541171018932559"/>
    <n v="4.6434104091213945E-3"/>
    <b v="0"/>
  </r>
  <r>
    <n v="844"/>
    <x v="37"/>
    <x v="1"/>
    <x v="14"/>
    <x v="0"/>
    <x v="2"/>
    <x v="1"/>
    <n v="0.36"/>
    <n v="0.36359999999999998"/>
    <n v="0.56999999999999995"/>
    <n v="8.9599999999999999E-2"/>
    <n v="8"/>
    <n v="52"/>
    <n v="60"/>
    <x v="1"/>
    <x v="2"/>
    <x v="1"/>
    <x v="2"/>
    <x v="1"/>
    <n v="71.791666666666671"/>
    <n v="67.676968766702871"/>
    <n v="-0.2770208127827789"/>
    <b v="0"/>
  </r>
  <r>
    <n v="845"/>
    <x v="37"/>
    <x v="1"/>
    <x v="15"/>
    <x v="0"/>
    <x v="2"/>
    <x v="1"/>
    <n v="0.38"/>
    <n v="0.39389999999999997"/>
    <n v="0.54"/>
    <n v="8.9599999999999999E-2"/>
    <n v="4"/>
    <n v="46"/>
    <n v="50"/>
    <x v="1"/>
    <x v="2"/>
    <x v="1"/>
    <x v="2"/>
    <x v="1"/>
    <n v="71.958333333333329"/>
    <n v="67.651587703767746"/>
    <n v="-2.3244961149734417E-2"/>
    <b v="0"/>
  </r>
  <r>
    <n v="846"/>
    <x v="37"/>
    <x v="1"/>
    <x v="16"/>
    <x v="0"/>
    <x v="2"/>
    <x v="1"/>
    <n v="0.36"/>
    <n v="0.34849999999999998"/>
    <n v="0.56999999999999995"/>
    <n v="0.1343"/>
    <n v="16"/>
    <n v="98"/>
    <n v="114"/>
    <x v="1"/>
    <x v="2"/>
    <x v="1"/>
    <x v="2"/>
    <x v="1"/>
    <n v="72"/>
    <n v="67.637782083813121"/>
    <n v="-0.26499255710697234"/>
    <b v="1"/>
  </r>
  <r>
    <n v="847"/>
    <x v="37"/>
    <x v="1"/>
    <x v="17"/>
    <x v="0"/>
    <x v="2"/>
    <x v="1"/>
    <n v="0.32"/>
    <n v="0.31819999999999998"/>
    <n v="0.7"/>
    <n v="0.16420000000000001"/>
    <n v="9"/>
    <n v="207"/>
    <n v="216"/>
    <x v="1"/>
    <x v="2"/>
    <x v="1"/>
    <x v="3"/>
    <x v="1"/>
    <n v="70.708333333333329"/>
    <n v="67.094663279427152"/>
    <n v="0.30849139575050188"/>
    <b v="0"/>
  </r>
  <r>
    <n v="848"/>
    <x v="37"/>
    <x v="1"/>
    <x v="18"/>
    <x v="0"/>
    <x v="2"/>
    <x v="1"/>
    <n v="0.34"/>
    <n v="0.33329999999999999"/>
    <n v="0.66"/>
    <n v="0.1343"/>
    <n v="5"/>
    <n v="170"/>
    <n v="175"/>
    <x v="1"/>
    <x v="2"/>
    <x v="1"/>
    <x v="3"/>
    <x v="1"/>
    <n v="69.041666666666671"/>
    <n v="63.741651911491886"/>
    <n v="1.8483902509310826"/>
    <b v="0"/>
  </r>
  <r>
    <n v="849"/>
    <x v="37"/>
    <x v="1"/>
    <x v="19"/>
    <x v="0"/>
    <x v="2"/>
    <x v="1"/>
    <n v="0.32"/>
    <n v="0.34849999999999998"/>
    <n v="0.7"/>
    <n v="0"/>
    <n v="5"/>
    <n v="123"/>
    <n v="128"/>
    <x v="1"/>
    <x v="2"/>
    <x v="1"/>
    <x v="3"/>
    <x v="1"/>
    <n v="68.083333333333329"/>
    <n v="62.234421250669612"/>
    <n v="1.4466026220704189"/>
    <b v="0"/>
  </r>
  <r>
    <n v="850"/>
    <x v="37"/>
    <x v="1"/>
    <x v="20"/>
    <x v="0"/>
    <x v="2"/>
    <x v="1"/>
    <n v="0.32"/>
    <n v="0.33329999999999999"/>
    <n v="0.7"/>
    <n v="0.1045"/>
    <n v="6"/>
    <n v="82"/>
    <n v="88"/>
    <x v="1"/>
    <x v="2"/>
    <x v="1"/>
    <x v="3"/>
    <x v="1"/>
    <n v="66.958333333333329"/>
    <n v="61.341863970393973"/>
    <n v="0.62624602990093792"/>
    <b v="0"/>
  </r>
  <r>
    <n v="851"/>
    <x v="37"/>
    <x v="1"/>
    <x v="21"/>
    <x v="0"/>
    <x v="2"/>
    <x v="0"/>
    <n v="0.32"/>
    <n v="0.34849999999999998"/>
    <n v="0.7"/>
    <n v="0"/>
    <n v="3"/>
    <n v="75"/>
    <n v="78"/>
    <x v="0"/>
    <x v="2"/>
    <x v="1"/>
    <x v="0"/>
    <x v="1"/>
    <n v="65.625"/>
    <n v="61.212255450941392"/>
    <n v="-0.18979712863381612"/>
    <b v="0"/>
  </r>
  <r>
    <n v="852"/>
    <x v="37"/>
    <x v="1"/>
    <x v="22"/>
    <x v="0"/>
    <x v="2"/>
    <x v="0"/>
    <n v="0.28000000000000003"/>
    <n v="0.30299999999999999"/>
    <n v="0.81"/>
    <n v="8.9599999999999999E-2"/>
    <n v="3"/>
    <n v="34"/>
    <n v="37"/>
    <x v="0"/>
    <x v="2"/>
    <x v="1"/>
    <x v="0"/>
    <x v="0"/>
    <n v="64.625"/>
    <n v="61.197337609039678"/>
    <n v="-0.24739463906218812"/>
    <b v="0"/>
  </r>
  <r>
    <n v="853"/>
    <x v="37"/>
    <x v="1"/>
    <x v="23"/>
    <x v="0"/>
    <x v="2"/>
    <x v="1"/>
    <n v="0.3"/>
    <n v="0.33329999999999999"/>
    <n v="0.81"/>
    <n v="0"/>
    <n v="6"/>
    <n v="19"/>
    <n v="25"/>
    <x v="1"/>
    <x v="2"/>
    <x v="1"/>
    <x v="0"/>
    <x v="1"/>
    <n v="64.291666666666671"/>
    <n v="61.37587627403618"/>
    <n v="-0.70221238432893418"/>
    <b v="0"/>
  </r>
  <r>
    <n v="854"/>
    <x v="38"/>
    <x v="1"/>
    <x v="0"/>
    <x v="0"/>
    <x v="3"/>
    <x v="1"/>
    <n v="0.28000000000000003"/>
    <n v="0.31819999999999998"/>
    <n v="0.87"/>
    <n v="0"/>
    <n v="4"/>
    <n v="6"/>
    <n v="10"/>
    <x v="1"/>
    <x v="3"/>
    <x v="1"/>
    <x v="0"/>
    <x v="0"/>
    <n v="63.75"/>
    <n v="61.793660853999661"/>
    <n v="-1.0263384740309895"/>
    <b v="0"/>
  </r>
  <r>
    <n v="855"/>
    <x v="38"/>
    <x v="1"/>
    <x v="1"/>
    <x v="0"/>
    <x v="3"/>
    <x v="1"/>
    <n v="0.28000000000000003"/>
    <n v="0.31819999999999998"/>
    <n v="0.87"/>
    <n v="0"/>
    <n v="0"/>
    <n v="4"/>
    <n v="4"/>
    <x v="1"/>
    <x v="3"/>
    <x v="1"/>
    <x v="0"/>
    <x v="0"/>
    <n v="64.041666666666671"/>
    <n v="61.544949403679333"/>
    <n v="-0.93976205934548107"/>
    <b v="1"/>
  </r>
  <r>
    <n v="856"/>
    <x v="38"/>
    <x v="1"/>
    <x v="2"/>
    <x v="0"/>
    <x v="3"/>
    <x v="1"/>
    <n v="0.26"/>
    <n v="0.2727"/>
    <n v="0.93"/>
    <n v="0.1045"/>
    <n v="1"/>
    <n v="1"/>
    <n v="2"/>
    <x v="1"/>
    <x v="3"/>
    <x v="1"/>
    <x v="0"/>
    <x v="0"/>
    <n v="64.166666666666671"/>
    <n v="61.420621566564989"/>
    <n v="-1.1087685160280423"/>
    <b v="1"/>
  </r>
  <r>
    <n v="857"/>
    <x v="38"/>
    <x v="1"/>
    <x v="3"/>
    <x v="0"/>
    <x v="3"/>
    <x v="2"/>
    <n v="0.28000000000000003"/>
    <n v="0.2727"/>
    <n v="0.93"/>
    <n v="0.16420000000000001"/>
    <n v="0"/>
    <n v="1"/>
    <n v="1"/>
    <x v="2"/>
    <x v="3"/>
    <x v="1"/>
    <x v="0"/>
    <x v="0"/>
    <n v="64.208333333333329"/>
    <n v="61.37693885482075"/>
    <n v="-1.1751550784082678"/>
    <b v="0"/>
  </r>
  <r>
    <n v="858"/>
    <x v="38"/>
    <x v="1"/>
    <x v="4"/>
    <x v="0"/>
    <x v="3"/>
    <x v="0"/>
    <n v="0.26"/>
    <n v="0.2576"/>
    <n v="0.93"/>
    <n v="0.16420000000000001"/>
    <n v="0"/>
    <n v="3"/>
    <n v="3"/>
    <x v="0"/>
    <x v="3"/>
    <x v="1"/>
    <x v="0"/>
    <x v="0"/>
    <n v="64.25"/>
    <n v="61.332486604111189"/>
    <n v="-1.1897325751987782"/>
    <b v="0"/>
  </r>
  <r>
    <n v="859"/>
    <x v="38"/>
    <x v="1"/>
    <x v="5"/>
    <x v="0"/>
    <x v="3"/>
    <x v="0"/>
    <n v="0.26"/>
    <n v="0.2273"/>
    <n v="0.81"/>
    <n v="0.32840000000000003"/>
    <n v="0"/>
    <n v="2"/>
    <n v="2"/>
    <x v="0"/>
    <x v="3"/>
    <x v="1"/>
    <x v="0"/>
    <x v="0"/>
    <n v="64.416666666666671"/>
    <n v="61.164010920508289"/>
    <n v="-1.1051720149479523"/>
    <b v="0"/>
  </r>
  <r>
    <n v="860"/>
    <x v="38"/>
    <x v="1"/>
    <x v="6"/>
    <x v="0"/>
    <x v="3"/>
    <x v="0"/>
    <n v="0.26"/>
    <n v="0.2273"/>
    <n v="0.7"/>
    <n v="0.32840000000000003"/>
    <n v="0"/>
    <n v="39"/>
    <n v="39"/>
    <x v="0"/>
    <x v="3"/>
    <x v="1"/>
    <x v="1"/>
    <x v="0"/>
    <n v="66.125"/>
    <n v="59.904498270526219"/>
    <n v="-0.46376047392565084"/>
    <b v="0"/>
  </r>
  <r>
    <n v="861"/>
    <x v="38"/>
    <x v="1"/>
    <x v="7"/>
    <x v="0"/>
    <x v="3"/>
    <x v="0"/>
    <n v="0.24"/>
    <n v="0.19700000000000001"/>
    <n v="0.65"/>
    <n v="0.41789999999999999"/>
    <n v="3"/>
    <n v="97"/>
    <n v="100"/>
    <x v="0"/>
    <x v="3"/>
    <x v="1"/>
    <x v="1"/>
    <x v="0"/>
    <n v="68.625"/>
    <n v="59.975221332755773"/>
    <n v="0.53754801793239626"/>
    <b v="0"/>
  </r>
  <r>
    <n v="862"/>
    <x v="38"/>
    <x v="1"/>
    <x v="8"/>
    <x v="0"/>
    <x v="3"/>
    <x v="0"/>
    <n v="0.24"/>
    <n v="0.19700000000000001"/>
    <n v="0.56000000000000005"/>
    <n v="0.49249999999999999"/>
    <n v="7"/>
    <n v="236"/>
    <n v="243"/>
    <x v="0"/>
    <x v="3"/>
    <x v="1"/>
    <x v="1"/>
    <x v="0"/>
    <n v="72.75"/>
    <n v="65.387307636880109"/>
    <n v="2.173831784903419"/>
    <b v="0"/>
  </r>
  <r>
    <n v="863"/>
    <x v="38"/>
    <x v="1"/>
    <x v="9"/>
    <x v="0"/>
    <x v="3"/>
    <x v="0"/>
    <n v="0.24"/>
    <n v="0.19700000000000001"/>
    <n v="0.52"/>
    <n v="0.49249999999999999"/>
    <n v="7"/>
    <n v="128"/>
    <n v="135"/>
    <x v="0"/>
    <x v="3"/>
    <x v="1"/>
    <x v="1"/>
    <x v="0"/>
    <n v="67.75"/>
    <n v="55.66846738387509"/>
    <n v="1.0074292684355917"/>
    <b v="0"/>
  </r>
  <r>
    <n v="864"/>
    <x v="38"/>
    <x v="1"/>
    <x v="10"/>
    <x v="0"/>
    <x v="3"/>
    <x v="0"/>
    <n v="0.22"/>
    <n v="0.18179999999999999"/>
    <n v="0.47"/>
    <n v="0.55220000000000002"/>
    <n v="4"/>
    <n v="44"/>
    <n v="48"/>
    <x v="0"/>
    <x v="3"/>
    <x v="1"/>
    <x v="1"/>
    <x v="0"/>
    <n v="64.583333333333329"/>
    <n v="53.807157004691632"/>
    <n v="-0.14701550420193615"/>
    <b v="0"/>
  </r>
  <r>
    <n v="865"/>
    <x v="38"/>
    <x v="1"/>
    <x v="11"/>
    <x v="0"/>
    <x v="3"/>
    <x v="0"/>
    <n v="0.22"/>
    <n v="0.18179999999999999"/>
    <n v="0.47"/>
    <n v="0.4627"/>
    <n v="1"/>
    <n v="49"/>
    <n v="50"/>
    <x v="0"/>
    <x v="3"/>
    <x v="1"/>
    <x v="1"/>
    <x v="0"/>
    <n v="64.291666666666671"/>
    <n v="53.91981096492043"/>
    <n v="-0.48308958161658261"/>
    <b v="0"/>
  </r>
  <r>
    <n v="866"/>
    <x v="38"/>
    <x v="1"/>
    <x v="12"/>
    <x v="0"/>
    <x v="3"/>
    <x v="0"/>
    <n v="0.24"/>
    <n v="0.19700000000000001"/>
    <n v="0.38"/>
    <n v="0.49249999999999999"/>
    <n v="2"/>
    <n v="63"/>
    <n v="65"/>
    <x v="0"/>
    <x v="3"/>
    <x v="1"/>
    <x v="2"/>
    <x v="0"/>
    <n v="64.75"/>
    <n v="53.839738031535298"/>
    <n v="-0.1197945436607374"/>
    <b v="0"/>
  </r>
  <r>
    <n v="867"/>
    <x v="38"/>
    <x v="1"/>
    <x v="13"/>
    <x v="0"/>
    <x v="3"/>
    <x v="1"/>
    <n v="0.24"/>
    <n v="0.19700000000000001"/>
    <n v="0.32"/>
    <n v="0.44779999999999998"/>
    <n v="2"/>
    <n v="48"/>
    <n v="50"/>
    <x v="1"/>
    <x v="3"/>
    <x v="1"/>
    <x v="2"/>
    <x v="0"/>
    <n v="64.916666666666671"/>
    <n v="53.84673634021614"/>
    <n v="3.4808419882265067E-2"/>
    <b v="0"/>
  </r>
  <r>
    <n v="868"/>
    <x v="38"/>
    <x v="1"/>
    <x v="14"/>
    <x v="0"/>
    <x v="3"/>
    <x v="0"/>
    <n v="0.22"/>
    <n v="0.19700000000000001"/>
    <n v="0.37"/>
    <n v="0.41789999999999999"/>
    <n v="3"/>
    <n v="61"/>
    <n v="64"/>
    <x v="0"/>
    <x v="3"/>
    <x v="1"/>
    <x v="2"/>
    <x v="0"/>
    <n v="65.25"/>
    <n v="53.775095253892552"/>
    <n v="-0.16144012390699908"/>
    <b v="0"/>
  </r>
  <r>
    <n v="869"/>
    <x v="38"/>
    <x v="1"/>
    <x v="15"/>
    <x v="0"/>
    <x v="3"/>
    <x v="0"/>
    <n v="0.22"/>
    <n v="0.19700000000000001"/>
    <n v="0.35"/>
    <n v="0.3881"/>
    <n v="6"/>
    <n v="45"/>
    <n v="51"/>
    <x v="0"/>
    <x v="3"/>
    <x v="1"/>
    <x v="2"/>
    <x v="0"/>
    <n v="65.25"/>
    <n v="53.775095253892552"/>
    <n v="-3.8684238160420277E-2"/>
    <b v="1"/>
  </r>
  <r>
    <n v="870"/>
    <x v="38"/>
    <x v="1"/>
    <x v="16"/>
    <x v="0"/>
    <x v="3"/>
    <x v="0"/>
    <n v="0.22"/>
    <n v="0.18179999999999999"/>
    <n v="0.35"/>
    <n v="0.52239999999999998"/>
    <n v="4"/>
    <n v="79"/>
    <n v="83"/>
    <x v="0"/>
    <x v="3"/>
    <x v="1"/>
    <x v="2"/>
    <x v="0"/>
    <n v="66.416666666666671"/>
    <n v="53.756226467805298"/>
    <n v="0.23820176490194545"/>
    <b v="0"/>
  </r>
  <r>
    <n v="871"/>
    <x v="38"/>
    <x v="1"/>
    <x v="17"/>
    <x v="0"/>
    <x v="3"/>
    <x v="0"/>
    <n v="0.22"/>
    <n v="0.18179999999999999"/>
    <n v="0.32"/>
    <n v="0.58209999999999995"/>
    <n v="4"/>
    <n v="172"/>
    <n v="176"/>
    <x v="0"/>
    <x v="3"/>
    <x v="1"/>
    <x v="3"/>
    <x v="0"/>
    <n v="69.875"/>
    <n v="57.414823491165926"/>
    <n v="1.7249482896031265"/>
    <b v="0"/>
  </r>
  <r>
    <n v="872"/>
    <x v="38"/>
    <x v="1"/>
    <x v="18"/>
    <x v="0"/>
    <x v="3"/>
    <x v="0"/>
    <n v="0.2"/>
    <n v="0.18179999999999999"/>
    <n v="0.32"/>
    <n v="0.3881"/>
    <n v="1"/>
    <n v="151"/>
    <n v="152"/>
    <x v="0"/>
    <x v="3"/>
    <x v="1"/>
    <x v="3"/>
    <x v="0"/>
    <n v="69.625"/>
    <n v="56.943765166208919"/>
    <n v="1.8158474459165774"/>
    <b v="0"/>
  </r>
  <r>
    <n v="873"/>
    <x v="38"/>
    <x v="1"/>
    <x v="19"/>
    <x v="0"/>
    <x v="3"/>
    <x v="0"/>
    <n v="0.16"/>
    <n v="0.1212"/>
    <n v="0.4"/>
    <n v="0.4627"/>
    <n v="1"/>
    <n v="100"/>
    <n v="101"/>
    <x v="0"/>
    <x v="3"/>
    <x v="1"/>
    <x v="3"/>
    <x v="2"/>
    <n v="66.958333333333329"/>
    <n v="54.35829536843773"/>
    <n v="0.39522369993331852"/>
    <b v="0"/>
  </r>
  <r>
    <n v="874"/>
    <x v="38"/>
    <x v="1"/>
    <x v="20"/>
    <x v="0"/>
    <x v="3"/>
    <x v="0"/>
    <n v="0.16"/>
    <n v="0.13639999999999999"/>
    <n v="0.4"/>
    <n v="0.32840000000000003"/>
    <n v="3"/>
    <n v="53"/>
    <n v="56"/>
    <x v="0"/>
    <x v="3"/>
    <x v="1"/>
    <x v="3"/>
    <x v="2"/>
    <n v="66.25"/>
    <n v="54.005031971667876"/>
    <n v="0.30941296985099348"/>
    <b v="0"/>
  </r>
  <r>
    <n v="875"/>
    <x v="38"/>
    <x v="1"/>
    <x v="21"/>
    <x v="0"/>
    <x v="3"/>
    <x v="0"/>
    <n v="0.14000000000000001"/>
    <n v="0.1061"/>
    <n v="0.33"/>
    <n v="0.4627"/>
    <n v="8"/>
    <n v="46"/>
    <n v="54"/>
    <x v="0"/>
    <x v="3"/>
    <x v="1"/>
    <x v="0"/>
    <x v="2"/>
    <n v="67.375"/>
    <n v="54.063418878846029"/>
    <n v="0.30036955993188652"/>
    <b v="0"/>
  </r>
  <r>
    <n v="876"/>
    <x v="38"/>
    <x v="1"/>
    <x v="22"/>
    <x v="0"/>
    <x v="3"/>
    <x v="0"/>
    <n v="0.12"/>
    <n v="0.1061"/>
    <n v="0.33"/>
    <n v="0.35820000000000002"/>
    <n v="0"/>
    <n v="29"/>
    <n v="29"/>
    <x v="0"/>
    <x v="3"/>
    <x v="1"/>
    <x v="0"/>
    <x v="2"/>
    <n v="67.041666666666671"/>
    <n v="54.174018453150758"/>
    <n v="-0.38899251277443442"/>
    <b v="0"/>
  </r>
  <r>
    <n v="877"/>
    <x v="38"/>
    <x v="1"/>
    <x v="23"/>
    <x v="0"/>
    <x v="3"/>
    <x v="0"/>
    <n v="0.12"/>
    <n v="0.1061"/>
    <n v="0.33"/>
    <n v="0.32840000000000003"/>
    <n v="3"/>
    <n v="9"/>
    <n v="12"/>
    <x v="0"/>
    <x v="3"/>
    <x v="1"/>
    <x v="0"/>
    <x v="2"/>
    <n v="67.375"/>
    <n v="53.9539356665762"/>
    <n v="-0.55051783784186037"/>
    <b v="0"/>
  </r>
  <r>
    <n v="878"/>
    <x v="39"/>
    <x v="1"/>
    <x v="0"/>
    <x v="0"/>
    <x v="4"/>
    <x v="0"/>
    <n v="0.1"/>
    <n v="7.5800000000000006E-2"/>
    <n v="0.36"/>
    <n v="0.35820000000000002"/>
    <n v="0"/>
    <n v="17"/>
    <n v="17"/>
    <x v="0"/>
    <x v="4"/>
    <x v="1"/>
    <x v="0"/>
    <x v="2"/>
    <n v="67.541666666666671"/>
    <n v="53.78134407965733"/>
    <n v="-0.922530327240214"/>
    <b v="0"/>
  </r>
  <r>
    <n v="879"/>
    <x v="39"/>
    <x v="1"/>
    <x v="1"/>
    <x v="0"/>
    <x v="4"/>
    <x v="0"/>
    <n v="0.1"/>
    <n v="0.1061"/>
    <n v="0.36"/>
    <n v="0.22389999999999999"/>
    <n v="0"/>
    <n v="7"/>
    <n v="7"/>
    <x v="0"/>
    <x v="4"/>
    <x v="1"/>
    <x v="0"/>
    <x v="2"/>
    <n v="67.125"/>
    <n v="54.226828351319597"/>
    <n v="-1.0780258200617567"/>
    <b v="0"/>
  </r>
  <r>
    <n v="880"/>
    <x v="39"/>
    <x v="1"/>
    <x v="2"/>
    <x v="0"/>
    <x v="4"/>
    <x v="0"/>
    <n v="0.08"/>
    <n v="7.5800000000000006E-2"/>
    <n v="0.38"/>
    <n v="0.28360000000000002"/>
    <n v="1"/>
    <n v="2"/>
    <n v="3"/>
    <x v="0"/>
    <x v="4"/>
    <x v="1"/>
    <x v="0"/>
    <x v="2"/>
    <n v="66.958333333333329"/>
    <n v="54.42544095538782"/>
    <n v="-1.145985126929725"/>
    <b v="0"/>
  </r>
  <r>
    <n v="881"/>
    <x v="39"/>
    <x v="1"/>
    <x v="3"/>
    <x v="0"/>
    <x v="4"/>
    <x v="0"/>
    <n v="0.06"/>
    <n v="7.5800000000000006E-2"/>
    <n v="0.45"/>
    <n v="0.1343"/>
    <n v="0"/>
    <n v="2"/>
    <n v="2"/>
    <x v="0"/>
    <x v="4"/>
    <x v="1"/>
    <x v="0"/>
    <x v="2"/>
    <n v="66.875"/>
    <n v="54.529060859883415"/>
    <n v="-1.185361870245109"/>
    <b v="0"/>
  </r>
  <r>
    <n v="882"/>
    <x v="39"/>
    <x v="1"/>
    <x v="5"/>
    <x v="0"/>
    <x v="4"/>
    <x v="0"/>
    <n v="0.06"/>
    <n v="0.1061"/>
    <n v="0.45"/>
    <n v="0.1045"/>
    <n v="0"/>
    <n v="7"/>
    <n v="7"/>
    <x v="0"/>
    <x v="4"/>
    <x v="1"/>
    <x v="0"/>
    <x v="2"/>
    <n v="67.041666666666671"/>
    <n v="54.32789272129218"/>
    <n v="-1.1304705827921413"/>
    <b v="0"/>
  </r>
  <r>
    <n v="883"/>
    <x v="39"/>
    <x v="1"/>
    <x v="6"/>
    <x v="0"/>
    <x v="4"/>
    <x v="0"/>
    <n v="0.06"/>
    <n v="0.1515"/>
    <n v="0.45"/>
    <n v="0"/>
    <n v="0"/>
    <n v="43"/>
    <n v="43"/>
    <x v="0"/>
    <x v="4"/>
    <x v="1"/>
    <x v="1"/>
    <x v="2"/>
    <n v="67.833333333333329"/>
    <n v="53.547757365183649"/>
    <n v="-0.82629789101238937"/>
    <b v="0"/>
  </r>
  <r>
    <n v="884"/>
    <x v="39"/>
    <x v="1"/>
    <x v="7"/>
    <x v="0"/>
    <x v="4"/>
    <x v="0"/>
    <n v="0.06"/>
    <n v="0.1061"/>
    <n v="0.49"/>
    <n v="0.1045"/>
    <n v="4"/>
    <n v="95"/>
    <n v="99"/>
    <x v="0"/>
    <x v="4"/>
    <x v="1"/>
    <x v="1"/>
    <x v="2"/>
    <n v="70.166666666666671"/>
    <n v="53.638619009770956"/>
    <n v="0.39720905926127048"/>
    <b v="0"/>
  </r>
  <r>
    <n v="885"/>
    <x v="39"/>
    <x v="1"/>
    <x v="8"/>
    <x v="0"/>
    <x v="4"/>
    <x v="0"/>
    <n v="0.1"/>
    <n v="0.13639999999999999"/>
    <n v="0.42"/>
    <n v="0"/>
    <n v="1"/>
    <n v="198"/>
    <n v="199"/>
    <x v="0"/>
    <x v="4"/>
    <x v="1"/>
    <x v="1"/>
    <x v="2"/>
    <n v="73.458333333333329"/>
    <n v="57.751325350247541"/>
    <n v="1.6872805403146309"/>
    <b v="0"/>
  </r>
  <r>
    <n v="886"/>
    <x v="39"/>
    <x v="1"/>
    <x v="9"/>
    <x v="0"/>
    <x v="4"/>
    <x v="0"/>
    <n v="0.12"/>
    <n v="0.13639999999999999"/>
    <n v="0.39"/>
    <n v="0.16420000000000001"/>
    <n v="4"/>
    <n v="119"/>
    <n v="123"/>
    <x v="0"/>
    <x v="4"/>
    <x v="1"/>
    <x v="1"/>
    <x v="2"/>
    <n v="70.25"/>
    <n v="52.360996104385549"/>
    <n v="0.8951435925492911"/>
    <b v="0"/>
  </r>
  <r>
    <n v="887"/>
    <x v="39"/>
    <x v="1"/>
    <x v="10"/>
    <x v="0"/>
    <x v="4"/>
    <x v="0"/>
    <n v="0.14000000000000001"/>
    <n v="0.18179999999999999"/>
    <n v="0.36"/>
    <n v="0"/>
    <n v="8"/>
    <n v="51"/>
    <n v="59"/>
    <x v="0"/>
    <x v="4"/>
    <x v="1"/>
    <x v="1"/>
    <x v="2"/>
    <n v="66.583333333333329"/>
    <n v="51.581861209121769"/>
    <n v="-0.63056296235397125"/>
    <b v="0"/>
  </r>
  <r>
    <n v="888"/>
    <x v="39"/>
    <x v="1"/>
    <x v="11"/>
    <x v="0"/>
    <x v="4"/>
    <x v="1"/>
    <n v="0.14000000000000001"/>
    <n v="0.1515"/>
    <n v="0.43"/>
    <n v="0.16420000000000001"/>
    <n v="1"/>
    <n v="40"/>
    <n v="41"/>
    <x v="1"/>
    <x v="4"/>
    <x v="1"/>
    <x v="1"/>
    <x v="2"/>
    <n v="66"/>
    <n v="51.750236294356561"/>
    <n v="-0.47992962189194149"/>
    <b v="0"/>
  </r>
  <r>
    <n v="889"/>
    <x v="39"/>
    <x v="1"/>
    <x v="12"/>
    <x v="0"/>
    <x v="4"/>
    <x v="1"/>
    <n v="0.18"/>
    <n v="0.18179999999999999"/>
    <n v="0.4"/>
    <n v="0.22389999999999999"/>
    <n v="4"/>
    <n v="57"/>
    <n v="61"/>
    <x v="1"/>
    <x v="4"/>
    <x v="1"/>
    <x v="2"/>
    <x v="2"/>
    <n v="67.166666666666671"/>
    <n v="51.477024564081155"/>
    <n v="-8.7742011004326201E-2"/>
    <b v="0"/>
  </r>
  <r>
    <n v="890"/>
    <x v="39"/>
    <x v="1"/>
    <x v="13"/>
    <x v="0"/>
    <x v="4"/>
    <x v="0"/>
    <n v="0.18"/>
    <n v="0.16669999999999999"/>
    <n v="0.4"/>
    <n v="0.25369999999999998"/>
    <n v="2"/>
    <n v="67"/>
    <n v="69"/>
    <x v="0"/>
    <x v="4"/>
    <x v="1"/>
    <x v="2"/>
    <x v="2"/>
    <n v="67.208333333333329"/>
    <n v="51.472220592797655"/>
    <n v="-0.22724722722439669"/>
    <b v="0"/>
  </r>
  <r>
    <n v="891"/>
    <x v="39"/>
    <x v="1"/>
    <x v="14"/>
    <x v="0"/>
    <x v="4"/>
    <x v="0"/>
    <n v="0.2"/>
    <n v="0.18179999999999999"/>
    <n v="0.34"/>
    <n v="0.29849999999999999"/>
    <n v="2"/>
    <n v="56"/>
    <n v="58"/>
    <x v="0"/>
    <x v="4"/>
    <x v="1"/>
    <x v="2"/>
    <x v="0"/>
    <n v="66.333333333333329"/>
    <n v="51.618724835307468"/>
    <n v="-0.49319812569731269"/>
    <b v="1"/>
  </r>
  <r>
    <n v="892"/>
    <x v="39"/>
    <x v="1"/>
    <x v="15"/>
    <x v="0"/>
    <x v="4"/>
    <x v="1"/>
    <n v="0.2"/>
    <n v="0.18179999999999999"/>
    <n v="0.34"/>
    <n v="0.28360000000000002"/>
    <n v="3"/>
    <n v="61"/>
    <n v="64"/>
    <x v="1"/>
    <x v="4"/>
    <x v="1"/>
    <x v="2"/>
    <x v="0"/>
    <n v="66"/>
    <n v="51.700643339702559"/>
    <n v="-0.50965377127936506"/>
    <b v="0"/>
  </r>
  <r>
    <n v="893"/>
    <x v="39"/>
    <x v="1"/>
    <x v="16"/>
    <x v="0"/>
    <x v="4"/>
    <x v="1"/>
    <n v="0.2"/>
    <n v="0.19700000000000001"/>
    <n v="0.37"/>
    <n v="0.25369999999999998"/>
    <n v="7"/>
    <n v="72"/>
    <n v="79"/>
    <x v="1"/>
    <x v="4"/>
    <x v="1"/>
    <x v="2"/>
    <x v="0"/>
    <n v="66.666666666666671"/>
    <n v="51.776834392517131"/>
    <n v="-7.9122109197975549E-2"/>
    <b v="0"/>
  </r>
  <r>
    <n v="894"/>
    <x v="39"/>
    <x v="1"/>
    <x v="17"/>
    <x v="0"/>
    <x v="4"/>
    <x v="1"/>
    <n v="0.2"/>
    <n v="0.19700000000000001"/>
    <n v="0.34"/>
    <n v="0.25369999999999998"/>
    <n v="9"/>
    <n v="157"/>
    <n v="166"/>
    <x v="1"/>
    <x v="4"/>
    <x v="1"/>
    <x v="3"/>
    <x v="0"/>
    <n v="70.25"/>
    <n v="55.508910369730572"/>
    <n v="1.1966350422267831"/>
    <b v="0"/>
  </r>
  <r>
    <n v="895"/>
    <x v="39"/>
    <x v="1"/>
    <x v="18"/>
    <x v="0"/>
    <x v="4"/>
    <x v="1"/>
    <n v="0.18"/>
    <n v="0.16669999999999999"/>
    <n v="0.47"/>
    <n v="0.29849999999999999"/>
    <n v="2"/>
    <n v="168"/>
    <n v="170"/>
    <x v="1"/>
    <x v="4"/>
    <x v="1"/>
    <x v="3"/>
    <x v="2"/>
    <n v="70"/>
    <n v="55.070705540202155"/>
    <n v="1.1980464855038044"/>
    <b v="0"/>
  </r>
  <r>
    <n v="896"/>
    <x v="39"/>
    <x v="1"/>
    <x v="19"/>
    <x v="0"/>
    <x v="4"/>
    <x v="2"/>
    <n v="0.14000000000000001"/>
    <n v="0.1212"/>
    <n v="0.86"/>
    <n v="0.25369999999999998"/>
    <n v="1"/>
    <n v="87"/>
    <n v="88"/>
    <x v="2"/>
    <x v="4"/>
    <x v="1"/>
    <x v="3"/>
    <x v="2"/>
    <n v="67.583333333333329"/>
    <n v="51.658508004735893"/>
    <n v="0.5010362777979942"/>
    <b v="0"/>
  </r>
  <r>
    <n v="897"/>
    <x v="39"/>
    <x v="1"/>
    <x v="20"/>
    <x v="0"/>
    <x v="4"/>
    <x v="2"/>
    <n v="0.14000000000000001"/>
    <n v="0.1515"/>
    <n v="0.86"/>
    <n v="0.16420000000000001"/>
    <n v="0"/>
    <n v="84"/>
    <n v="84"/>
    <x v="2"/>
    <x v="4"/>
    <x v="1"/>
    <x v="3"/>
    <x v="2"/>
    <n v="67.958333333333329"/>
    <n v="51.845488811900765"/>
    <n v="0.29518810488139635"/>
    <b v="0"/>
  </r>
  <r>
    <n v="898"/>
    <x v="39"/>
    <x v="1"/>
    <x v="21"/>
    <x v="0"/>
    <x v="4"/>
    <x v="1"/>
    <n v="0.14000000000000001"/>
    <n v="0.1515"/>
    <n v="0.86"/>
    <n v="0.16420000000000001"/>
    <n v="0"/>
    <n v="83"/>
    <n v="83"/>
    <x v="1"/>
    <x v="4"/>
    <x v="1"/>
    <x v="0"/>
    <x v="2"/>
    <n v="67.458333333333329"/>
    <n v="51.741816548224747"/>
    <n v="-8.4482870047301317E-2"/>
    <b v="0"/>
  </r>
  <r>
    <n v="899"/>
    <x v="39"/>
    <x v="1"/>
    <x v="22"/>
    <x v="0"/>
    <x v="4"/>
    <x v="2"/>
    <n v="0.16"/>
    <n v="0.16669999999999999"/>
    <n v="0.8"/>
    <n v="0.16420000000000001"/>
    <n v="4"/>
    <n v="42"/>
    <n v="46"/>
    <x v="2"/>
    <x v="4"/>
    <x v="1"/>
    <x v="0"/>
    <x v="2"/>
    <n v="66.125"/>
    <n v="51.736214294874898"/>
    <n v="-0.41898275292456533"/>
    <b v="0"/>
  </r>
  <r>
    <n v="900"/>
    <x v="39"/>
    <x v="1"/>
    <x v="23"/>
    <x v="0"/>
    <x v="4"/>
    <x v="2"/>
    <n v="0.16"/>
    <n v="0.1515"/>
    <n v="0.8"/>
    <n v="0.19400000000000001"/>
    <n v="0"/>
    <n v="37"/>
    <n v="37"/>
    <x v="2"/>
    <x v="4"/>
    <x v="1"/>
    <x v="0"/>
    <x v="2"/>
    <n v="65.625"/>
    <n v="51.996498627938571"/>
    <n v="-0.68011169685002804"/>
    <b v="1"/>
  </r>
  <r>
    <n v="901"/>
    <x v="40"/>
    <x v="1"/>
    <x v="0"/>
    <x v="0"/>
    <x v="5"/>
    <x v="2"/>
    <n v="0.14000000000000001"/>
    <n v="0.13639999999999999"/>
    <n v="0.86"/>
    <n v="0.19400000000000001"/>
    <n v="0"/>
    <n v="16"/>
    <n v="16"/>
    <x v="2"/>
    <x v="5"/>
    <x v="1"/>
    <x v="0"/>
    <x v="2"/>
    <n v="64.666666666666671"/>
    <n v="52.753459945598678"/>
    <n v="-0.99631066872668683"/>
    <b v="1"/>
  </r>
  <r>
    <n v="902"/>
    <x v="40"/>
    <x v="1"/>
    <x v="1"/>
    <x v="0"/>
    <x v="5"/>
    <x v="2"/>
    <n v="0.14000000000000001"/>
    <n v="0.1515"/>
    <n v="0.8"/>
    <n v="0.1343"/>
    <n v="0"/>
    <n v="7"/>
    <n v="7"/>
    <x v="2"/>
    <x v="5"/>
    <x v="1"/>
    <x v="0"/>
    <x v="2"/>
    <n v="64.291666666666671"/>
    <n v="53.144985584282765"/>
    <n v="-1.1121028574534577"/>
    <b v="0"/>
  </r>
  <r>
    <n v="903"/>
    <x v="40"/>
    <x v="1"/>
    <x v="2"/>
    <x v="0"/>
    <x v="5"/>
    <x v="2"/>
    <n v="0.14000000000000001"/>
    <n v="0.1515"/>
    <n v="0.8"/>
    <n v="0.1343"/>
    <n v="0"/>
    <n v="3"/>
    <n v="3"/>
    <x v="2"/>
    <x v="5"/>
    <x v="1"/>
    <x v="0"/>
    <x v="2"/>
    <n v="64.125"/>
    <n v="53.338388573823394"/>
    <n v="-1.182270654436526"/>
    <b v="0"/>
  </r>
  <r>
    <n v="904"/>
    <x v="40"/>
    <x v="1"/>
    <x v="4"/>
    <x v="0"/>
    <x v="5"/>
    <x v="1"/>
    <n v="0.14000000000000001"/>
    <n v="0.13639999999999999"/>
    <n v="0.59"/>
    <n v="0.22389999999999999"/>
    <n v="0"/>
    <n v="1"/>
    <n v="1"/>
    <x v="1"/>
    <x v="5"/>
    <x v="1"/>
    <x v="0"/>
    <x v="2"/>
    <n v="64.166666666666671"/>
    <n v="53.288930791746388"/>
    <n v="-1.1675478409589226"/>
    <b v="0"/>
  </r>
  <r>
    <n v="905"/>
    <x v="40"/>
    <x v="1"/>
    <x v="5"/>
    <x v="0"/>
    <x v="5"/>
    <x v="1"/>
    <n v="0.12"/>
    <n v="0.1212"/>
    <n v="0.5"/>
    <n v="0.22389999999999999"/>
    <n v="0"/>
    <n v="6"/>
    <n v="6"/>
    <x v="1"/>
    <x v="5"/>
    <x v="1"/>
    <x v="0"/>
    <x v="2"/>
    <n v="65.125"/>
    <n v="52.301228267229725"/>
    <n v="-0.83544832547429893"/>
    <b v="0"/>
  </r>
  <r>
    <n v="906"/>
    <x v="40"/>
    <x v="1"/>
    <x v="6"/>
    <x v="0"/>
    <x v="5"/>
    <x v="1"/>
    <n v="0.12"/>
    <n v="0.1212"/>
    <n v="0.54"/>
    <n v="0.28360000000000002"/>
    <n v="0"/>
    <n v="26"/>
    <n v="26"/>
    <x v="1"/>
    <x v="5"/>
    <x v="1"/>
    <x v="1"/>
    <x v="2"/>
    <n v="67.958333333333329"/>
    <n v="50.778700744262473"/>
    <n v="-2.6837842111710106E-3"/>
    <b v="0"/>
  </r>
  <r>
    <n v="907"/>
    <x v="40"/>
    <x v="1"/>
    <x v="7"/>
    <x v="0"/>
    <x v="5"/>
    <x v="0"/>
    <n v="0.1"/>
    <n v="7.5800000000000006E-2"/>
    <n v="0.5"/>
    <n v="0.41789999999999999"/>
    <n v="0"/>
    <n v="99"/>
    <n v="99"/>
    <x v="0"/>
    <x v="5"/>
    <x v="1"/>
    <x v="1"/>
    <x v="2"/>
    <n v="75.875"/>
    <n v="58.2187124407683"/>
    <n v="2.2775856715247493"/>
    <b v="0"/>
  </r>
  <r>
    <n v="908"/>
    <x v="40"/>
    <x v="1"/>
    <x v="8"/>
    <x v="0"/>
    <x v="5"/>
    <x v="0"/>
    <n v="0.1"/>
    <n v="7.5800000000000006E-2"/>
    <n v="0.49"/>
    <n v="0.32840000000000003"/>
    <n v="5"/>
    <n v="173"/>
    <n v="178"/>
    <x v="0"/>
    <x v="5"/>
    <x v="1"/>
    <x v="1"/>
    <x v="2"/>
    <n v="77.583333333333329"/>
    <n v="59.513912634790273"/>
    <n v="1.3626215528657739"/>
    <b v="0"/>
  </r>
  <r>
    <n v="909"/>
    <x v="40"/>
    <x v="1"/>
    <x v="9"/>
    <x v="0"/>
    <x v="5"/>
    <x v="0"/>
    <n v="0.12"/>
    <n v="0.1061"/>
    <n v="0.42"/>
    <n v="0.35820000000000002"/>
    <n v="1"/>
    <n v="121"/>
    <n v="122"/>
    <x v="0"/>
    <x v="5"/>
    <x v="1"/>
    <x v="1"/>
    <x v="2"/>
    <n v="72"/>
    <n v="55.856960175075763"/>
    <n v="-0.29362913238037358"/>
    <b v="0"/>
  </r>
  <r>
    <n v="910"/>
    <x v="40"/>
    <x v="1"/>
    <x v="10"/>
    <x v="0"/>
    <x v="5"/>
    <x v="0"/>
    <n v="0.12"/>
    <n v="0.1061"/>
    <n v="0.42"/>
    <n v="0.29849999999999999"/>
    <n v="1"/>
    <n v="34"/>
    <n v="35"/>
    <x v="0"/>
    <x v="5"/>
    <x v="1"/>
    <x v="1"/>
    <x v="2"/>
    <n v="69.583333333333329"/>
    <n v="54.845170741125315"/>
    <n v="4.8062234001607536E-2"/>
    <b v="0"/>
  </r>
  <r>
    <n v="911"/>
    <x v="40"/>
    <x v="1"/>
    <x v="11"/>
    <x v="0"/>
    <x v="5"/>
    <x v="0"/>
    <n v="0.14000000000000001"/>
    <n v="0.1212"/>
    <n v="0.39"/>
    <n v="0.35820000000000002"/>
    <n v="1"/>
    <n v="44"/>
    <n v="45"/>
    <x v="0"/>
    <x v="5"/>
    <x v="1"/>
    <x v="1"/>
    <x v="2"/>
    <n v="71.083333333333329"/>
    <n v="54.348246375186484"/>
    <n v="0.13682954184586915"/>
    <b v="0"/>
  </r>
  <r>
    <n v="912"/>
    <x v="40"/>
    <x v="1"/>
    <x v="12"/>
    <x v="0"/>
    <x v="5"/>
    <x v="0"/>
    <n v="0.16"/>
    <n v="0.13639999999999999"/>
    <n v="0.34"/>
    <n v="0.3881"/>
    <n v="4"/>
    <n v="65"/>
    <n v="69"/>
    <x v="0"/>
    <x v="5"/>
    <x v="1"/>
    <x v="2"/>
    <x v="2"/>
    <n v="73.791666666666671"/>
    <n v="54.610859858573491"/>
    <n v="0.79384401048302844"/>
    <b v="0"/>
  </r>
  <r>
    <n v="913"/>
    <x v="40"/>
    <x v="1"/>
    <x v="13"/>
    <x v="0"/>
    <x v="5"/>
    <x v="0"/>
    <n v="0.18"/>
    <n v="0.16669999999999999"/>
    <n v="0.28999999999999998"/>
    <n v="0.29849999999999999"/>
    <n v="3"/>
    <n v="59"/>
    <n v="62"/>
    <x v="0"/>
    <x v="5"/>
    <x v="1"/>
    <x v="2"/>
    <x v="2"/>
    <n v="74.416666666666671"/>
    <n v="54.639463892801459"/>
    <n v="0.30508064221744169"/>
    <b v="0"/>
  </r>
  <r>
    <n v="914"/>
    <x v="40"/>
    <x v="1"/>
    <x v="14"/>
    <x v="0"/>
    <x v="5"/>
    <x v="0"/>
    <n v="0.2"/>
    <n v="0.18179999999999999"/>
    <n v="0.27"/>
    <n v="0.28360000000000002"/>
    <n v="6"/>
    <n v="42"/>
    <n v="48"/>
    <x v="0"/>
    <x v="5"/>
    <x v="1"/>
    <x v="2"/>
    <x v="0"/>
    <n v="74.916666666666671"/>
    <n v="54.575768366131349"/>
    <n v="0.10195627388719099"/>
    <b v="0"/>
  </r>
  <r>
    <n v="915"/>
    <x v="40"/>
    <x v="1"/>
    <x v="15"/>
    <x v="0"/>
    <x v="5"/>
    <x v="0"/>
    <n v="0.2"/>
    <n v="0.19700000000000001"/>
    <n v="0.25"/>
    <n v="0.25369999999999998"/>
    <n v="0"/>
    <n v="50"/>
    <n v="50"/>
    <x v="0"/>
    <x v="5"/>
    <x v="1"/>
    <x v="2"/>
    <x v="0"/>
    <n v="78.125"/>
    <n v="55.18452248356536"/>
    <n v="0.85171971827946436"/>
    <b v="0"/>
  </r>
  <r>
    <n v="916"/>
    <x v="40"/>
    <x v="1"/>
    <x v="16"/>
    <x v="0"/>
    <x v="5"/>
    <x v="0"/>
    <n v="0.2"/>
    <n v="0.18179999999999999"/>
    <n v="0.27"/>
    <n v="0.29849999999999999"/>
    <n v="4"/>
    <n v="76"/>
    <n v="80"/>
    <x v="0"/>
    <x v="5"/>
    <x v="1"/>
    <x v="2"/>
    <x v="0"/>
    <n v="84.833333333333329"/>
    <n v="61.087013254912023"/>
    <n v="2.1960343189602964"/>
    <b v="0"/>
  </r>
  <r>
    <n v="917"/>
    <x v="40"/>
    <x v="1"/>
    <x v="17"/>
    <x v="0"/>
    <x v="5"/>
    <x v="0"/>
    <n v="0.18"/>
    <n v="0.18179999999999999"/>
    <n v="0.26"/>
    <n v="0.19400000000000001"/>
    <n v="6"/>
    <n v="159"/>
    <n v="165"/>
    <x v="0"/>
    <x v="5"/>
    <x v="1"/>
    <x v="3"/>
    <x v="2"/>
    <n v="88.75"/>
    <n v="63.720346897169762"/>
    <n v="1.8145722901988435"/>
    <b v="0"/>
  </r>
  <r>
    <n v="918"/>
    <x v="40"/>
    <x v="1"/>
    <x v="18"/>
    <x v="0"/>
    <x v="5"/>
    <x v="0"/>
    <n v="0.16"/>
    <n v="0.18179999999999999"/>
    <n v="0.28000000000000003"/>
    <n v="0.1343"/>
    <n v="3"/>
    <n v="157"/>
    <n v="160"/>
    <x v="0"/>
    <x v="5"/>
    <x v="1"/>
    <x v="3"/>
    <x v="2"/>
    <n v="86.083333333333329"/>
    <n v="61.697661619184267"/>
    <n v="0.67315289457529337"/>
    <b v="0"/>
  </r>
  <r>
    <n v="919"/>
    <x v="40"/>
    <x v="1"/>
    <x v="19"/>
    <x v="0"/>
    <x v="5"/>
    <x v="0"/>
    <n v="0.14000000000000001"/>
    <n v="0.16669999999999999"/>
    <n v="0.28000000000000003"/>
    <n v="0.1045"/>
    <n v="2"/>
    <n v="110"/>
    <n v="112"/>
    <x v="0"/>
    <x v="5"/>
    <x v="1"/>
    <x v="3"/>
    <x v="2"/>
    <n v="82.041666666666671"/>
    <n v="59.792742882805399"/>
    <n v="1.5866249301316857E-3"/>
    <b v="0"/>
  </r>
  <r>
    <n v="920"/>
    <x v="40"/>
    <x v="1"/>
    <x v="20"/>
    <x v="0"/>
    <x v="5"/>
    <x v="0"/>
    <n v="0.14000000000000001"/>
    <n v="0.18179999999999999"/>
    <n v="0.31"/>
    <n v="8.9599999999999999E-2"/>
    <n v="4"/>
    <n v="93"/>
    <n v="97"/>
    <x v="0"/>
    <x v="5"/>
    <x v="1"/>
    <x v="3"/>
    <x v="2"/>
    <n v="79.333333333333329"/>
    <n v="59.848843413812226"/>
    <n v="-0.28367665443421636"/>
    <b v="0"/>
  </r>
  <r>
    <n v="921"/>
    <x v="40"/>
    <x v="1"/>
    <x v="21"/>
    <x v="0"/>
    <x v="5"/>
    <x v="0"/>
    <n v="0.14000000000000001"/>
    <n v="0.21210000000000001"/>
    <n v="0.39"/>
    <n v="0"/>
    <n v="2"/>
    <n v="70"/>
    <n v="72"/>
    <x v="0"/>
    <x v="5"/>
    <x v="1"/>
    <x v="0"/>
    <x v="2"/>
    <n v="77.083333333333329"/>
    <n v="60.169988667373744"/>
    <n v="-0.3629914447329281"/>
    <b v="0"/>
  </r>
  <r>
    <n v="922"/>
    <x v="40"/>
    <x v="1"/>
    <x v="22"/>
    <x v="0"/>
    <x v="5"/>
    <x v="0"/>
    <n v="0.12"/>
    <n v="0.19700000000000001"/>
    <n v="0.39"/>
    <n v="0"/>
    <n v="4"/>
    <n v="47"/>
    <n v="51"/>
    <x v="0"/>
    <x v="5"/>
    <x v="1"/>
    <x v="0"/>
    <x v="2"/>
    <n v="76.291666666666671"/>
    <n v="60.364457701723694"/>
    <n v="-0.17487320236848522"/>
    <b v="1"/>
  </r>
  <r>
    <n v="923"/>
    <x v="40"/>
    <x v="1"/>
    <x v="23"/>
    <x v="0"/>
    <x v="5"/>
    <x v="0"/>
    <n v="0.12"/>
    <n v="0.1515"/>
    <n v="0.42"/>
    <n v="0.1045"/>
    <n v="1"/>
    <n v="33"/>
    <n v="34"/>
    <x v="0"/>
    <x v="5"/>
    <x v="1"/>
    <x v="0"/>
    <x v="2"/>
    <n v="75.416666666666671"/>
    <n v="60.896859822423394"/>
    <n v="-0.59130328080645145"/>
    <b v="0"/>
  </r>
  <r>
    <n v="924"/>
    <x v="41"/>
    <x v="1"/>
    <x v="0"/>
    <x v="0"/>
    <x v="6"/>
    <x v="0"/>
    <n v="0.1"/>
    <n v="0.13639999999999999"/>
    <n v="0.49"/>
    <n v="0.1045"/>
    <n v="2"/>
    <n v="12"/>
    <n v="14"/>
    <x v="0"/>
    <x v="6"/>
    <x v="1"/>
    <x v="0"/>
    <x v="2"/>
    <n v="75"/>
    <n v="61.225882563276897"/>
    <n v="-0.71430311663724588"/>
    <b v="0"/>
  </r>
  <r>
    <n v="925"/>
    <x v="41"/>
    <x v="1"/>
    <x v="1"/>
    <x v="0"/>
    <x v="6"/>
    <x v="0"/>
    <n v="0.1"/>
    <n v="0.13639999999999999"/>
    <n v="0.54"/>
    <n v="8.9599999999999999E-2"/>
    <n v="1"/>
    <n v="6"/>
    <n v="7"/>
    <x v="0"/>
    <x v="6"/>
    <x v="1"/>
    <x v="0"/>
    <x v="2"/>
    <n v="75.041666666666671"/>
    <n v="61.182889883469493"/>
    <n v="-0.88478872237608031"/>
    <b v="0"/>
  </r>
  <r>
    <n v="926"/>
    <x v="41"/>
    <x v="1"/>
    <x v="2"/>
    <x v="0"/>
    <x v="6"/>
    <x v="0"/>
    <n v="0.1"/>
    <n v="0.13639999999999999"/>
    <n v="0.54"/>
    <n v="8.9599999999999999E-2"/>
    <n v="0"/>
    <n v="3"/>
    <n v="3"/>
    <x v="0"/>
    <x v="6"/>
    <x v="1"/>
    <x v="0"/>
    <x v="2"/>
    <n v="75.166666666666671"/>
    <n v="61.040732421005188"/>
    <n v="-0.98686656941482831"/>
    <b v="0"/>
  </r>
  <r>
    <n v="927"/>
    <x v="41"/>
    <x v="1"/>
    <x v="5"/>
    <x v="0"/>
    <x v="6"/>
    <x v="0"/>
    <n v="0.08"/>
    <n v="0.1212"/>
    <n v="0.63"/>
    <n v="8.9599999999999999E-2"/>
    <n v="0"/>
    <n v="4"/>
    <n v="4"/>
    <x v="0"/>
    <x v="6"/>
    <x v="1"/>
    <x v="0"/>
    <x v="2"/>
    <n v="75.208333333333329"/>
    <n v="60.989649276254902"/>
    <n v="-1.1042720967552258"/>
    <b v="0"/>
  </r>
  <r>
    <n v="928"/>
    <x v="41"/>
    <x v="1"/>
    <x v="6"/>
    <x v="0"/>
    <x v="6"/>
    <x v="0"/>
    <n v="0.1"/>
    <n v="0.18179999999999999"/>
    <n v="0.68"/>
    <n v="0"/>
    <n v="1"/>
    <n v="23"/>
    <n v="24"/>
    <x v="0"/>
    <x v="6"/>
    <x v="1"/>
    <x v="1"/>
    <x v="2"/>
    <n v="75.083333333333329"/>
    <n v="61.144815036085454"/>
    <n v="-1.1576536114378249"/>
    <b v="0"/>
  </r>
  <r>
    <n v="929"/>
    <x v="41"/>
    <x v="1"/>
    <x v="7"/>
    <x v="0"/>
    <x v="6"/>
    <x v="0"/>
    <n v="0.08"/>
    <n v="0.16669999999999999"/>
    <n v="0.73"/>
    <n v="0"/>
    <n v="1"/>
    <n v="73"/>
    <n v="74"/>
    <x v="0"/>
    <x v="6"/>
    <x v="1"/>
    <x v="1"/>
    <x v="2"/>
    <n v="74.166666666666671"/>
    <n v="62.101366411254816"/>
    <n v="-1.1460719230953822"/>
    <b v="0"/>
  </r>
  <r>
    <n v="930"/>
    <x v="41"/>
    <x v="1"/>
    <x v="8"/>
    <x v="0"/>
    <x v="6"/>
    <x v="0"/>
    <n v="0.1"/>
    <n v="0.1212"/>
    <n v="0.74"/>
    <n v="0.16420000000000001"/>
    <n v="4"/>
    <n v="212"/>
    <n v="216"/>
    <x v="0"/>
    <x v="6"/>
    <x v="1"/>
    <x v="1"/>
    <x v="2"/>
    <n v="71.541666666666671"/>
    <n v="63.426081020532777"/>
    <n v="-0.97611515875881549"/>
    <b v="0"/>
  </r>
  <r>
    <n v="931"/>
    <x v="41"/>
    <x v="1"/>
    <x v="9"/>
    <x v="0"/>
    <x v="6"/>
    <x v="0"/>
    <n v="0.12"/>
    <n v="0.1212"/>
    <n v="0.74"/>
    <n v="0.22389999999999999"/>
    <n v="8"/>
    <n v="132"/>
    <n v="140"/>
    <x v="0"/>
    <x v="6"/>
    <x v="1"/>
    <x v="1"/>
    <x v="2"/>
    <n v="63.791666666666664"/>
    <n v="55.92773222547163"/>
    <n v="-0.61464263449399748"/>
    <b v="0"/>
  </r>
  <r>
    <n v="932"/>
    <x v="41"/>
    <x v="1"/>
    <x v="10"/>
    <x v="0"/>
    <x v="6"/>
    <x v="0"/>
    <n v="0.14000000000000001"/>
    <n v="0.13639999999999999"/>
    <n v="0.69"/>
    <n v="0.19400000000000001"/>
    <n v="5"/>
    <n v="39"/>
    <n v="44"/>
    <x v="0"/>
    <x v="6"/>
    <x v="1"/>
    <x v="1"/>
    <x v="2"/>
    <n v="59.75"/>
    <n v="53.639091844596358"/>
    <n v="-0.38225879206499652"/>
    <b v="0"/>
  </r>
  <r>
    <n v="933"/>
    <x v="41"/>
    <x v="1"/>
    <x v="11"/>
    <x v="0"/>
    <x v="6"/>
    <x v="0"/>
    <n v="0.22"/>
    <n v="0.2273"/>
    <n v="0.47"/>
    <n v="0.1343"/>
    <n v="12"/>
    <n v="52"/>
    <n v="64"/>
    <x v="0"/>
    <x v="6"/>
    <x v="1"/>
    <x v="1"/>
    <x v="0"/>
    <n v="61.416666666666664"/>
    <n v="53.749755644877659"/>
    <n v="0.35316845188309121"/>
    <b v="0"/>
  </r>
  <r>
    <n v="934"/>
    <x v="41"/>
    <x v="1"/>
    <x v="12"/>
    <x v="0"/>
    <x v="6"/>
    <x v="0"/>
    <n v="0.22"/>
    <n v="0.2273"/>
    <n v="0.47"/>
    <n v="0.1343"/>
    <n v="7"/>
    <n v="64"/>
    <n v="71"/>
    <x v="0"/>
    <x v="6"/>
    <x v="1"/>
    <x v="2"/>
    <x v="0"/>
    <n v="63.5"/>
    <n v="54.812724641352169"/>
    <n v="0.88989183913233227"/>
    <b v="0"/>
  </r>
  <r>
    <n v="935"/>
    <x v="41"/>
    <x v="1"/>
    <x v="13"/>
    <x v="0"/>
    <x v="6"/>
    <x v="0"/>
    <n v="0.24"/>
    <n v="0.2273"/>
    <n v="0.35"/>
    <n v="0.19400000000000001"/>
    <n v="21"/>
    <n v="89"/>
    <n v="110"/>
    <x v="0"/>
    <x v="6"/>
    <x v="1"/>
    <x v="2"/>
    <x v="0"/>
    <n v="65.541666666666671"/>
    <n v="56.003865679205504"/>
    <n v="0.93766605817995241"/>
    <b v="0"/>
  </r>
  <r>
    <n v="936"/>
    <x v="41"/>
    <x v="1"/>
    <x v="14"/>
    <x v="0"/>
    <x v="6"/>
    <x v="0"/>
    <n v="0.3"/>
    <n v="0.28789999999999999"/>
    <n v="0.26"/>
    <n v="0.25369999999999998"/>
    <n v="17"/>
    <n v="67"/>
    <n v="84"/>
    <x v="0"/>
    <x v="6"/>
    <x v="1"/>
    <x v="2"/>
    <x v="1"/>
    <n v="66.583333333333329"/>
    <n v="57.088730835479232"/>
    <n v="1.1463728965897257"/>
    <b v="0"/>
  </r>
  <r>
    <n v="937"/>
    <x v="41"/>
    <x v="1"/>
    <x v="15"/>
    <x v="0"/>
    <x v="6"/>
    <x v="0"/>
    <n v="0.32"/>
    <n v="0.31819999999999998"/>
    <n v="0.21"/>
    <n v="0.16420000000000001"/>
    <n v="12"/>
    <n v="62"/>
    <n v="74"/>
    <x v="0"/>
    <x v="6"/>
    <x v="1"/>
    <x v="2"/>
    <x v="1"/>
    <n v="68.083333333333329"/>
    <n v="58.031413282258015"/>
    <n v="0.84186983533663917"/>
    <b v="0"/>
  </r>
  <r>
    <n v="938"/>
    <x v="41"/>
    <x v="1"/>
    <x v="16"/>
    <x v="0"/>
    <x v="6"/>
    <x v="0"/>
    <n v="0.3"/>
    <n v="0.28789999999999999"/>
    <n v="0.28000000000000003"/>
    <n v="0.19400000000000001"/>
    <n v="14"/>
    <n v="111"/>
    <n v="125"/>
    <x v="0"/>
    <x v="6"/>
    <x v="1"/>
    <x v="2"/>
    <x v="1"/>
    <n v="72.25"/>
    <n v="61.933519757601516"/>
    <n v="1.6734895946807398"/>
    <b v="0"/>
  </r>
  <r>
    <n v="939"/>
    <x v="41"/>
    <x v="1"/>
    <x v="17"/>
    <x v="0"/>
    <x v="6"/>
    <x v="0"/>
    <n v="0.3"/>
    <n v="0.33329999999999999"/>
    <n v="0.24"/>
    <n v="0"/>
    <n v="18"/>
    <n v="193"/>
    <n v="211"/>
    <x v="0"/>
    <x v="6"/>
    <x v="1"/>
    <x v="3"/>
    <x v="1"/>
    <n v="73.083333333333329"/>
    <n v="62.802600795402306"/>
    <n v="1.2735751066665515"/>
    <b v="0"/>
  </r>
  <r>
    <n v="940"/>
    <x v="41"/>
    <x v="1"/>
    <x v="18"/>
    <x v="0"/>
    <x v="6"/>
    <x v="0"/>
    <n v="0.28000000000000003"/>
    <n v="0.31819999999999998"/>
    <n v="0.28000000000000003"/>
    <n v="0"/>
    <n v="9"/>
    <n v="165"/>
    <n v="174"/>
    <x v="0"/>
    <x v="6"/>
    <x v="1"/>
    <x v="3"/>
    <x v="0"/>
    <n v="70"/>
    <n v="57.313781634240392"/>
    <n v="1.1701101220172574"/>
    <b v="0"/>
  </r>
  <r>
    <n v="941"/>
    <x v="41"/>
    <x v="1"/>
    <x v="19"/>
    <x v="0"/>
    <x v="6"/>
    <x v="0"/>
    <n v="0.26"/>
    <n v="0.30299999999999999"/>
    <n v="0.33"/>
    <n v="0"/>
    <n v="7"/>
    <n v="94"/>
    <n v="101"/>
    <x v="0"/>
    <x v="6"/>
    <x v="1"/>
    <x v="3"/>
    <x v="0"/>
    <n v="65.416666666666671"/>
    <n v="52.860700176864903"/>
    <n v="-7.5445430618201373E-2"/>
    <b v="0"/>
  </r>
  <r>
    <n v="942"/>
    <x v="41"/>
    <x v="1"/>
    <x v="20"/>
    <x v="0"/>
    <x v="6"/>
    <x v="0"/>
    <n v="0.22"/>
    <n v="0.2273"/>
    <n v="0.55000000000000004"/>
    <n v="0.1343"/>
    <n v="2"/>
    <n v="61"/>
    <n v="63"/>
    <x v="0"/>
    <x v="6"/>
    <x v="1"/>
    <x v="3"/>
    <x v="0"/>
    <n v="62.916666666666664"/>
    <n v="52.522389980610761"/>
    <n v="-0.48542502175407237"/>
    <b v="0"/>
  </r>
  <r>
    <n v="943"/>
    <x v="41"/>
    <x v="1"/>
    <x v="21"/>
    <x v="0"/>
    <x v="6"/>
    <x v="0"/>
    <n v="0.2"/>
    <n v="0.21210000000000001"/>
    <n v="0.59"/>
    <n v="0.1343"/>
    <n v="1"/>
    <n v="46"/>
    <n v="47"/>
    <x v="0"/>
    <x v="6"/>
    <x v="1"/>
    <x v="0"/>
    <x v="0"/>
    <n v="61.958333333333336"/>
    <n v="52.73022330007111"/>
    <n v="-0.50886265763529759"/>
    <b v="1"/>
  </r>
  <r>
    <n v="944"/>
    <x v="41"/>
    <x v="1"/>
    <x v="22"/>
    <x v="0"/>
    <x v="6"/>
    <x v="0"/>
    <n v="0.2"/>
    <n v="0.2273"/>
    <n v="0.64"/>
    <n v="8.9599999999999999E-2"/>
    <n v="2"/>
    <n v="41"/>
    <n v="43"/>
    <x v="0"/>
    <x v="6"/>
    <x v="1"/>
    <x v="0"/>
    <x v="0"/>
    <n v="62.125"/>
    <n v="52.687192157025265"/>
    <n v="-0.32067875177782912"/>
    <b v="1"/>
  </r>
  <r>
    <n v="945"/>
    <x v="41"/>
    <x v="1"/>
    <x v="23"/>
    <x v="0"/>
    <x v="6"/>
    <x v="0"/>
    <n v="0.18"/>
    <n v="0.2424"/>
    <n v="0.69"/>
    <n v="0"/>
    <n v="5"/>
    <n v="48"/>
    <n v="53"/>
    <x v="0"/>
    <x v="6"/>
    <x v="1"/>
    <x v="0"/>
    <x v="2"/>
    <n v="62.208333333333336"/>
    <n v="52.657200809589654"/>
    <n v="-0.41536580661382222"/>
    <b v="1"/>
  </r>
  <r>
    <n v="946"/>
    <x v="42"/>
    <x v="1"/>
    <x v="0"/>
    <x v="0"/>
    <x v="0"/>
    <x v="0"/>
    <n v="0.16"/>
    <n v="0.19700000000000001"/>
    <n v="0.69"/>
    <n v="8.9599999999999999E-2"/>
    <n v="3"/>
    <n v="27"/>
    <n v="30"/>
    <x v="0"/>
    <x v="0"/>
    <x v="0"/>
    <x v="0"/>
    <x v="2"/>
    <n v="61.333333333333336"/>
    <n v="52.990291700393136"/>
    <n v="-0.63322588719526707"/>
    <b v="1"/>
  </r>
  <r>
    <n v="947"/>
    <x v="42"/>
    <x v="1"/>
    <x v="1"/>
    <x v="0"/>
    <x v="0"/>
    <x v="0"/>
    <n v="0.14000000000000001"/>
    <n v="0.21210000000000001"/>
    <n v="0.86"/>
    <n v="0"/>
    <n v="2"/>
    <n v="22"/>
    <n v="24"/>
    <x v="0"/>
    <x v="0"/>
    <x v="0"/>
    <x v="0"/>
    <x v="2"/>
    <n v="61.708333333333336"/>
    <n v="52.790380519203673"/>
    <n v="-0.48653280951450173"/>
    <b v="1"/>
  </r>
  <r>
    <n v="948"/>
    <x v="42"/>
    <x v="1"/>
    <x v="2"/>
    <x v="0"/>
    <x v="0"/>
    <x v="0"/>
    <n v="0.14000000000000001"/>
    <n v="0.21210000000000001"/>
    <n v="0.8"/>
    <n v="0"/>
    <n v="2"/>
    <n v="13"/>
    <n v="15"/>
    <x v="0"/>
    <x v="0"/>
    <x v="0"/>
    <x v="0"/>
    <x v="2"/>
    <n v="61.708333333333336"/>
    <n v="52.790380519203673"/>
    <n v="-0.71378237737661832"/>
    <b v="1"/>
  </r>
  <r>
    <n v="949"/>
    <x v="42"/>
    <x v="1"/>
    <x v="3"/>
    <x v="0"/>
    <x v="0"/>
    <x v="0"/>
    <n v="0.12"/>
    <n v="0.19700000000000001"/>
    <n v="0.8"/>
    <n v="0"/>
    <n v="3"/>
    <n v="7"/>
    <n v="10"/>
    <x v="0"/>
    <x v="0"/>
    <x v="0"/>
    <x v="0"/>
    <x v="2"/>
    <n v="61.916666666666664"/>
    <n v="52.607584728957974"/>
    <n v="-0.75592412837019174"/>
    <b v="0"/>
  </r>
  <r>
    <n v="950"/>
    <x v="42"/>
    <x v="1"/>
    <x v="4"/>
    <x v="0"/>
    <x v="0"/>
    <x v="0"/>
    <n v="0.12"/>
    <n v="0.16669999999999999"/>
    <n v="0.74"/>
    <n v="8.9599999999999999E-2"/>
    <n v="0"/>
    <n v="4"/>
    <n v="4"/>
    <x v="0"/>
    <x v="0"/>
    <x v="0"/>
    <x v="0"/>
    <x v="2"/>
    <n v="62"/>
    <n v="52.523286760958833"/>
    <n v="-0.86892600993840063"/>
    <b v="0"/>
  </r>
  <r>
    <n v="951"/>
    <x v="42"/>
    <x v="1"/>
    <x v="5"/>
    <x v="0"/>
    <x v="0"/>
    <x v="0"/>
    <n v="0.12"/>
    <n v="0.16669999999999999"/>
    <n v="0.74"/>
    <n v="8.9599999999999999E-2"/>
    <n v="0"/>
    <n v="1"/>
    <n v="1"/>
    <x v="0"/>
    <x v="0"/>
    <x v="0"/>
    <x v="0"/>
    <x v="2"/>
    <n v="61.916666666666664"/>
    <n v="52.620806487190201"/>
    <n v="-1.0230194697794861"/>
    <b v="0"/>
  </r>
  <r>
    <n v="952"/>
    <x v="42"/>
    <x v="1"/>
    <x v="6"/>
    <x v="0"/>
    <x v="0"/>
    <x v="0"/>
    <n v="0.12"/>
    <n v="0.13639999999999999"/>
    <n v="0.93"/>
    <n v="0.19400000000000001"/>
    <n v="1"/>
    <n v="1"/>
    <n v="2"/>
    <x v="0"/>
    <x v="0"/>
    <x v="0"/>
    <x v="1"/>
    <x v="2"/>
    <n v="62.083333333333336"/>
    <n v="52.425447410888964"/>
    <n v="-0.97432676075708113"/>
    <b v="0"/>
  </r>
  <r>
    <n v="953"/>
    <x v="42"/>
    <x v="1"/>
    <x v="7"/>
    <x v="0"/>
    <x v="0"/>
    <x v="0"/>
    <n v="0.12"/>
    <n v="0.1515"/>
    <n v="0.8"/>
    <n v="0.1045"/>
    <n v="2"/>
    <n v="9"/>
    <n v="11"/>
    <x v="0"/>
    <x v="0"/>
    <x v="0"/>
    <x v="1"/>
    <x v="2"/>
    <n v="62.125"/>
    <n v="52.375992259979107"/>
    <n v="-1.0351964215024336"/>
    <b v="0"/>
  </r>
  <r>
    <n v="954"/>
    <x v="42"/>
    <x v="1"/>
    <x v="8"/>
    <x v="0"/>
    <x v="0"/>
    <x v="0"/>
    <n v="0.14000000000000001"/>
    <n v="0.1515"/>
    <n v="0.86"/>
    <n v="0.1343"/>
    <n v="2"/>
    <n v="28"/>
    <n v="30"/>
    <x v="0"/>
    <x v="0"/>
    <x v="0"/>
    <x v="1"/>
    <x v="2"/>
    <n v="62.166666666666664"/>
    <n v="52.333933348355771"/>
    <n v="-0.96795628559262215"/>
    <b v="0"/>
  </r>
  <r>
    <n v="955"/>
    <x v="42"/>
    <x v="1"/>
    <x v="9"/>
    <x v="0"/>
    <x v="0"/>
    <x v="0"/>
    <n v="0.16"/>
    <n v="0.18179999999999999"/>
    <n v="0.64"/>
    <n v="0.1343"/>
    <n v="5"/>
    <n v="38"/>
    <n v="43"/>
    <x v="0"/>
    <x v="0"/>
    <x v="0"/>
    <x v="1"/>
    <x v="2"/>
    <n v="62.875"/>
    <n v="51.993571927105862"/>
    <n v="-0.40620999572762362"/>
    <b v="0"/>
  </r>
  <r>
    <n v="956"/>
    <x v="42"/>
    <x v="1"/>
    <x v="10"/>
    <x v="0"/>
    <x v="0"/>
    <x v="0"/>
    <n v="0.22"/>
    <n v="0.21210000000000001"/>
    <n v="0.41"/>
    <n v="0.25369999999999998"/>
    <n v="13"/>
    <n v="71"/>
    <n v="84"/>
    <x v="0"/>
    <x v="0"/>
    <x v="0"/>
    <x v="1"/>
    <x v="0"/>
    <n v="65.458333333333329"/>
    <n v="52.500914415777117"/>
    <n v="0.56410539302762441"/>
    <b v="0"/>
  </r>
  <r>
    <n v="957"/>
    <x v="42"/>
    <x v="1"/>
    <x v="11"/>
    <x v="0"/>
    <x v="0"/>
    <x v="0"/>
    <n v="0.3"/>
    <n v="0.2727"/>
    <n v="0.28000000000000003"/>
    <n v="0.32840000000000003"/>
    <n v="30"/>
    <n v="84"/>
    <n v="114"/>
    <x v="0"/>
    <x v="0"/>
    <x v="0"/>
    <x v="1"/>
    <x v="1"/>
    <n v="66.625"/>
    <n v="53.236806898006684"/>
    <n v="0.69778821582221096"/>
    <b v="0"/>
  </r>
  <r>
    <n v="958"/>
    <x v="42"/>
    <x v="1"/>
    <x v="12"/>
    <x v="0"/>
    <x v="0"/>
    <x v="0"/>
    <n v="0.3"/>
    <n v="0.2727"/>
    <n v="0.39"/>
    <n v="0.4627"/>
    <n v="27"/>
    <n v="93"/>
    <n v="120"/>
    <x v="0"/>
    <x v="0"/>
    <x v="0"/>
    <x v="2"/>
    <x v="1"/>
    <n v="68.208333333333329"/>
    <n v="55.234660799385637"/>
    <n v="1.3803511634705581"/>
    <b v="0"/>
  </r>
  <r>
    <n v="959"/>
    <x v="42"/>
    <x v="1"/>
    <x v="13"/>
    <x v="0"/>
    <x v="0"/>
    <x v="0"/>
    <n v="0.3"/>
    <n v="0.2727"/>
    <n v="0.39"/>
    <n v="0.41789999999999999"/>
    <n v="32"/>
    <n v="103"/>
    <n v="135"/>
    <x v="0"/>
    <x v="0"/>
    <x v="0"/>
    <x v="2"/>
    <x v="1"/>
    <n v="69.625"/>
    <n v="57.027691595361389"/>
    <n v="1.5291783534531507"/>
    <b v="0"/>
  </r>
  <r>
    <n v="960"/>
    <x v="42"/>
    <x v="1"/>
    <x v="14"/>
    <x v="0"/>
    <x v="0"/>
    <x v="0"/>
    <n v="0.34"/>
    <n v="0.31819999999999998"/>
    <n v="0.31"/>
    <n v="0.28360000000000002"/>
    <n v="30"/>
    <n v="90"/>
    <n v="120"/>
    <x v="0"/>
    <x v="0"/>
    <x v="0"/>
    <x v="2"/>
    <x v="1"/>
    <n v="70.708333333333329"/>
    <n v="58.550223084019123"/>
    <n v="1.8124859574425425"/>
    <b v="0"/>
  </r>
  <r>
    <n v="961"/>
    <x v="42"/>
    <x v="1"/>
    <x v="15"/>
    <x v="0"/>
    <x v="0"/>
    <x v="0"/>
    <n v="0.34"/>
    <n v="0.30299999999999999"/>
    <n v="0.28999999999999998"/>
    <n v="0.41789999999999999"/>
    <n v="47"/>
    <n v="127"/>
    <n v="174"/>
    <x v="0"/>
    <x v="0"/>
    <x v="0"/>
    <x v="2"/>
    <x v="1"/>
    <n v="72.458333333333329"/>
    <n v="60.676604736247732"/>
    <n v="2.1068161350612882"/>
    <b v="0"/>
  </r>
  <r>
    <n v="962"/>
    <x v="42"/>
    <x v="1"/>
    <x v="16"/>
    <x v="0"/>
    <x v="0"/>
    <x v="0"/>
    <n v="0.34"/>
    <n v="0.30299999999999999"/>
    <n v="0.28999999999999998"/>
    <n v="0.41789999999999999"/>
    <n v="42"/>
    <n v="103"/>
    <n v="145"/>
    <x v="0"/>
    <x v="0"/>
    <x v="0"/>
    <x v="2"/>
    <x v="1"/>
    <n v="70.791666666666671"/>
    <n v="58.267732263993295"/>
    <n v="1.9599326885507935"/>
    <b v="0"/>
  </r>
  <r>
    <n v="963"/>
    <x v="42"/>
    <x v="1"/>
    <x v="17"/>
    <x v="0"/>
    <x v="0"/>
    <x v="0"/>
    <n v="0.32"/>
    <n v="0.28789999999999999"/>
    <n v="0.31"/>
    <n v="0.52239999999999998"/>
    <n v="24"/>
    <n v="113"/>
    <n v="137"/>
    <x v="0"/>
    <x v="0"/>
    <x v="0"/>
    <x v="3"/>
    <x v="1"/>
    <n v="69.958333333333329"/>
    <n v="57.295177099303736"/>
    <n v="2.1428437055736316"/>
    <b v="0"/>
  </r>
  <r>
    <n v="964"/>
    <x v="42"/>
    <x v="1"/>
    <x v="18"/>
    <x v="0"/>
    <x v="0"/>
    <x v="0"/>
    <n v="0.28000000000000003"/>
    <n v="0.2576"/>
    <n v="0.38"/>
    <n v="0.32840000000000003"/>
    <n v="4"/>
    <n v="60"/>
    <n v="64"/>
    <x v="0"/>
    <x v="0"/>
    <x v="0"/>
    <x v="3"/>
    <x v="0"/>
    <n v="68.208333333333329"/>
    <n v="55.779830519226422"/>
    <n v="1.8450130037390706"/>
    <b v="0"/>
  </r>
  <r>
    <n v="965"/>
    <x v="42"/>
    <x v="1"/>
    <x v="19"/>
    <x v="0"/>
    <x v="0"/>
    <x v="0"/>
    <n v="0.28000000000000003"/>
    <n v="0.2727"/>
    <n v="0.38"/>
    <n v="0.16420000000000001"/>
    <n v="2"/>
    <n v="39"/>
    <n v="41"/>
    <x v="0"/>
    <x v="0"/>
    <x v="0"/>
    <x v="3"/>
    <x v="0"/>
    <n v="68.083333333333329"/>
    <n v="55.793031095653689"/>
    <n v="1.0936591231396169"/>
    <b v="0"/>
  </r>
  <r>
    <n v="966"/>
    <x v="42"/>
    <x v="1"/>
    <x v="20"/>
    <x v="0"/>
    <x v="0"/>
    <x v="0"/>
    <n v="0.26"/>
    <n v="0.2576"/>
    <n v="0.41"/>
    <n v="0.22389999999999999"/>
    <n v="1"/>
    <n v="39"/>
    <n v="40"/>
    <x v="0"/>
    <x v="0"/>
    <x v="0"/>
    <x v="3"/>
    <x v="0"/>
    <n v="68.333333333333329"/>
    <n v="55.679725969673839"/>
    <n v="0.71717623967121769"/>
    <b v="0"/>
  </r>
  <r>
    <n v="967"/>
    <x v="42"/>
    <x v="1"/>
    <x v="21"/>
    <x v="0"/>
    <x v="0"/>
    <x v="0"/>
    <n v="0.26"/>
    <n v="0.30299999999999999"/>
    <n v="0.41"/>
    <n v="0"/>
    <n v="9"/>
    <n v="42"/>
    <n v="51"/>
    <x v="0"/>
    <x v="0"/>
    <x v="0"/>
    <x v="0"/>
    <x v="0"/>
    <n v="68.791666666666671"/>
    <n v="55.481277035133886"/>
    <n v="0.90106342242578663"/>
    <b v="0"/>
  </r>
  <r>
    <n v="968"/>
    <x v="42"/>
    <x v="1"/>
    <x v="22"/>
    <x v="0"/>
    <x v="0"/>
    <x v="0"/>
    <n v="0.24"/>
    <n v="0.2576"/>
    <n v="0.44"/>
    <n v="8.9599999999999999E-2"/>
    <n v="6"/>
    <n v="39"/>
    <n v="45"/>
    <x v="0"/>
    <x v="0"/>
    <x v="0"/>
    <x v="0"/>
    <x v="0"/>
    <n v="68.166666666666671"/>
    <n v="55.774130411763529"/>
    <n v="0.48089758501900787"/>
    <b v="0"/>
  </r>
  <r>
    <n v="969"/>
    <x v="42"/>
    <x v="1"/>
    <x v="23"/>
    <x v="0"/>
    <x v="0"/>
    <x v="0"/>
    <n v="0.22"/>
    <n v="0.2273"/>
    <n v="0.51"/>
    <n v="0.1343"/>
    <n v="1"/>
    <n v="31"/>
    <n v="32"/>
    <x v="0"/>
    <x v="0"/>
    <x v="0"/>
    <x v="0"/>
    <x v="0"/>
    <n v="67.541666666666671"/>
    <n v="56.127943259064409"/>
    <n v="0.31811033203369526"/>
    <b v="0"/>
  </r>
  <r>
    <n v="970"/>
    <x v="43"/>
    <x v="1"/>
    <x v="0"/>
    <x v="0"/>
    <x v="1"/>
    <x v="0"/>
    <n v="0.2"/>
    <n v="0.2273"/>
    <n v="0.64"/>
    <n v="0.1045"/>
    <n v="5"/>
    <n v="34"/>
    <n v="39"/>
    <x v="0"/>
    <x v="1"/>
    <x v="0"/>
    <x v="0"/>
    <x v="0"/>
    <n v="66.666666666666671"/>
    <n v="56.864955714445053"/>
    <n v="-0.23866963192429874"/>
    <b v="0"/>
  </r>
  <r>
    <n v="971"/>
    <x v="43"/>
    <x v="1"/>
    <x v="1"/>
    <x v="0"/>
    <x v="1"/>
    <x v="0"/>
    <n v="0.2"/>
    <n v="0.2273"/>
    <n v="0.59"/>
    <n v="8.9599999999999999E-2"/>
    <n v="1"/>
    <n v="23"/>
    <n v="24"/>
    <x v="0"/>
    <x v="1"/>
    <x v="0"/>
    <x v="0"/>
    <x v="0"/>
    <n v="65.333333333333329"/>
    <n v="57.907472422122176"/>
    <n v="-0.36647596887325284"/>
    <b v="0"/>
  </r>
  <r>
    <n v="972"/>
    <x v="43"/>
    <x v="1"/>
    <x v="2"/>
    <x v="0"/>
    <x v="1"/>
    <x v="1"/>
    <n v="0.2"/>
    <n v="0.2273"/>
    <n v="0.75"/>
    <n v="8.9599999999999999E-2"/>
    <n v="1"/>
    <n v="19"/>
    <n v="20"/>
    <x v="1"/>
    <x v="1"/>
    <x v="0"/>
    <x v="0"/>
    <x v="0"/>
    <n v="64.416666666666671"/>
    <n v="58.758101507397456"/>
    <n v="-0.52588618386583597"/>
    <b v="0"/>
  </r>
  <r>
    <n v="973"/>
    <x v="43"/>
    <x v="1"/>
    <x v="3"/>
    <x v="0"/>
    <x v="1"/>
    <x v="1"/>
    <n v="0.2"/>
    <n v="0.2273"/>
    <n v="0.69"/>
    <n v="0.1045"/>
    <n v="4"/>
    <n v="8"/>
    <n v="12"/>
    <x v="1"/>
    <x v="1"/>
    <x v="0"/>
    <x v="0"/>
    <x v="0"/>
    <n v="63.666666666666664"/>
    <n v="59.460375308974108"/>
    <n v="-0.5841594640632034"/>
    <b v="0"/>
  </r>
  <r>
    <n v="974"/>
    <x v="43"/>
    <x v="1"/>
    <x v="4"/>
    <x v="0"/>
    <x v="1"/>
    <x v="1"/>
    <n v="0.2"/>
    <n v="0.21210000000000001"/>
    <n v="0.69"/>
    <n v="0.16420000000000001"/>
    <n v="0"/>
    <n v="2"/>
    <n v="2"/>
    <x v="1"/>
    <x v="1"/>
    <x v="0"/>
    <x v="0"/>
    <x v="0"/>
    <n v="63.25"/>
    <n v="59.871783293823881"/>
    <n v="-0.66904969303119688"/>
    <b v="0"/>
  </r>
  <r>
    <n v="975"/>
    <x v="43"/>
    <x v="1"/>
    <x v="6"/>
    <x v="0"/>
    <x v="1"/>
    <x v="1"/>
    <n v="0.2"/>
    <n v="0.21210000000000001"/>
    <n v="0.69"/>
    <n v="0.1343"/>
    <n v="2"/>
    <n v="3"/>
    <n v="5"/>
    <x v="1"/>
    <x v="1"/>
    <x v="0"/>
    <x v="1"/>
    <x v="0"/>
    <n v="63.291666666666664"/>
    <n v="59.82763587584548"/>
    <n v="-0.79362821913970782"/>
    <b v="0"/>
  </r>
  <r>
    <n v="976"/>
    <x v="43"/>
    <x v="1"/>
    <x v="7"/>
    <x v="0"/>
    <x v="1"/>
    <x v="1"/>
    <n v="0.22"/>
    <n v="0.2727"/>
    <n v="0.55000000000000004"/>
    <n v="0"/>
    <n v="0"/>
    <n v="3"/>
    <n v="3"/>
    <x v="1"/>
    <x v="1"/>
    <x v="0"/>
    <x v="1"/>
    <x v="0"/>
    <n v="64.166666666666671"/>
    <n v="59.087015175238292"/>
    <n v="-0.70710678118654757"/>
    <b v="0"/>
  </r>
  <r>
    <n v="977"/>
    <x v="43"/>
    <x v="1"/>
    <x v="8"/>
    <x v="0"/>
    <x v="1"/>
    <x v="1"/>
    <n v="0.22"/>
    <n v="0.2273"/>
    <n v="0.64"/>
    <n v="0.19400000000000001"/>
    <n v="1"/>
    <n v="11"/>
    <n v="12"/>
    <x v="1"/>
    <x v="1"/>
    <x v="0"/>
    <x v="1"/>
    <x v="0"/>
    <n v="68.125"/>
    <n v="57.982990384362239"/>
    <e v="#DIV/0!"/>
    <b v="0"/>
  </r>
  <r>
    <n v="978"/>
    <x v="43"/>
    <x v="1"/>
    <x v="9"/>
    <x v="0"/>
    <x v="1"/>
    <x v="1"/>
    <n v="0.24"/>
    <n v="0.2273"/>
    <n v="0.6"/>
    <n v="0.22389999999999999"/>
    <n v="12"/>
    <n v="35"/>
    <n v="47"/>
    <x v="1"/>
    <x v="1"/>
    <x v="0"/>
    <x v="1"/>
    <x v="0"/>
    <n v="70.565217391304344"/>
    <n v="58.012401563612805"/>
    <e v="#DIV/0!"/>
    <b v="0"/>
  </r>
  <r>
    <n v="979"/>
    <x v="43"/>
    <x v="1"/>
    <x v="10"/>
    <x v="0"/>
    <x v="1"/>
    <x v="0"/>
    <n v="0.3"/>
    <n v="0.2727"/>
    <n v="0.45"/>
    <n v="0.32840000000000003"/>
    <n v="19"/>
    <n v="86"/>
    <n v="105"/>
    <x v="0"/>
    <x v="1"/>
    <x v="0"/>
    <x v="1"/>
    <x v="1"/>
    <n v="71.63636363636364"/>
    <n v="59.144331495519907"/>
    <e v="#DIV/0!"/>
    <b v="0"/>
  </r>
  <r>
    <n v="980"/>
    <x v="43"/>
    <x v="1"/>
    <x v="11"/>
    <x v="0"/>
    <x v="1"/>
    <x v="0"/>
    <n v="0.32"/>
    <n v="0.28789999999999999"/>
    <n v="0.39"/>
    <n v="0.44779999999999998"/>
    <n v="26"/>
    <n v="86"/>
    <n v="112"/>
    <x v="0"/>
    <x v="1"/>
    <x v="0"/>
    <x v="1"/>
    <x v="1"/>
    <n v="70.047619047619051"/>
    <n v="60.121939581550585"/>
    <e v="#DIV/0!"/>
    <b v="0"/>
  </r>
  <r>
    <n v="981"/>
    <x v="43"/>
    <x v="1"/>
    <x v="12"/>
    <x v="0"/>
    <x v="1"/>
    <x v="0"/>
    <n v="0.36"/>
    <n v="0.31819999999999998"/>
    <n v="0.32"/>
    <n v="0.4627"/>
    <n v="58"/>
    <n v="94"/>
    <n v="152"/>
    <x v="0"/>
    <x v="1"/>
    <x v="0"/>
    <x v="2"/>
    <x v="1"/>
    <n v="67.95"/>
    <n v="60.890302572482106"/>
    <e v="#DIV/0!"/>
    <b v="0"/>
  </r>
  <r>
    <n v="982"/>
    <x v="43"/>
    <x v="1"/>
    <x v="13"/>
    <x v="0"/>
    <x v="1"/>
    <x v="0"/>
    <n v="0.38"/>
    <n v="0.39389999999999997"/>
    <n v="0.28999999999999998"/>
    <n v="0.35820000000000002"/>
    <n v="62"/>
    <n v="92"/>
    <n v="154"/>
    <x v="0"/>
    <x v="1"/>
    <x v="0"/>
    <x v="2"/>
    <x v="1"/>
    <n v="63.526315789473685"/>
    <n v="59.164899899492433"/>
    <e v="#DIV/0!"/>
    <b v="0"/>
  </r>
  <r>
    <n v="983"/>
    <x v="43"/>
    <x v="1"/>
    <x v="14"/>
    <x v="0"/>
    <x v="1"/>
    <x v="1"/>
    <n v="0.4"/>
    <n v="0.40910000000000002"/>
    <n v="0.3"/>
    <n v="0.41789999999999999"/>
    <n v="51"/>
    <n v="110"/>
    <n v="161"/>
    <x v="1"/>
    <x v="1"/>
    <x v="0"/>
    <x v="2"/>
    <x v="1"/>
    <n v="58.5"/>
    <n v="56.552162282476246"/>
    <e v="#DIV/0!"/>
    <b v="0"/>
  </r>
  <r>
    <n v="984"/>
    <x v="43"/>
    <x v="1"/>
    <x v="15"/>
    <x v="0"/>
    <x v="1"/>
    <x v="1"/>
    <n v="0.4"/>
    <n v="0.40910000000000002"/>
    <n v="0.3"/>
    <n v="0.29849999999999999"/>
    <n v="40"/>
    <n v="122"/>
    <n v="162"/>
    <x v="1"/>
    <x v="1"/>
    <x v="0"/>
    <x v="2"/>
    <x v="1"/>
    <n v="52.470588235294116"/>
    <n v="51.988120815070374"/>
    <e v="#DIV/0!"/>
    <b v="0"/>
  </r>
  <r>
    <n v="985"/>
    <x v="43"/>
    <x v="1"/>
    <x v="16"/>
    <x v="0"/>
    <x v="1"/>
    <x v="1"/>
    <n v="0.42"/>
    <n v="0.42420000000000002"/>
    <n v="0.28000000000000003"/>
    <n v="0.32840000000000003"/>
    <n v="28"/>
    <n v="106"/>
    <n v="134"/>
    <x v="1"/>
    <x v="1"/>
    <x v="0"/>
    <x v="2"/>
    <x v="1"/>
    <n v="45.625"/>
    <n v="45.090834249693508"/>
    <e v="#DIV/0!"/>
    <b v="0"/>
  </r>
  <r>
    <n v="986"/>
    <x v="43"/>
    <x v="1"/>
    <x v="17"/>
    <x v="0"/>
    <x v="1"/>
    <x v="0"/>
    <n v="0.42"/>
    <n v="0.42420000000000002"/>
    <n v="0.28000000000000003"/>
    <n v="0.32840000000000003"/>
    <n v="30"/>
    <n v="95"/>
    <n v="125"/>
    <x v="0"/>
    <x v="1"/>
    <x v="0"/>
    <x v="3"/>
    <x v="1"/>
    <n v="39.733333333333334"/>
    <n v="39.791360632081698"/>
    <e v="#DIV/0!"/>
    <b v="0"/>
  </r>
  <r>
    <n v="987"/>
    <x v="43"/>
    <x v="1"/>
    <x v="18"/>
    <x v="0"/>
    <x v="1"/>
    <x v="0"/>
    <n v="0.4"/>
    <n v="0.40910000000000002"/>
    <n v="0.32"/>
    <n v="0.29849999999999999"/>
    <n v="17"/>
    <n v="78"/>
    <n v="95"/>
    <x v="0"/>
    <x v="1"/>
    <x v="0"/>
    <x v="3"/>
    <x v="1"/>
    <n v="33.642857142857146"/>
    <n v="33.255669598424269"/>
    <e v="#DIV/0!"/>
    <b v="0"/>
  </r>
  <r>
    <n v="988"/>
    <x v="43"/>
    <x v="1"/>
    <x v="19"/>
    <x v="0"/>
    <x v="1"/>
    <x v="0"/>
    <n v="0.4"/>
    <n v="0.40910000000000002"/>
    <n v="0.35"/>
    <n v="0.28360000000000002"/>
    <n v="11"/>
    <n v="50"/>
    <n v="61"/>
    <x v="0"/>
    <x v="1"/>
    <x v="0"/>
    <x v="3"/>
    <x v="1"/>
    <n v="28.923076923076923"/>
    <n v="29.329909473838981"/>
    <e v="#DIV/0!"/>
    <b v="0"/>
  </r>
  <r>
    <n v="989"/>
    <x v="43"/>
    <x v="1"/>
    <x v="20"/>
    <x v="0"/>
    <x v="1"/>
    <x v="0"/>
    <n v="0.4"/>
    <n v="0.40910000000000002"/>
    <n v="0.35"/>
    <n v="0.32840000000000003"/>
    <n v="15"/>
    <n v="32"/>
    <n v="47"/>
    <x v="0"/>
    <x v="1"/>
    <x v="0"/>
    <x v="3"/>
    <x v="1"/>
    <n v="26.25"/>
    <n v="28.932916139989008"/>
    <e v="#DIV/0!"/>
    <b v="0"/>
  </r>
  <r>
    <n v="990"/>
    <x v="43"/>
    <x v="1"/>
    <x v="21"/>
    <x v="0"/>
    <x v="1"/>
    <x v="0"/>
    <n v="0.4"/>
    <n v="0.40910000000000002"/>
    <n v="0.35"/>
    <n v="0.35820000000000002"/>
    <n v="6"/>
    <n v="45"/>
    <n v="51"/>
    <x v="0"/>
    <x v="1"/>
    <x v="0"/>
    <x v="0"/>
    <x v="1"/>
    <n v="24.363636363636363"/>
    <n v="29.561030859131851"/>
    <e v="#DIV/0!"/>
    <b v="0"/>
  </r>
  <r>
    <n v="991"/>
    <x v="43"/>
    <x v="1"/>
    <x v="22"/>
    <x v="0"/>
    <x v="1"/>
    <x v="0"/>
    <n v="0.4"/>
    <n v="0.40910000000000002"/>
    <n v="0.35"/>
    <n v="0.29849999999999999"/>
    <n v="5"/>
    <n v="31"/>
    <n v="36"/>
    <x v="0"/>
    <x v="1"/>
    <x v="0"/>
    <x v="0"/>
    <x v="1"/>
    <n v="21.7"/>
    <n v="29.736061160371147"/>
    <e v="#DIV/0!"/>
    <b v="0"/>
  </r>
  <r>
    <n v="992"/>
    <x v="43"/>
    <x v="1"/>
    <x v="23"/>
    <x v="0"/>
    <x v="1"/>
    <x v="0"/>
    <n v="0.4"/>
    <n v="0.40910000000000002"/>
    <n v="0.35"/>
    <n v="0.35820000000000002"/>
    <n v="3"/>
    <n v="27"/>
    <n v="30"/>
    <x v="0"/>
    <x v="1"/>
    <x v="0"/>
    <x v="0"/>
    <x v="1"/>
    <n v="20.111111111111111"/>
    <n v="31.086349272809617"/>
    <e v="#DIV/0!"/>
    <b v="0"/>
  </r>
  <r>
    <n v="993"/>
    <x v="44"/>
    <x v="1"/>
    <x v="0"/>
    <x v="0"/>
    <x v="2"/>
    <x v="0"/>
    <n v="0.38"/>
    <n v="0.39389999999999997"/>
    <n v="0.37"/>
    <n v="0.35820000000000002"/>
    <n v="3"/>
    <n v="8"/>
    <n v="11"/>
    <x v="0"/>
    <x v="2"/>
    <x v="1"/>
    <x v="0"/>
    <x v="1"/>
    <n v="18.875"/>
    <n v="32.99540011231003"/>
    <e v="#DIV/0!"/>
    <b v="0"/>
  </r>
  <r>
    <n v="994"/>
    <x v="44"/>
    <x v="1"/>
    <x v="1"/>
    <x v="0"/>
    <x v="2"/>
    <x v="0"/>
    <n v="0.38"/>
    <n v="0.39389999999999997"/>
    <n v="0.37"/>
    <n v="0.35820000000000002"/>
    <n v="1"/>
    <n v="6"/>
    <n v="7"/>
    <x v="0"/>
    <x v="2"/>
    <x v="1"/>
    <x v="0"/>
    <x v="1"/>
    <n v="20"/>
    <n v="35.472994422987938"/>
    <e v="#DIV/0!"/>
    <b v="0"/>
  </r>
  <r>
    <n v="995"/>
    <x v="44"/>
    <x v="1"/>
    <x v="2"/>
    <x v="0"/>
    <x v="2"/>
    <x v="0"/>
    <n v="0.36"/>
    <n v="0.33329999999999999"/>
    <n v="0.4"/>
    <n v="0.29849999999999999"/>
    <n v="0"/>
    <n v="2"/>
    <n v="2"/>
    <x v="0"/>
    <x v="2"/>
    <x v="1"/>
    <x v="0"/>
    <x v="1"/>
    <n v="22.166666666666668"/>
    <n v="38.347968220841466"/>
    <e v="#DIV/0!"/>
    <b v="0"/>
  </r>
  <r>
    <n v="996"/>
    <x v="44"/>
    <x v="1"/>
    <x v="3"/>
    <x v="0"/>
    <x v="2"/>
    <x v="0"/>
    <n v="0.34"/>
    <n v="0.31819999999999998"/>
    <n v="0.46"/>
    <n v="0.22389999999999999"/>
    <n v="1"/>
    <n v="1"/>
    <n v="2"/>
    <x v="0"/>
    <x v="2"/>
    <x v="1"/>
    <x v="0"/>
    <x v="1"/>
    <n v="26.2"/>
    <n v="41.427044306829323"/>
    <e v="#DIV/0!"/>
    <b v="0"/>
  </r>
  <r>
    <n v="997"/>
    <x v="44"/>
    <x v="1"/>
    <x v="4"/>
    <x v="0"/>
    <x v="2"/>
    <x v="0"/>
    <n v="0.32"/>
    <n v="0.30299999999999999"/>
    <n v="0.53"/>
    <n v="0.28360000000000002"/>
    <n v="0"/>
    <n v="2"/>
    <n v="2"/>
    <x v="0"/>
    <x v="2"/>
    <x v="1"/>
    <x v="0"/>
    <x v="1"/>
    <n v="32.25"/>
    <n v="45.213382974513202"/>
    <e v="#DIV/0!"/>
    <b v="0"/>
  </r>
  <r>
    <n v="998"/>
    <x v="44"/>
    <x v="1"/>
    <x v="5"/>
    <x v="0"/>
    <x v="2"/>
    <x v="0"/>
    <n v="0.32"/>
    <n v="0.30299999999999999"/>
    <n v="0.53"/>
    <n v="0.28360000000000002"/>
    <n v="0"/>
    <n v="3"/>
    <n v="3"/>
    <x v="0"/>
    <x v="2"/>
    <x v="1"/>
    <x v="0"/>
    <x v="1"/>
    <n v="42.333333333333336"/>
    <n v="49.561409718987349"/>
    <e v="#DIV/0!"/>
    <b v="0"/>
  </r>
  <r>
    <n v="999"/>
    <x v="44"/>
    <x v="1"/>
    <x v="6"/>
    <x v="0"/>
    <x v="2"/>
    <x v="0"/>
    <n v="0.34"/>
    <n v="0.30299999999999999"/>
    <n v="0.46"/>
    <n v="0.29849999999999999"/>
    <n v="1"/>
    <n v="25"/>
    <n v="26"/>
    <x v="0"/>
    <x v="2"/>
    <x v="1"/>
    <x v="1"/>
    <x v="1"/>
    <n v="62"/>
    <n v="50.911688245431421"/>
    <e v="#DIV/0!"/>
    <b v="0"/>
  </r>
  <r>
    <n v="1000"/>
    <x v="44"/>
    <x v="1"/>
    <x v="7"/>
    <x v="0"/>
    <x v="2"/>
    <x v="0"/>
    <n v="0.34"/>
    <n v="0.30299999999999999"/>
    <n v="0.46"/>
    <n v="0.29849999999999999"/>
    <n v="2"/>
    <n v="96"/>
    <n v="98"/>
    <x v="0"/>
    <x v="2"/>
    <x v="1"/>
    <x v="1"/>
    <x v="1"/>
    <n v="98"/>
    <e v="#DIV/0!"/>
    <e v="#DIV/0!"/>
    <b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DE651D85-4018-4D15-A777-FA5614529F69}"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F10:G15" firstHeaderRow="1" firstDataRow="1" firstDataCol="1"/>
  <pivotFields count="25">
    <pivotField showAll="0"/>
    <pivotField numFmtId="14" showAll="0">
      <items count="4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t="default"/>
      </items>
    </pivotField>
    <pivotField showAll="0">
      <items count="3">
        <item x="0"/>
        <item x="1"/>
        <item t="default"/>
      </items>
    </pivotField>
    <pivotField showAll="0">
      <items count="25">
        <item x="0"/>
        <item x="1"/>
        <item x="2"/>
        <item x="3"/>
        <item x="4"/>
        <item x="5"/>
        <item x="6"/>
        <item x="7"/>
        <item x="8"/>
        <item x="9"/>
        <item x="10"/>
        <item x="11"/>
        <item x="12"/>
        <item x="13"/>
        <item x="14"/>
        <item x="15"/>
        <item x="16"/>
        <item x="17"/>
        <item x="18"/>
        <item x="19"/>
        <item x="20"/>
        <item x="21"/>
        <item x="22"/>
        <item x="23"/>
        <item t="default"/>
      </items>
    </pivotField>
    <pivotField showAll="0"/>
    <pivotField showAll="0"/>
    <pivotField showAll="0">
      <items count="5">
        <item x="0"/>
        <item x="1"/>
        <item x="2"/>
        <item x="3"/>
        <item t="default"/>
      </items>
    </pivotField>
    <pivotField showAll="0"/>
    <pivotField showAll="0"/>
    <pivotField showAll="0"/>
    <pivotField showAll="0"/>
    <pivotField showAll="0"/>
    <pivotField showAll="0"/>
    <pivotField dataField="1" showAll="0"/>
    <pivotField axis="axisRow" showAll="0">
      <items count="5">
        <item x="0"/>
        <item x="3"/>
        <item x="2"/>
        <item x="1"/>
        <item t="default"/>
      </items>
    </pivotField>
    <pivotField showAll="0">
      <items count="8">
        <item x="1"/>
        <item x="2"/>
        <item x="3"/>
        <item x="4"/>
        <item x="5"/>
        <item x="6"/>
        <item x="0"/>
        <item t="default"/>
      </items>
    </pivotField>
    <pivotField showAll="0">
      <items count="3">
        <item x="1"/>
        <item x="0"/>
        <item t="default"/>
      </items>
    </pivotField>
    <pivotField showAll="0">
      <items count="5">
        <item x="2"/>
        <item x="3"/>
        <item x="1"/>
        <item x="0"/>
        <item t="default"/>
      </items>
    </pivotField>
    <pivotField showAll="0">
      <items count="4">
        <item x="2"/>
        <item x="0"/>
        <item x="1"/>
        <item t="default"/>
      </items>
    </pivotField>
    <pivotField numFmtId="2" showAll="0"/>
    <pivotField showAll="0"/>
    <pivotField showAll="0"/>
    <pivotField showAll="0"/>
    <pivotField showAll="0" defaultSubtotal="0"/>
    <pivotField showAll="0" defaultSubtotal="0">
      <items count="14">
        <item x="0"/>
        <item x="1"/>
        <item x="2"/>
        <item x="3"/>
        <item x="4"/>
        <item x="5"/>
        <item x="6"/>
        <item x="7"/>
        <item x="8"/>
        <item x="9"/>
        <item x="10"/>
        <item x="11"/>
        <item x="12"/>
        <item x="13"/>
      </items>
    </pivotField>
  </pivotFields>
  <rowFields count="1">
    <field x="14"/>
  </rowFields>
  <rowItems count="5">
    <i>
      <x/>
    </i>
    <i>
      <x v="1"/>
    </i>
    <i>
      <x v="2"/>
    </i>
    <i>
      <x v="3"/>
    </i>
    <i t="grand">
      <x/>
    </i>
  </rowItems>
  <colItems count="1">
    <i/>
  </colItems>
  <dataFields count="1">
    <dataField name="StdDev of cnt" fld="13" subtotal="stdDev" baseField="14" baseItem="0" numFmtId="2"/>
  </dataFields>
  <formats count="27">
    <format dxfId="242">
      <pivotArea outline="0" collapsedLevelsAreSubtotals="1" fieldPosition="0"/>
    </format>
    <format dxfId="241">
      <pivotArea type="all" dataOnly="0" outline="0" fieldPosition="0"/>
    </format>
    <format dxfId="240">
      <pivotArea outline="0" collapsedLevelsAreSubtotals="1" fieldPosition="0"/>
    </format>
    <format dxfId="239">
      <pivotArea field="14" type="button" dataOnly="0" labelOnly="1" outline="0" axis="axisRow" fieldPosition="0"/>
    </format>
    <format dxfId="238">
      <pivotArea dataOnly="0" labelOnly="1" fieldPosition="0">
        <references count="1">
          <reference field="14" count="0"/>
        </references>
      </pivotArea>
    </format>
    <format dxfId="237">
      <pivotArea dataOnly="0" labelOnly="1" grandRow="1" outline="0" fieldPosition="0"/>
    </format>
    <format dxfId="236">
      <pivotArea dataOnly="0" labelOnly="1" outline="0" axis="axisValues" fieldPosition="0"/>
    </format>
    <format dxfId="235">
      <pivotArea type="all" dataOnly="0" outline="0" fieldPosition="0"/>
    </format>
    <format dxfId="234">
      <pivotArea outline="0" collapsedLevelsAreSubtotals="1" fieldPosition="0"/>
    </format>
    <format dxfId="233">
      <pivotArea field="14" type="button" dataOnly="0" labelOnly="1" outline="0" axis="axisRow" fieldPosition="0"/>
    </format>
    <format dxfId="232">
      <pivotArea dataOnly="0" labelOnly="1" fieldPosition="0">
        <references count="1">
          <reference field="14" count="0"/>
        </references>
      </pivotArea>
    </format>
    <format dxfId="231">
      <pivotArea dataOnly="0" labelOnly="1" grandRow="1" outline="0" fieldPosition="0"/>
    </format>
    <format dxfId="230">
      <pivotArea dataOnly="0" labelOnly="1" outline="0" axis="axisValues" fieldPosition="0"/>
    </format>
    <format dxfId="229">
      <pivotArea type="all" dataOnly="0" outline="0" fieldPosition="0"/>
    </format>
    <format dxfId="228">
      <pivotArea outline="0" collapsedLevelsAreSubtotals="1" fieldPosition="0"/>
    </format>
    <format dxfId="227">
      <pivotArea field="14" type="button" dataOnly="0" labelOnly="1" outline="0" axis="axisRow" fieldPosition="0"/>
    </format>
    <format dxfId="226">
      <pivotArea dataOnly="0" labelOnly="1" fieldPosition="0">
        <references count="1">
          <reference field="14" count="0"/>
        </references>
      </pivotArea>
    </format>
    <format dxfId="225">
      <pivotArea dataOnly="0" labelOnly="1" grandRow="1" outline="0" fieldPosition="0"/>
    </format>
    <format dxfId="224">
      <pivotArea dataOnly="0" labelOnly="1" outline="0" axis="axisValues" fieldPosition="0"/>
    </format>
    <format dxfId="223">
      <pivotArea outline="0" collapsedLevelsAreSubtotals="1" fieldPosition="0"/>
    </format>
    <format dxfId="222">
      <pivotArea dataOnly="0" labelOnly="1" outline="0" axis="axisValues" fieldPosition="0"/>
    </format>
    <format dxfId="221">
      <pivotArea type="all" dataOnly="0" outline="0" fieldPosition="0"/>
    </format>
    <format dxfId="220">
      <pivotArea outline="0" collapsedLevelsAreSubtotals="1" fieldPosition="0"/>
    </format>
    <format dxfId="219">
      <pivotArea field="14" type="button" dataOnly="0" labelOnly="1" outline="0" axis="axisRow" fieldPosition="0"/>
    </format>
    <format dxfId="218">
      <pivotArea dataOnly="0" labelOnly="1" fieldPosition="0">
        <references count="1">
          <reference field="14" count="0"/>
        </references>
      </pivotArea>
    </format>
    <format dxfId="217">
      <pivotArea dataOnly="0" labelOnly="1" grandRow="1" outline="0" fieldPosition="0"/>
    </format>
    <format dxfId="216">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7B3B8084-0483-41B4-8B9F-F29034FD49FE}"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0">
  <location ref="B9:D12" firstHeaderRow="0" firstDataRow="1" firstDataCol="1"/>
  <pivotFields count="25">
    <pivotField showAll="0"/>
    <pivotField numFmtId="14" showAll="0">
      <items count="4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t="default"/>
      </items>
    </pivotField>
    <pivotField showAll="0">
      <items count="3">
        <item x="0"/>
        <item x="1"/>
        <item t="default"/>
      </items>
    </pivotField>
    <pivotField showAll="0">
      <items count="25">
        <item x="0"/>
        <item x="1"/>
        <item x="2"/>
        <item x="3"/>
        <item x="4"/>
        <item x="5"/>
        <item x="6"/>
        <item x="7"/>
        <item x="8"/>
        <item x="9"/>
        <item x="10"/>
        <item x="11"/>
        <item x="12"/>
        <item x="13"/>
        <item x="14"/>
        <item x="15"/>
        <item x="16"/>
        <item x="17"/>
        <item x="18"/>
        <item x="19"/>
        <item x="20"/>
        <item x="21"/>
        <item x="22"/>
        <item x="23"/>
        <item t="default"/>
      </items>
    </pivotField>
    <pivotField showAll="0"/>
    <pivotField showAll="0"/>
    <pivotField showAll="0"/>
    <pivotField showAll="0"/>
    <pivotField showAll="0"/>
    <pivotField showAll="0"/>
    <pivotField showAll="0"/>
    <pivotField dataField="1" showAll="0"/>
    <pivotField dataField="1" showAll="0"/>
    <pivotField showAll="0"/>
    <pivotField showAll="0">
      <items count="5">
        <item x="0"/>
        <item x="3"/>
        <item x="2"/>
        <item x="1"/>
        <item t="default"/>
      </items>
    </pivotField>
    <pivotField showAll="0">
      <items count="8">
        <item x="1"/>
        <item x="2"/>
        <item x="3"/>
        <item x="4"/>
        <item x="5"/>
        <item x="6"/>
        <item x="0"/>
        <item t="default"/>
      </items>
    </pivotField>
    <pivotField axis="axisRow" showAll="0">
      <items count="3">
        <item x="1"/>
        <item x="0"/>
        <item t="default"/>
      </items>
    </pivotField>
    <pivotField showAll="0">
      <items count="5">
        <item x="2"/>
        <item x="3"/>
        <item x="1"/>
        <item x="0"/>
        <item t="default"/>
      </items>
    </pivotField>
    <pivotField showAll="0">
      <items count="4">
        <item x="2"/>
        <item x="0"/>
        <item x="1"/>
        <item t="default"/>
      </items>
    </pivotField>
    <pivotField numFmtId="2" showAll="0"/>
    <pivotField showAll="0"/>
    <pivotField showAll="0"/>
    <pivotField showAll="0"/>
    <pivotField showAll="0" defaultSubtotal="0"/>
    <pivotField showAll="0" defaultSubtotal="0">
      <items count="14">
        <item x="0"/>
        <item x="1"/>
        <item x="2"/>
        <item x="3"/>
        <item x="4"/>
        <item x="5"/>
        <item x="6"/>
        <item x="7"/>
        <item x="8"/>
        <item x="9"/>
        <item x="10"/>
        <item x="11"/>
        <item x="12"/>
        <item x="13"/>
      </items>
    </pivotField>
  </pivotFields>
  <rowFields count="1">
    <field x="16"/>
  </rowFields>
  <rowItems count="3">
    <i>
      <x/>
    </i>
    <i>
      <x v="1"/>
    </i>
    <i t="grand">
      <x/>
    </i>
  </rowItems>
  <colFields count="1">
    <field x="-2"/>
  </colFields>
  <colItems count="2">
    <i>
      <x/>
    </i>
    <i i="1">
      <x v="1"/>
    </i>
  </colItems>
  <dataFields count="2">
    <dataField name="Sum of casual" fld="11" baseField="0" baseItem="0"/>
    <dataField name="Sum of reg" fld="12" baseField="0" baseItem="0"/>
  </dataFields>
  <formats count="11">
    <format dxfId="194">
      <pivotArea type="all" dataOnly="0" outline="0" fieldPosition="0"/>
    </format>
    <format dxfId="193">
      <pivotArea outline="0" collapsedLevelsAreSubtotals="1" fieldPosition="0"/>
    </format>
    <format dxfId="192">
      <pivotArea field="16" type="button" dataOnly="0" labelOnly="1" outline="0" axis="axisRow" fieldPosition="0"/>
    </format>
    <format dxfId="191">
      <pivotArea dataOnly="0" labelOnly="1" fieldPosition="0">
        <references count="1">
          <reference field="16" count="0"/>
        </references>
      </pivotArea>
    </format>
    <format dxfId="190">
      <pivotArea dataOnly="0" labelOnly="1" grandRow="1" outline="0" fieldPosition="0"/>
    </format>
    <format dxfId="189">
      <pivotArea dataOnly="0" labelOnly="1" outline="0" fieldPosition="0">
        <references count="1">
          <reference field="4294967294" count="2">
            <x v="0"/>
            <x v="1"/>
          </reference>
        </references>
      </pivotArea>
    </format>
    <format dxfId="188">
      <pivotArea outline="0" collapsedLevelsAreSubtotals="1" fieldPosition="0">
        <references count="1">
          <reference field="4294967294" count="1" selected="0">
            <x v="1"/>
          </reference>
        </references>
      </pivotArea>
    </format>
    <format dxfId="187">
      <pivotArea dataOnly="0" labelOnly="1" outline="0" fieldPosition="0">
        <references count="1">
          <reference field="4294967294" count="1">
            <x v="1"/>
          </reference>
        </references>
      </pivotArea>
    </format>
    <format dxfId="186">
      <pivotArea outline="0" collapsedLevelsAreSubtotals="1" fieldPosition="0">
        <references count="1">
          <reference field="4294967294" count="1" selected="0">
            <x v="0"/>
          </reference>
        </references>
      </pivotArea>
    </format>
    <format dxfId="185">
      <pivotArea outline="0" collapsedLevelsAreSubtotals="1" fieldPosition="0">
        <references count="1">
          <reference field="4294967294" count="1" selected="0">
            <x v="0"/>
          </reference>
        </references>
      </pivotArea>
    </format>
    <format dxfId="184">
      <pivotArea outline="0" collapsedLevelsAreSubtotals="1" fieldPosition="0">
        <references count="1">
          <reference field="4294967294" count="1" selected="0">
            <x v="0"/>
          </reference>
        </references>
      </pivotArea>
    </format>
  </formats>
  <chartFormats count="4">
    <chartFormat chart="13" format="0" series="1">
      <pivotArea type="data" outline="0" fieldPosition="0">
        <references count="1">
          <reference field="4294967294" count="1" selected="0">
            <x v="0"/>
          </reference>
        </references>
      </pivotArea>
    </chartFormat>
    <chartFormat chart="13" format="1" series="1">
      <pivotArea type="data" outline="0" fieldPosition="0">
        <references count="1">
          <reference field="4294967294" count="1" selected="0">
            <x v="1"/>
          </reference>
        </references>
      </pivotArea>
    </chartFormat>
    <chartFormat chart="21" format="4" series="1">
      <pivotArea type="data" outline="0" fieldPosition="0">
        <references count="1">
          <reference field="4294967294" count="1" selected="0">
            <x v="0"/>
          </reference>
        </references>
      </pivotArea>
    </chartFormat>
    <chartFormat chart="21"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7FCA10C1-B8ED-4F70-810C-51932ABDEC03}"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2">
  <location ref="B5:D30" firstHeaderRow="0" firstDataRow="1" firstDataCol="1"/>
  <pivotFields count="25">
    <pivotField showAll="0"/>
    <pivotField numFmtId="14" showAll="0">
      <items count="4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t="default"/>
      </items>
    </pivotField>
    <pivotField showAll="0">
      <items count="3">
        <item x="0"/>
        <item x="1"/>
        <item t="default"/>
      </items>
    </pivotField>
    <pivotField axis="axisRow" showAll="0">
      <items count="25">
        <item x="0"/>
        <item x="1"/>
        <item x="2"/>
        <item x="3"/>
        <item x="4"/>
        <item x="5"/>
        <item x="6"/>
        <item x="7"/>
        <item x="8"/>
        <item x="9"/>
        <item x="10"/>
        <item x="11"/>
        <item x="12"/>
        <item x="13"/>
        <item x="14"/>
        <item x="15"/>
        <item x="16"/>
        <item x="17"/>
        <item x="18"/>
        <item x="19"/>
        <item x="20"/>
        <item x="21"/>
        <item x="22"/>
        <item x="23"/>
        <item t="default"/>
      </items>
    </pivotField>
    <pivotField showAll="0">
      <items count="3">
        <item x="0"/>
        <item x="1"/>
        <item t="default"/>
      </items>
    </pivotField>
    <pivotField showAll="0">
      <items count="8">
        <item x="1"/>
        <item x="2"/>
        <item x="3"/>
        <item x="4"/>
        <item x="5"/>
        <item x="6"/>
        <item x="0"/>
        <item t="default"/>
      </items>
    </pivotField>
    <pivotField showAll="0">
      <items count="5">
        <item x="0"/>
        <item x="1"/>
        <item x="2"/>
        <item x="3"/>
        <item t="default"/>
      </items>
    </pivotField>
    <pivotField showAll="0"/>
    <pivotField showAll="0"/>
    <pivotField showAll="0"/>
    <pivotField showAll="0"/>
    <pivotField dataField="1" showAll="0"/>
    <pivotField dataField="1" showAll="0"/>
    <pivotField showAll="0"/>
    <pivotField showAll="0">
      <items count="5">
        <item x="0"/>
        <item x="3"/>
        <item x="2"/>
        <item x="1"/>
        <item t="default"/>
      </items>
    </pivotField>
    <pivotField showAll="0">
      <items count="8">
        <item x="1"/>
        <item x="2"/>
        <item x="3"/>
        <item x="4"/>
        <item x="5"/>
        <item x="6"/>
        <item x="0"/>
        <item t="default"/>
      </items>
    </pivotField>
    <pivotField showAll="0">
      <items count="3">
        <item x="1"/>
        <item x="0"/>
        <item t="default"/>
      </items>
    </pivotField>
    <pivotField showAll="0">
      <items count="5">
        <item x="2"/>
        <item x="3"/>
        <item x="1"/>
        <item x="0"/>
        <item t="default"/>
      </items>
    </pivotField>
    <pivotField showAll="0">
      <items count="4">
        <item x="2"/>
        <item x="0"/>
        <item x="1"/>
        <item t="default"/>
      </items>
    </pivotField>
    <pivotField numFmtId="2" showAll="0"/>
    <pivotField showAll="0"/>
    <pivotField showAll="0"/>
    <pivotField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3"/>
  </rowFields>
  <rowItems count="25">
    <i>
      <x/>
    </i>
    <i>
      <x v="1"/>
    </i>
    <i>
      <x v="2"/>
    </i>
    <i>
      <x v="3"/>
    </i>
    <i>
      <x v="4"/>
    </i>
    <i>
      <x v="5"/>
    </i>
    <i>
      <x v="6"/>
    </i>
    <i>
      <x v="7"/>
    </i>
    <i>
      <x v="8"/>
    </i>
    <i>
      <x v="9"/>
    </i>
    <i>
      <x v="10"/>
    </i>
    <i>
      <x v="11"/>
    </i>
    <i>
      <x v="12"/>
    </i>
    <i>
      <x v="13"/>
    </i>
    <i>
      <x v="14"/>
    </i>
    <i>
      <x v="15"/>
    </i>
    <i>
      <x v="16"/>
    </i>
    <i>
      <x v="17"/>
    </i>
    <i>
      <x v="18"/>
    </i>
    <i>
      <x v="19"/>
    </i>
    <i>
      <x v="20"/>
    </i>
    <i>
      <x v="21"/>
    </i>
    <i>
      <x v="22"/>
    </i>
    <i>
      <x v="23"/>
    </i>
    <i t="grand">
      <x/>
    </i>
  </rowItems>
  <colFields count="1">
    <field x="-2"/>
  </colFields>
  <colItems count="2">
    <i>
      <x/>
    </i>
    <i i="1">
      <x v="1"/>
    </i>
  </colItems>
  <dataFields count="2">
    <dataField name="Sum of registered" fld="12" baseField="0" baseItem="0"/>
    <dataField name="Sum of casual" fld="11" baseField="0" baseItem="0"/>
  </dataFields>
  <formats count="27">
    <format dxfId="183">
      <pivotArea type="all" dataOnly="0" outline="0" fieldPosition="0"/>
    </format>
    <format dxfId="182">
      <pivotArea outline="0" collapsedLevelsAreSubtotals="1" fieldPosition="0"/>
    </format>
    <format dxfId="181">
      <pivotArea field="3" type="button" dataOnly="0" labelOnly="1" outline="0" axis="axisRow" fieldPosition="0"/>
    </format>
    <format dxfId="180">
      <pivotArea dataOnly="0" labelOnly="1" fieldPosition="0">
        <references count="1">
          <reference field="3" count="0"/>
        </references>
      </pivotArea>
    </format>
    <format dxfId="179">
      <pivotArea dataOnly="0" labelOnly="1" grandRow="1" outline="0" fieldPosition="0"/>
    </format>
    <format dxfId="178">
      <pivotArea dataOnly="0" labelOnly="1" outline="0" fieldPosition="0">
        <references count="1">
          <reference field="4294967294" count="2">
            <x v="0"/>
            <x v="1"/>
          </reference>
        </references>
      </pivotArea>
    </format>
    <format dxfId="177">
      <pivotArea type="all" dataOnly="0" outline="0" fieldPosition="0"/>
    </format>
    <format dxfId="176">
      <pivotArea outline="0" collapsedLevelsAreSubtotals="1" fieldPosition="0"/>
    </format>
    <format dxfId="175">
      <pivotArea field="3" type="button" dataOnly="0" labelOnly="1" outline="0" axis="axisRow" fieldPosition="0"/>
    </format>
    <format dxfId="174">
      <pivotArea dataOnly="0" labelOnly="1" fieldPosition="0">
        <references count="1">
          <reference field="3" count="0"/>
        </references>
      </pivotArea>
    </format>
    <format dxfId="173">
      <pivotArea dataOnly="0" labelOnly="1" grandRow="1" outline="0" fieldPosition="0"/>
    </format>
    <format dxfId="172">
      <pivotArea dataOnly="0" labelOnly="1" outline="0" fieldPosition="0">
        <references count="1">
          <reference field="4294967294" count="2">
            <x v="0"/>
            <x v="1"/>
          </reference>
        </references>
      </pivotArea>
    </format>
    <format dxfId="171">
      <pivotArea type="all" dataOnly="0" outline="0" fieldPosition="0"/>
    </format>
    <format dxfId="170">
      <pivotArea outline="0" collapsedLevelsAreSubtotals="1" fieldPosition="0"/>
    </format>
    <format dxfId="169">
      <pivotArea field="3" type="button" dataOnly="0" labelOnly="1" outline="0" axis="axisRow" fieldPosition="0"/>
    </format>
    <format dxfId="168">
      <pivotArea dataOnly="0" labelOnly="1" fieldPosition="0">
        <references count="1">
          <reference field="3" count="0"/>
        </references>
      </pivotArea>
    </format>
    <format dxfId="167">
      <pivotArea dataOnly="0" labelOnly="1" grandRow="1" outline="0" fieldPosition="0"/>
    </format>
    <format dxfId="166">
      <pivotArea dataOnly="0" labelOnly="1" outline="0" fieldPosition="0">
        <references count="1">
          <reference field="4294967294" count="2">
            <x v="0"/>
            <x v="1"/>
          </reference>
        </references>
      </pivotArea>
    </format>
    <format dxfId="165">
      <pivotArea outline="0" collapsedLevelsAreSubtotals="1" fieldPosition="0">
        <references count="1">
          <reference field="4294967294" count="1" selected="0">
            <x v="1"/>
          </reference>
        </references>
      </pivotArea>
    </format>
    <format dxfId="164">
      <pivotArea dataOnly="0" labelOnly="1" outline="0" fieldPosition="0">
        <references count="1">
          <reference field="4294967294" count="1">
            <x v="1"/>
          </reference>
        </references>
      </pivotArea>
    </format>
    <format dxfId="163">
      <pivotArea field="3" type="button" dataOnly="0" labelOnly="1" outline="0" axis="axisRow" fieldPosition="0"/>
    </format>
    <format dxfId="162">
      <pivotArea dataOnly="0" labelOnly="1" fieldPosition="0">
        <references count="1">
          <reference field="3" count="0"/>
        </references>
      </pivotArea>
    </format>
    <format dxfId="161">
      <pivotArea dataOnly="0" labelOnly="1" grandRow="1" outline="0" fieldPosition="0"/>
    </format>
    <format dxfId="160">
      <pivotArea field="3" type="button" dataOnly="0" labelOnly="1" outline="0" axis="axisRow" fieldPosition="0"/>
    </format>
    <format dxfId="159">
      <pivotArea dataOnly="0" labelOnly="1" outline="0" fieldPosition="0">
        <references count="1">
          <reference field="4294967294" count="2">
            <x v="0"/>
            <x v="1"/>
          </reference>
        </references>
      </pivotArea>
    </format>
    <format dxfId="158">
      <pivotArea grandRow="1" outline="0" collapsedLevelsAreSubtotals="1" fieldPosition="0"/>
    </format>
    <format dxfId="157">
      <pivotArea dataOnly="0" labelOnly="1" grandRow="1" outline="0" fieldPosition="0"/>
    </format>
  </formats>
  <chartFormats count="8">
    <chartFormat chart="3" format="3" series="1">
      <pivotArea type="data" outline="0" fieldPosition="0">
        <references count="1">
          <reference field="4294967294" count="1" selected="0">
            <x v="0"/>
          </reference>
        </references>
      </pivotArea>
    </chartFormat>
    <chartFormat chart="3" format="4" series="1">
      <pivotArea type="data" outline="0" fieldPosition="0">
        <references count="1">
          <reference field="4294967294" count="1" selected="0">
            <x v="1"/>
          </reference>
        </references>
      </pivotArea>
    </chartFormat>
    <chartFormat chart="6" format="8" series="1">
      <pivotArea type="data" outline="0" fieldPosition="0">
        <references count="1">
          <reference field="4294967294" count="1" selected="0">
            <x v="0"/>
          </reference>
        </references>
      </pivotArea>
    </chartFormat>
    <chartFormat chart="6" format="9" series="1">
      <pivotArea type="data" outline="0" fieldPosition="0">
        <references count="1">
          <reference field="4294967294" count="1" selected="0">
            <x v="1"/>
          </reference>
        </references>
      </pivotArea>
    </chartFormat>
    <chartFormat chart="7" format="10" series="1">
      <pivotArea type="data" outline="0" fieldPosition="0">
        <references count="1">
          <reference field="4294967294" count="1" selected="0">
            <x v="0"/>
          </reference>
        </references>
      </pivotArea>
    </chartFormat>
    <chartFormat chart="7" format="11" series="1">
      <pivotArea type="data" outline="0" fieldPosition="0">
        <references count="1">
          <reference field="4294967294" count="1" selected="0">
            <x v="1"/>
          </reference>
        </references>
      </pivotArea>
    </chartFormat>
    <chartFormat chart="9" format="10" series="1">
      <pivotArea type="data" outline="0" fieldPosition="0">
        <references count="1">
          <reference field="4294967294" count="1" selected="0">
            <x v="0"/>
          </reference>
        </references>
      </pivotArea>
    </chartFormat>
    <chartFormat chart="9" format="11"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F8462655-5E9A-4113-B3D9-DCA8B3909A10}"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2">
  <location ref="B12:D17" firstHeaderRow="0" firstDataRow="1" firstDataCol="1"/>
  <pivotFields count="25">
    <pivotField showAll="0"/>
    <pivotField numFmtId="14" showAll="0">
      <items count="4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t="default"/>
      </items>
    </pivotField>
    <pivotField showAll="0">
      <items count="3">
        <item x="0"/>
        <item x="1"/>
        <item t="default"/>
      </items>
    </pivotField>
    <pivotField showAll="0">
      <items count="25">
        <item x="0"/>
        <item x="1"/>
        <item x="2"/>
        <item x="3"/>
        <item x="4"/>
        <item x="5"/>
        <item x="6"/>
        <item x="7"/>
        <item x="8"/>
        <item x="9"/>
        <item x="10"/>
        <item x="11"/>
        <item x="12"/>
        <item x="13"/>
        <item x="14"/>
        <item x="15"/>
        <item x="16"/>
        <item x="17"/>
        <item x="18"/>
        <item x="19"/>
        <item x="20"/>
        <item x="21"/>
        <item x="22"/>
        <item x="23"/>
        <item t="default"/>
      </items>
    </pivotField>
    <pivotField showAll="0"/>
    <pivotField showAll="0"/>
    <pivotField showAll="0"/>
    <pivotField showAll="0"/>
    <pivotField showAll="0"/>
    <pivotField showAll="0"/>
    <pivotField showAll="0"/>
    <pivotField dataField="1" showAll="0"/>
    <pivotField dataField="1" showAll="0"/>
    <pivotField showAll="0"/>
    <pivotField axis="axisRow" showAll="0">
      <items count="5">
        <item x="0"/>
        <item x="3"/>
        <item x="2"/>
        <item x="1"/>
        <item t="default"/>
      </items>
    </pivotField>
    <pivotField showAll="0">
      <items count="8">
        <item x="1"/>
        <item x="2"/>
        <item x="3"/>
        <item x="4"/>
        <item x="5"/>
        <item x="6"/>
        <item x="0"/>
        <item t="default"/>
      </items>
    </pivotField>
    <pivotField showAll="0">
      <items count="3">
        <item x="1"/>
        <item x="0"/>
        <item t="default"/>
      </items>
    </pivotField>
    <pivotField showAll="0">
      <items count="5">
        <item x="2"/>
        <item x="3"/>
        <item x="1"/>
        <item x="0"/>
        <item t="default"/>
      </items>
    </pivotField>
    <pivotField showAll="0">
      <items count="4">
        <item x="2"/>
        <item x="0"/>
        <item x="1"/>
        <item t="default"/>
      </items>
    </pivotField>
    <pivotField numFmtId="2" showAll="0"/>
    <pivotField showAll="0"/>
    <pivotField showAll="0"/>
    <pivotField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14"/>
  </rowFields>
  <rowItems count="5">
    <i>
      <x/>
    </i>
    <i>
      <x v="1"/>
    </i>
    <i>
      <x v="2"/>
    </i>
    <i>
      <x v="3"/>
    </i>
    <i t="grand">
      <x/>
    </i>
  </rowItems>
  <colFields count="1">
    <field x="-2"/>
  </colFields>
  <colItems count="2">
    <i>
      <x/>
    </i>
    <i i="1">
      <x v="1"/>
    </i>
  </colItems>
  <dataFields count="2">
    <dataField name="Sum of casual" fld="11" baseField="0" baseItem="0"/>
    <dataField name="Sum of registered" fld="12" baseField="0" baseItem="0"/>
  </dataFields>
  <formats count="19">
    <format dxfId="156">
      <pivotArea field="14" type="button" dataOnly="0" labelOnly="1" outline="0" axis="axisRow" fieldPosition="0"/>
    </format>
    <format dxfId="155">
      <pivotArea dataOnly="0" labelOnly="1" fieldPosition="0">
        <references count="1">
          <reference field="14" count="0"/>
        </references>
      </pivotArea>
    </format>
    <format dxfId="154">
      <pivotArea dataOnly="0" labelOnly="1" grandRow="1" outline="0" fieldPosition="0"/>
    </format>
    <format dxfId="153">
      <pivotArea outline="0" collapsedLevelsAreSubtotals="1" fieldPosition="0">
        <references count="1">
          <reference field="4294967294" count="1" selected="0">
            <x v="0"/>
          </reference>
        </references>
      </pivotArea>
    </format>
    <format dxfId="152">
      <pivotArea dataOnly="0" labelOnly="1" outline="0" fieldPosition="0">
        <references count="1">
          <reference field="4294967294" count="1">
            <x v="0"/>
          </reference>
        </references>
      </pivotArea>
    </format>
    <format dxfId="151">
      <pivotArea outline="0" collapsedLevelsAreSubtotals="1" fieldPosition="0">
        <references count="1">
          <reference field="4294967294" count="1" selected="0">
            <x v="1"/>
          </reference>
        </references>
      </pivotArea>
    </format>
    <format dxfId="150">
      <pivotArea dataOnly="0" labelOnly="1" outline="0" fieldPosition="0">
        <references count="1">
          <reference field="4294967294" count="1">
            <x v="1"/>
          </reference>
        </references>
      </pivotArea>
    </format>
    <format dxfId="149">
      <pivotArea type="all" dataOnly="0" outline="0" fieldPosition="0"/>
    </format>
    <format dxfId="148">
      <pivotArea outline="0" collapsedLevelsAreSubtotals="1" fieldPosition="0"/>
    </format>
    <format dxfId="147">
      <pivotArea field="14" type="button" dataOnly="0" labelOnly="1" outline="0" axis="axisRow" fieldPosition="0"/>
    </format>
    <format dxfId="146">
      <pivotArea dataOnly="0" labelOnly="1" fieldPosition="0">
        <references count="1">
          <reference field="14" count="0"/>
        </references>
      </pivotArea>
    </format>
    <format dxfId="145">
      <pivotArea dataOnly="0" labelOnly="1" grandRow="1" outline="0" fieldPosition="0"/>
    </format>
    <format dxfId="144">
      <pivotArea dataOnly="0" labelOnly="1" outline="0" fieldPosition="0">
        <references count="1">
          <reference field="4294967294" count="2">
            <x v="0"/>
            <x v="1"/>
          </reference>
        </references>
      </pivotArea>
    </format>
    <format dxfId="143">
      <pivotArea type="all" dataOnly="0" outline="0" fieldPosition="0"/>
    </format>
    <format dxfId="142">
      <pivotArea outline="0" collapsedLevelsAreSubtotals="1" fieldPosition="0"/>
    </format>
    <format dxfId="141">
      <pivotArea field="14" type="button" dataOnly="0" labelOnly="1" outline="0" axis="axisRow" fieldPosition="0"/>
    </format>
    <format dxfId="140">
      <pivotArea dataOnly="0" labelOnly="1" fieldPosition="0">
        <references count="1">
          <reference field="14" count="0"/>
        </references>
      </pivotArea>
    </format>
    <format dxfId="139">
      <pivotArea dataOnly="0" labelOnly="1" grandRow="1" outline="0" fieldPosition="0"/>
    </format>
    <format dxfId="138">
      <pivotArea dataOnly="0" labelOnly="1" outline="0" fieldPosition="0">
        <references count="1">
          <reference field="4294967294" count="2">
            <x v="0"/>
            <x v="1"/>
          </reference>
        </references>
      </pivotArea>
    </format>
  </formats>
  <chartFormats count="4">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8" format="4" series="1">
      <pivotArea type="data" outline="0" fieldPosition="0">
        <references count="1">
          <reference field="4294967294" count="1" selected="0">
            <x v="0"/>
          </reference>
        </references>
      </pivotArea>
    </chartFormat>
    <chartFormat chart="8"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BB55EB65-64FB-4A16-8912-D442A36E211B}"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location ref="B9:C12" firstHeaderRow="1" firstDataRow="1" firstDataCol="1"/>
  <pivotFields count="25">
    <pivotField showAll="0"/>
    <pivotField axis="axisRow" numFmtId="14" showAll="0">
      <items count="4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t="default"/>
      </items>
    </pivotField>
    <pivotField showAll="0">
      <items count="3">
        <item x="0"/>
        <item x="1"/>
        <item t="default"/>
      </items>
    </pivotField>
    <pivotField showAll="0">
      <items count="25">
        <item x="0"/>
        <item x="1"/>
        <item x="2"/>
        <item x="3"/>
        <item x="4"/>
        <item x="5"/>
        <item x="6"/>
        <item x="7"/>
        <item x="8"/>
        <item x="9"/>
        <item x="10"/>
        <item x="11"/>
        <item x="12"/>
        <item x="13"/>
        <item x="14"/>
        <item x="15"/>
        <item x="16"/>
        <item x="17"/>
        <item x="18"/>
        <item x="19"/>
        <item x="20"/>
        <item x="21"/>
        <item x="22"/>
        <item x="23"/>
        <item t="default"/>
      </items>
    </pivotField>
    <pivotField showAll="0"/>
    <pivotField showAll="0"/>
    <pivotField showAll="0"/>
    <pivotField showAll="0"/>
    <pivotField showAll="0"/>
    <pivotField showAll="0"/>
    <pivotField showAll="0"/>
    <pivotField showAll="0"/>
    <pivotField showAll="0"/>
    <pivotField dataField="1" showAll="0"/>
    <pivotField showAll="0">
      <items count="5">
        <item x="0"/>
        <item x="3"/>
        <item x="2"/>
        <item x="1"/>
        <item t="default"/>
      </items>
    </pivotField>
    <pivotField showAll="0">
      <items count="8">
        <item x="1"/>
        <item x="2"/>
        <item x="3"/>
        <item x="4"/>
        <item x="5"/>
        <item x="6"/>
        <item x="0"/>
        <item t="default"/>
      </items>
    </pivotField>
    <pivotField showAll="0">
      <items count="3">
        <item x="1"/>
        <item x="0"/>
        <item t="default"/>
      </items>
    </pivotField>
    <pivotField showAll="0">
      <items count="5">
        <item x="2"/>
        <item x="3"/>
        <item x="1"/>
        <item x="0"/>
        <item t="default"/>
      </items>
    </pivotField>
    <pivotField showAll="0">
      <items count="4">
        <item x="2"/>
        <item x="0"/>
        <item x="1"/>
        <item t="default"/>
      </items>
    </pivotField>
    <pivotField numFmtId="2" showAll="0"/>
    <pivotField showAll="0"/>
    <pivotField showAll="0"/>
    <pivotField showAll="0"/>
    <pivotField axis="axisRow"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axis="axisRow" showAll="0">
      <items count="15">
        <item sd="0" x="0"/>
        <item sd="0" x="3"/>
        <item sd="0" x="4"/>
        <item sd="0" x="5"/>
        <item sd="0" x="6"/>
        <item sd="0" x="7"/>
        <item sd="0" x="8"/>
        <item sd="0" x="9"/>
        <item sd="0" x="10"/>
        <item sd="0" x="11"/>
        <item sd="0" x="12"/>
        <item sd="0" x="13"/>
        <item sd="0" x="1"/>
        <item sd="0" x="2"/>
        <item t="default"/>
      </items>
    </pivotField>
  </pivotFields>
  <rowFields count="3">
    <field x="24"/>
    <field x="1"/>
    <field x="23"/>
  </rowFields>
  <rowItems count="3">
    <i>
      <x v="12"/>
    </i>
    <i>
      <x v="13"/>
    </i>
    <i t="grand">
      <x/>
    </i>
  </rowItems>
  <colItems count="1">
    <i/>
  </colItems>
  <dataFields count="1">
    <dataField name="Sum of cnt" fld="13" baseField="0" baseItem="0"/>
  </dataFields>
  <formats count="20">
    <format dxfId="137">
      <pivotArea type="all" dataOnly="0" outline="0" fieldPosition="0"/>
    </format>
    <format dxfId="136">
      <pivotArea outline="0" collapsedLevelsAreSubtotals="1" fieldPosition="0"/>
    </format>
    <format dxfId="135">
      <pivotArea field="24" type="button" dataOnly="0" labelOnly="1" outline="0" axis="axisRow" fieldPosition="0"/>
    </format>
    <format dxfId="134">
      <pivotArea dataOnly="0" labelOnly="1" fieldPosition="0">
        <references count="1">
          <reference field="24" count="2">
            <x v="12"/>
            <x v="13"/>
          </reference>
        </references>
      </pivotArea>
    </format>
    <format dxfId="133">
      <pivotArea dataOnly="0" labelOnly="1" grandRow="1" outline="0" fieldPosition="0"/>
    </format>
    <format dxfId="132">
      <pivotArea dataOnly="0" labelOnly="1" outline="0" axis="axisValues" fieldPosition="0"/>
    </format>
    <format dxfId="131">
      <pivotArea outline="0" collapsedLevelsAreSubtotals="1" fieldPosition="0"/>
    </format>
    <format dxfId="130">
      <pivotArea dataOnly="0" labelOnly="1" outline="0" axis="axisValues" fieldPosition="0"/>
    </format>
    <format dxfId="129">
      <pivotArea type="all" dataOnly="0" outline="0" fieldPosition="0"/>
    </format>
    <format dxfId="128">
      <pivotArea outline="0" collapsedLevelsAreSubtotals="1" fieldPosition="0"/>
    </format>
    <format dxfId="127">
      <pivotArea field="24" type="button" dataOnly="0" labelOnly="1" outline="0" axis="axisRow" fieldPosition="0"/>
    </format>
    <format dxfId="126">
      <pivotArea dataOnly="0" labelOnly="1" fieldPosition="0">
        <references count="1">
          <reference field="24" count="2">
            <x v="12"/>
            <x v="13"/>
          </reference>
        </references>
      </pivotArea>
    </format>
    <format dxfId="125">
      <pivotArea dataOnly="0" labelOnly="1" grandRow="1" outline="0" fieldPosition="0"/>
    </format>
    <format dxfId="124">
      <pivotArea dataOnly="0" labelOnly="1" outline="0" axis="axisValues" fieldPosition="0"/>
    </format>
    <format dxfId="123">
      <pivotArea type="all" dataOnly="0" outline="0" fieldPosition="0"/>
    </format>
    <format dxfId="122">
      <pivotArea outline="0" collapsedLevelsAreSubtotals="1" fieldPosition="0"/>
    </format>
    <format dxfId="121">
      <pivotArea field="24" type="button" dataOnly="0" labelOnly="1" outline="0" axis="axisRow" fieldPosition="0"/>
    </format>
    <format dxfId="120">
      <pivotArea dataOnly="0" labelOnly="1" fieldPosition="0">
        <references count="1">
          <reference field="24" count="2">
            <x v="12"/>
            <x v="13"/>
          </reference>
        </references>
      </pivotArea>
    </format>
    <format dxfId="119">
      <pivotArea dataOnly="0" labelOnly="1" grandRow="1" outline="0" fieldPosition="0"/>
    </format>
    <format dxfId="118">
      <pivotArea dataOnly="0" labelOnly="1" outline="0" axis="axisValues" fieldPosition="0"/>
    </format>
  </formats>
  <chartFormats count="6">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24" count="1" selected="0">
            <x v="12"/>
          </reference>
        </references>
      </pivotArea>
    </chartFormat>
    <chartFormat chart="0" format="2">
      <pivotArea type="data" outline="0" fieldPosition="0">
        <references count="2">
          <reference field="4294967294" count="1" selected="0">
            <x v="0"/>
          </reference>
          <reference field="24" count="1" selected="0">
            <x v="13"/>
          </reference>
        </references>
      </pivotArea>
    </chartFormat>
    <chartFormat chart="4" format="6" series="1">
      <pivotArea type="data" outline="0" fieldPosition="0">
        <references count="1">
          <reference field="4294967294" count="1" selected="0">
            <x v="0"/>
          </reference>
        </references>
      </pivotArea>
    </chartFormat>
    <chartFormat chart="4" format="7">
      <pivotArea type="data" outline="0" fieldPosition="0">
        <references count="2">
          <reference field="4294967294" count="1" selected="0">
            <x v="0"/>
          </reference>
          <reference field="24" count="1" selected="0">
            <x v="12"/>
          </reference>
        </references>
      </pivotArea>
    </chartFormat>
    <chartFormat chart="4" format="8">
      <pivotArea type="data" outline="0" fieldPosition="0">
        <references count="2">
          <reference field="4294967294" count="1" selected="0">
            <x v="0"/>
          </reference>
          <reference field="24" count="1" selected="0">
            <x v="1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5ABAACAD-2541-4B95-8CA3-39F9A3F59337}" name="PivotTable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7">
  <location ref="B10:C15" firstHeaderRow="1" firstDataRow="1" firstDataCol="1"/>
  <pivotFields count="25">
    <pivotField showAll="0"/>
    <pivotField numFmtId="14" showAll="0">
      <items count="4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t="default"/>
      </items>
    </pivotField>
    <pivotField showAll="0">
      <items count="3">
        <item x="0"/>
        <item x="1"/>
        <item t="default"/>
      </items>
    </pivotField>
    <pivotField showAll="0">
      <items count="25">
        <item x="0"/>
        <item x="1"/>
        <item x="2"/>
        <item x="3"/>
        <item x="4"/>
        <item x="5"/>
        <item x="6"/>
        <item x="7"/>
        <item x="8"/>
        <item x="9"/>
        <item x="10"/>
        <item x="11"/>
        <item x="12"/>
        <item x="13"/>
        <item x="14"/>
        <item x="15"/>
        <item x="16"/>
        <item x="17"/>
        <item x="18"/>
        <item x="19"/>
        <item x="20"/>
        <item x="21"/>
        <item x="22"/>
        <item x="23"/>
        <item t="default"/>
      </items>
    </pivotField>
    <pivotField showAll="0"/>
    <pivotField showAll="0"/>
    <pivotField showAll="0"/>
    <pivotField showAll="0"/>
    <pivotField showAll="0"/>
    <pivotField showAll="0"/>
    <pivotField showAll="0"/>
    <pivotField showAll="0"/>
    <pivotField showAll="0"/>
    <pivotField dataField="1" showAll="0"/>
    <pivotField axis="axisRow" showAll="0">
      <items count="5">
        <item x="0"/>
        <item x="3"/>
        <item x="2"/>
        <item x="1"/>
        <item t="default"/>
      </items>
    </pivotField>
    <pivotField showAll="0">
      <items count="8">
        <item x="1"/>
        <item x="2"/>
        <item x="3"/>
        <item x="4"/>
        <item x="5"/>
        <item x="6"/>
        <item x="0"/>
        <item t="default"/>
      </items>
    </pivotField>
    <pivotField showAll="0">
      <items count="3">
        <item x="1"/>
        <item x="0"/>
        <item t="default"/>
      </items>
    </pivotField>
    <pivotField showAll="0">
      <items count="5">
        <item x="2"/>
        <item x="3"/>
        <item x="1"/>
        <item x="0"/>
        <item t="default"/>
      </items>
    </pivotField>
    <pivotField showAll="0">
      <items count="4">
        <item x="2"/>
        <item x="0"/>
        <item x="1"/>
        <item t="default"/>
      </items>
    </pivotField>
    <pivotField numFmtId="2" showAll="0"/>
    <pivotField showAll="0"/>
    <pivotField showAll="0"/>
    <pivotField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14"/>
  </rowFields>
  <rowItems count="5">
    <i>
      <x/>
    </i>
    <i>
      <x v="1"/>
    </i>
    <i>
      <x v="2"/>
    </i>
    <i>
      <x v="3"/>
    </i>
    <i t="grand">
      <x/>
    </i>
  </rowItems>
  <colItems count="1">
    <i/>
  </colItems>
  <dataFields count="1">
    <dataField name="Average of cnt" fld="13" subtotal="average" baseField="14" baseItem="0"/>
  </dataFields>
  <formats count="22">
    <format dxfId="117">
      <pivotArea grandRow="1" outline="0" collapsedLevelsAreSubtotals="1" fieldPosition="0"/>
    </format>
    <format dxfId="116">
      <pivotArea collapsedLevelsAreSubtotals="1" fieldPosition="0">
        <references count="1">
          <reference field="14" count="0"/>
        </references>
      </pivotArea>
    </format>
    <format dxfId="115">
      <pivotArea type="all" dataOnly="0" outline="0" fieldPosition="0"/>
    </format>
    <format dxfId="114">
      <pivotArea outline="0" collapsedLevelsAreSubtotals="1" fieldPosition="0"/>
    </format>
    <format dxfId="113">
      <pivotArea field="14" type="button" dataOnly="0" labelOnly="1" outline="0" axis="axisRow" fieldPosition="0"/>
    </format>
    <format dxfId="112">
      <pivotArea dataOnly="0" labelOnly="1" fieldPosition="0">
        <references count="1">
          <reference field="14" count="0"/>
        </references>
      </pivotArea>
    </format>
    <format dxfId="111">
      <pivotArea dataOnly="0" labelOnly="1" grandRow="1" outline="0" fieldPosition="0"/>
    </format>
    <format dxfId="110">
      <pivotArea dataOnly="0" labelOnly="1" outline="0" axis="axisValues" fieldPosition="0"/>
    </format>
    <format dxfId="109">
      <pivotArea type="all" dataOnly="0" outline="0" fieldPosition="0"/>
    </format>
    <format dxfId="108">
      <pivotArea outline="0" collapsedLevelsAreSubtotals="1" fieldPosition="0"/>
    </format>
    <format dxfId="107">
      <pivotArea field="14" type="button" dataOnly="0" labelOnly="1" outline="0" axis="axisRow" fieldPosition="0"/>
    </format>
    <format dxfId="106">
      <pivotArea dataOnly="0" labelOnly="1" fieldPosition="0">
        <references count="1">
          <reference field="14" count="0"/>
        </references>
      </pivotArea>
    </format>
    <format dxfId="105">
      <pivotArea dataOnly="0" labelOnly="1" grandRow="1" outline="0" fieldPosition="0"/>
    </format>
    <format dxfId="104">
      <pivotArea dataOnly="0" labelOnly="1" outline="0" axis="axisValues" fieldPosition="0"/>
    </format>
    <format dxfId="103">
      <pivotArea type="all" dataOnly="0" outline="0" fieldPosition="0"/>
    </format>
    <format dxfId="102">
      <pivotArea outline="0" collapsedLevelsAreSubtotals="1" fieldPosition="0"/>
    </format>
    <format dxfId="101">
      <pivotArea field="14" type="button" dataOnly="0" labelOnly="1" outline="0" axis="axisRow" fieldPosition="0"/>
    </format>
    <format dxfId="100">
      <pivotArea dataOnly="0" labelOnly="1" fieldPosition="0">
        <references count="1">
          <reference field="14" count="0"/>
        </references>
      </pivotArea>
    </format>
    <format dxfId="99">
      <pivotArea dataOnly="0" labelOnly="1" grandRow="1" outline="0" fieldPosition="0"/>
    </format>
    <format dxfId="98">
      <pivotArea dataOnly="0" labelOnly="1" outline="0" axis="axisValues" fieldPosition="0"/>
    </format>
    <format dxfId="97">
      <pivotArea outline="0" collapsedLevelsAreSubtotals="1" fieldPosition="0"/>
    </format>
    <format dxfId="96">
      <pivotArea dataOnly="0" labelOnly="1" outline="0" axis="axisValues" fieldPosition="0"/>
    </format>
  </formats>
  <chartFormats count="10">
    <chartFormat chart="17" format="7" series="1">
      <pivotArea type="data" outline="0" fieldPosition="0">
        <references count="1">
          <reference field="4294967294" count="1" selected="0">
            <x v="0"/>
          </reference>
        </references>
      </pivotArea>
    </chartFormat>
    <chartFormat chart="17" format="8">
      <pivotArea type="data" outline="0" fieldPosition="0">
        <references count="2">
          <reference field="4294967294" count="1" selected="0">
            <x v="0"/>
          </reference>
          <reference field="14" count="1" selected="0">
            <x v="0"/>
          </reference>
        </references>
      </pivotArea>
    </chartFormat>
    <chartFormat chart="17" format="9">
      <pivotArea type="data" outline="0" fieldPosition="0">
        <references count="2">
          <reference field="4294967294" count="1" selected="0">
            <x v="0"/>
          </reference>
          <reference field="14" count="1" selected="0">
            <x v="1"/>
          </reference>
        </references>
      </pivotArea>
    </chartFormat>
    <chartFormat chart="17" format="10">
      <pivotArea type="data" outline="0" fieldPosition="0">
        <references count="2">
          <reference field="4294967294" count="1" selected="0">
            <x v="0"/>
          </reference>
          <reference field="14" count="1" selected="0">
            <x v="2"/>
          </reference>
        </references>
      </pivotArea>
    </chartFormat>
    <chartFormat chart="17" format="11">
      <pivotArea type="data" outline="0" fieldPosition="0">
        <references count="2">
          <reference field="4294967294" count="1" selected="0">
            <x v="0"/>
          </reference>
          <reference field="14" count="1" selected="0">
            <x v="3"/>
          </reference>
        </references>
      </pivotArea>
    </chartFormat>
    <chartFormat chart="19" format="17" series="1">
      <pivotArea type="data" outline="0" fieldPosition="0">
        <references count="1">
          <reference field="4294967294" count="1" selected="0">
            <x v="0"/>
          </reference>
        </references>
      </pivotArea>
    </chartFormat>
    <chartFormat chart="19" format="18">
      <pivotArea type="data" outline="0" fieldPosition="0">
        <references count="2">
          <reference field="4294967294" count="1" selected="0">
            <x v="0"/>
          </reference>
          <reference field="14" count="1" selected="0">
            <x v="0"/>
          </reference>
        </references>
      </pivotArea>
    </chartFormat>
    <chartFormat chart="19" format="19">
      <pivotArea type="data" outline="0" fieldPosition="0">
        <references count="2">
          <reference field="4294967294" count="1" selected="0">
            <x v="0"/>
          </reference>
          <reference field="14" count="1" selected="0">
            <x v="1"/>
          </reference>
        </references>
      </pivotArea>
    </chartFormat>
    <chartFormat chart="19" format="20">
      <pivotArea type="data" outline="0" fieldPosition="0">
        <references count="2">
          <reference field="4294967294" count="1" selected="0">
            <x v="0"/>
          </reference>
          <reference field="14" count="1" selected="0">
            <x v="2"/>
          </reference>
        </references>
      </pivotArea>
    </chartFormat>
    <chartFormat chart="19" format="21">
      <pivotArea type="data" outline="0" fieldPosition="0">
        <references count="2">
          <reference field="4294967294" count="1" selected="0">
            <x v="0"/>
          </reference>
          <reference field="14"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ED13B930-5818-4C45-9FAF-F7523C5FF6FA}"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5">
  <location ref="B12:D20" firstHeaderRow="0" firstDataRow="1" firstDataCol="1"/>
  <pivotFields count="25">
    <pivotField showAll="0"/>
    <pivotField numFmtId="14" showAll="0">
      <items count="4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t="default"/>
      </items>
    </pivotField>
    <pivotField showAll="0">
      <items count="3">
        <item x="0"/>
        <item x="1"/>
        <item t="default"/>
      </items>
    </pivotField>
    <pivotField showAll="0">
      <items count="25">
        <item x="0"/>
        <item x="1"/>
        <item x="2"/>
        <item x="3"/>
        <item x="4"/>
        <item x="5"/>
        <item x="6"/>
        <item x="7"/>
        <item x="8"/>
        <item x="9"/>
        <item x="10"/>
        <item x="11"/>
        <item x="12"/>
        <item x="13"/>
        <item x="14"/>
        <item x="15"/>
        <item x="16"/>
        <item x="17"/>
        <item x="18"/>
        <item x="19"/>
        <item x="20"/>
        <item x="21"/>
        <item x="22"/>
        <item x="23"/>
        <item t="default"/>
      </items>
    </pivotField>
    <pivotField showAll="0"/>
    <pivotField showAll="0"/>
    <pivotField showAll="0"/>
    <pivotField showAll="0"/>
    <pivotField showAll="0"/>
    <pivotField showAll="0"/>
    <pivotField showAll="0"/>
    <pivotField dataField="1" showAll="0"/>
    <pivotField dataField="1" showAll="0"/>
    <pivotField showAll="0"/>
    <pivotField showAll="0">
      <items count="5">
        <item x="0"/>
        <item x="3"/>
        <item x="2"/>
        <item x="1"/>
        <item t="default"/>
      </items>
    </pivotField>
    <pivotField axis="axisRow" showAll="0">
      <items count="8">
        <item x="1"/>
        <item x="2"/>
        <item x="3"/>
        <item x="4"/>
        <item x="5"/>
        <item x="6"/>
        <item x="0"/>
        <item t="default"/>
      </items>
    </pivotField>
    <pivotField showAll="0">
      <items count="3">
        <item x="1"/>
        <item x="0"/>
        <item t="default"/>
      </items>
    </pivotField>
    <pivotField showAll="0">
      <items count="5">
        <item x="2"/>
        <item x="3"/>
        <item x="1"/>
        <item x="0"/>
        <item t="default"/>
      </items>
    </pivotField>
    <pivotField showAll="0">
      <items count="4">
        <item x="2"/>
        <item x="0"/>
        <item x="1"/>
        <item t="default"/>
      </items>
    </pivotField>
    <pivotField numFmtId="2" showAll="0"/>
    <pivotField showAll="0"/>
    <pivotField showAll="0"/>
    <pivotField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15"/>
  </rowFields>
  <rowItems count="8">
    <i>
      <x/>
    </i>
    <i>
      <x v="1"/>
    </i>
    <i>
      <x v="2"/>
    </i>
    <i>
      <x v="3"/>
    </i>
    <i>
      <x v="4"/>
    </i>
    <i>
      <x v="5"/>
    </i>
    <i>
      <x v="6"/>
    </i>
    <i t="grand">
      <x/>
    </i>
  </rowItems>
  <colFields count="1">
    <field x="-2"/>
  </colFields>
  <colItems count="2">
    <i>
      <x/>
    </i>
    <i i="1">
      <x v="1"/>
    </i>
  </colItems>
  <dataFields count="2">
    <dataField name="Sum of casual" fld="11" baseField="0" baseItem="0"/>
    <dataField name="Sum of registered" fld="12" baseField="0" baseItem="0"/>
  </dataFields>
  <formats count="22">
    <format dxfId="95">
      <pivotArea type="all" dataOnly="0" outline="0" fieldPosition="0"/>
    </format>
    <format dxfId="94">
      <pivotArea outline="0" collapsedLevelsAreSubtotals="1" fieldPosition="0"/>
    </format>
    <format dxfId="93">
      <pivotArea field="15" type="button" dataOnly="0" labelOnly="1" outline="0" axis="axisRow" fieldPosition="0"/>
    </format>
    <format dxfId="92">
      <pivotArea dataOnly="0" labelOnly="1" fieldPosition="0">
        <references count="1">
          <reference field="15" count="0"/>
        </references>
      </pivotArea>
    </format>
    <format dxfId="91">
      <pivotArea dataOnly="0" labelOnly="1" grandRow="1" outline="0" fieldPosition="0"/>
    </format>
    <format dxfId="90">
      <pivotArea dataOnly="0" labelOnly="1" outline="0" fieldPosition="0">
        <references count="1">
          <reference field="4294967294" count="2">
            <x v="0"/>
            <x v="1"/>
          </reference>
        </references>
      </pivotArea>
    </format>
    <format dxfId="89">
      <pivotArea outline="0" collapsedLevelsAreSubtotals="1" fieldPosition="0">
        <references count="1">
          <reference field="4294967294" count="1" selected="0">
            <x v="1"/>
          </reference>
        </references>
      </pivotArea>
    </format>
    <format dxfId="88">
      <pivotArea dataOnly="0" labelOnly="1" outline="0" fieldPosition="0">
        <references count="1">
          <reference field="4294967294" count="1">
            <x v="1"/>
          </reference>
        </references>
      </pivotArea>
    </format>
    <format dxfId="87">
      <pivotArea outline="0" collapsedLevelsAreSubtotals="1" fieldPosition="0">
        <references count="1">
          <reference field="4294967294" count="1" selected="0">
            <x v="0"/>
          </reference>
        </references>
      </pivotArea>
    </format>
    <format dxfId="86">
      <pivotArea dataOnly="0" labelOnly="1" outline="0" fieldPosition="0">
        <references count="1">
          <reference field="4294967294" count="1">
            <x v="0"/>
          </reference>
        </references>
      </pivotArea>
    </format>
    <format dxfId="85">
      <pivotArea type="all" dataOnly="0" outline="0" fieldPosition="0"/>
    </format>
    <format dxfId="84">
      <pivotArea outline="0" collapsedLevelsAreSubtotals="1" fieldPosition="0"/>
    </format>
    <format dxfId="83">
      <pivotArea field="15" type="button" dataOnly="0" labelOnly="1" outline="0" axis="axisRow" fieldPosition="0"/>
    </format>
    <format dxfId="82">
      <pivotArea dataOnly="0" labelOnly="1" fieldPosition="0">
        <references count="1">
          <reference field="15" count="0"/>
        </references>
      </pivotArea>
    </format>
    <format dxfId="81">
      <pivotArea dataOnly="0" labelOnly="1" grandRow="1" outline="0" fieldPosition="0"/>
    </format>
    <format dxfId="80">
      <pivotArea dataOnly="0" labelOnly="1" outline="0" fieldPosition="0">
        <references count="1">
          <reference field="4294967294" count="2">
            <x v="0"/>
            <x v="1"/>
          </reference>
        </references>
      </pivotArea>
    </format>
    <format dxfId="79">
      <pivotArea type="all" dataOnly="0" outline="0" fieldPosition="0"/>
    </format>
    <format dxfId="78">
      <pivotArea outline="0" collapsedLevelsAreSubtotals="1" fieldPosition="0"/>
    </format>
    <format dxfId="77">
      <pivotArea field="15" type="button" dataOnly="0" labelOnly="1" outline="0" axis="axisRow" fieldPosition="0"/>
    </format>
    <format dxfId="76">
      <pivotArea dataOnly="0" labelOnly="1" fieldPosition="0">
        <references count="1">
          <reference field="15" count="0"/>
        </references>
      </pivotArea>
    </format>
    <format dxfId="75">
      <pivotArea dataOnly="0" labelOnly="1" grandRow="1" outline="0" fieldPosition="0"/>
    </format>
    <format dxfId="74">
      <pivotArea dataOnly="0" labelOnly="1" outline="0" fieldPosition="0">
        <references count="1">
          <reference field="4294967294" count="2">
            <x v="0"/>
            <x v="1"/>
          </reference>
        </references>
      </pivotArea>
    </format>
  </formats>
  <chartFormats count="4">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9" format="4" series="1">
      <pivotArea type="data" outline="0" fieldPosition="0">
        <references count="1">
          <reference field="4294967294" count="1" selected="0">
            <x v="0"/>
          </reference>
        </references>
      </pivotArea>
    </chartFormat>
    <chartFormat chart="9"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D38477B8-9DD4-46F6-A0F9-C484B36A58F4}" name="PivotTable10"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4" rowHeaderCaption="Temp_cat">
  <location ref="B9:D13" firstHeaderRow="0" firstDataRow="1" firstDataCol="1"/>
  <pivotFields count="25">
    <pivotField showAll="0"/>
    <pivotField numFmtId="14" showAll="0">
      <items count="4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t="default"/>
      </items>
    </pivotField>
    <pivotField showAll="0">
      <items count="3">
        <item x="0"/>
        <item x="1"/>
        <item t="default"/>
      </items>
    </pivotField>
    <pivotField showAll="0">
      <items count="25">
        <item x="0"/>
        <item x="1"/>
        <item x="2"/>
        <item x="3"/>
        <item x="4"/>
        <item x="5"/>
        <item x="6"/>
        <item x="7"/>
        <item x="8"/>
        <item x="9"/>
        <item x="10"/>
        <item x="11"/>
        <item x="12"/>
        <item x="13"/>
        <item x="14"/>
        <item x="15"/>
        <item x="16"/>
        <item x="17"/>
        <item x="18"/>
        <item x="19"/>
        <item x="20"/>
        <item x="21"/>
        <item x="22"/>
        <item x="23"/>
        <item t="default"/>
      </items>
    </pivotField>
    <pivotField showAll="0"/>
    <pivotField showAll="0"/>
    <pivotField showAll="0"/>
    <pivotField showAll="0"/>
    <pivotField showAll="0"/>
    <pivotField showAll="0"/>
    <pivotField showAll="0"/>
    <pivotField dataField="1" showAll="0"/>
    <pivotField dataField="1" showAll="0"/>
    <pivotField showAll="0"/>
    <pivotField showAll="0">
      <items count="5">
        <item x="0"/>
        <item x="3"/>
        <item x="2"/>
        <item x="1"/>
        <item t="default"/>
      </items>
    </pivotField>
    <pivotField showAll="0">
      <items count="8">
        <item x="1"/>
        <item x="2"/>
        <item x="3"/>
        <item x="4"/>
        <item x="5"/>
        <item x="6"/>
        <item x="0"/>
        <item t="default"/>
      </items>
    </pivotField>
    <pivotField showAll="0">
      <items count="3">
        <item x="1"/>
        <item x="0"/>
        <item t="default"/>
      </items>
    </pivotField>
    <pivotField showAll="0">
      <items count="5">
        <item x="2"/>
        <item x="3"/>
        <item x="1"/>
        <item x="0"/>
        <item t="default"/>
      </items>
    </pivotField>
    <pivotField axis="axisRow" showAll="0">
      <items count="4">
        <item x="2"/>
        <item x="0"/>
        <item x="1"/>
        <item t="default"/>
      </items>
    </pivotField>
    <pivotField numFmtId="2" showAll="0"/>
    <pivotField showAll="0"/>
    <pivotField showAll="0"/>
    <pivotField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18"/>
  </rowFields>
  <rowItems count="4">
    <i>
      <x/>
    </i>
    <i>
      <x v="1"/>
    </i>
    <i>
      <x v="2"/>
    </i>
    <i t="grand">
      <x/>
    </i>
  </rowItems>
  <colFields count="1">
    <field x="-2"/>
  </colFields>
  <colItems count="2">
    <i>
      <x/>
    </i>
    <i i="1">
      <x v="1"/>
    </i>
  </colItems>
  <dataFields count="2">
    <dataField name="Sum of casual" fld="11" baseField="0" baseItem="0"/>
    <dataField name="Sum of registered" fld="12" baseField="0" baseItem="0"/>
  </dataFields>
  <formats count="18">
    <format dxfId="69">
      <pivotArea type="all" dataOnly="0" outline="0" fieldPosition="0"/>
    </format>
    <format dxfId="68">
      <pivotArea outline="0" collapsedLevelsAreSubtotals="1" fieldPosition="0"/>
    </format>
    <format dxfId="67">
      <pivotArea field="18" type="button" dataOnly="0" labelOnly="1" outline="0" axis="axisRow" fieldPosition="0"/>
    </format>
    <format dxfId="66">
      <pivotArea dataOnly="0" labelOnly="1" fieldPosition="0">
        <references count="1">
          <reference field="18" count="0"/>
        </references>
      </pivotArea>
    </format>
    <format dxfId="65">
      <pivotArea dataOnly="0" labelOnly="1" grandRow="1" outline="0" fieldPosition="0"/>
    </format>
    <format dxfId="64">
      <pivotArea dataOnly="0" labelOnly="1" outline="0" fieldPosition="0">
        <references count="1">
          <reference field="4294967294" count="2">
            <x v="0"/>
            <x v="1"/>
          </reference>
        </references>
      </pivotArea>
    </format>
    <format dxfId="63">
      <pivotArea type="all" dataOnly="0" outline="0" fieldPosition="0"/>
    </format>
    <format dxfId="62">
      <pivotArea outline="0" collapsedLevelsAreSubtotals="1" fieldPosition="0"/>
    </format>
    <format dxfId="61">
      <pivotArea field="18" type="button" dataOnly="0" labelOnly="1" outline="0" axis="axisRow" fieldPosition="0"/>
    </format>
    <format dxfId="60">
      <pivotArea dataOnly="0" labelOnly="1" fieldPosition="0">
        <references count="1">
          <reference field="18" count="0"/>
        </references>
      </pivotArea>
    </format>
    <format dxfId="59">
      <pivotArea dataOnly="0" labelOnly="1" grandRow="1" outline="0" fieldPosition="0"/>
    </format>
    <format dxfId="58">
      <pivotArea dataOnly="0" labelOnly="1" outline="0" fieldPosition="0">
        <references count="1">
          <reference field="4294967294" count="2">
            <x v="0"/>
            <x v="1"/>
          </reference>
        </references>
      </pivotArea>
    </format>
    <format dxfId="57">
      <pivotArea outline="0" collapsedLevelsAreSubtotals="1" fieldPosition="0">
        <references count="1">
          <reference field="4294967294" count="1" selected="0">
            <x v="1"/>
          </reference>
        </references>
      </pivotArea>
    </format>
    <format dxfId="56">
      <pivotArea dataOnly="0" labelOnly="1" outline="0" fieldPosition="0">
        <references count="1">
          <reference field="4294967294" count="1">
            <x v="1"/>
          </reference>
        </references>
      </pivotArea>
    </format>
    <format dxfId="55">
      <pivotArea outline="0" collapsedLevelsAreSubtotals="1" fieldPosition="0">
        <references count="1">
          <reference field="4294967294" count="1" selected="0">
            <x v="0"/>
          </reference>
        </references>
      </pivotArea>
    </format>
    <format dxfId="54">
      <pivotArea field="18" type="button" dataOnly="0" labelOnly="1" outline="0" axis="axisRow" fieldPosition="0"/>
    </format>
    <format dxfId="53">
      <pivotArea dataOnly="0" labelOnly="1" fieldPosition="0">
        <references count="1">
          <reference field="18" count="0"/>
        </references>
      </pivotArea>
    </format>
    <format dxfId="52">
      <pivotArea dataOnly="0" labelOnly="1" grandRow="1" outline="0" fieldPosition="0"/>
    </format>
  </formats>
  <chartFormats count="4">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7" format="4" series="1">
      <pivotArea type="data" outline="0" fieldPosition="0">
        <references count="1">
          <reference field="4294967294" count="1" selected="0">
            <x v="0"/>
          </reference>
        </references>
      </pivotArea>
    </chartFormat>
    <chartFormat chart="7"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46683273-8972-4BCB-B92F-130447378E8A}" name="PivotTable1" cacheId="0"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10">
  <location ref="B10:D14" firstHeaderRow="0" firstDataRow="1" firstDataCol="1"/>
  <pivotFields count="25">
    <pivotField showAll="0"/>
    <pivotField numFmtId="14" showAll="0">
      <items count="4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t="default"/>
      </items>
    </pivotField>
    <pivotField showAll="0">
      <items count="3">
        <item x="0"/>
        <item x="1"/>
        <item t="default"/>
      </items>
    </pivotField>
    <pivotField showAll="0">
      <items count="25">
        <item x="0"/>
        <item x="1"/>
        <item x="2"/>
        <item x="3"/>
        <item x="4"/>
        <item x="5"/>
        <item x="6"/>
        <item x="7"/>
        <item x="8"/>
        <item x="9"/>
        <item x="10"/>
        <item x="11"/>
        <item x="12"/>
        <item x="13"/>
        <item x="14"/>
        <item x="15"/>
        <item x="16"/>
        <item x="17"/>
        <item x="18"/>
        <item x="19"/>
        <item x="20"/>
        <item x="21"/>
        <item x="22"/>
        <item x="23"/>
        <item t="default"/>
      </items>
    </pivotField>
    <pivotField showAll="0"/>
    <pivotField showAll="0"/>
    <pivotField showAll="0"/>
    <pivotField showAll="0"/>
    <pivotField showAll="0"/>
    <pivotField showAll="0"/>
    <pivotField showAll="0"/>
    <pivotField dataField="1" showAll="0"/>
    <pivotField dataField="1" showAll="0"/>
    <pivotField showAll="0"/>
    <pivotField showAll="0">
      <items count="5">
        <item x="0"/>
        <item x="3"/>
        <item x="2"/>
        <item x="1"/>
        <item t="default"/>
      </items>
    </pivotField>
    <pivotField showAll="0">
      <items count="8">
        <item x="1"/>
        <item x="2"/>
        <item x="3"/>
        <item x="4"/>
        <item x="5"/>
        <item x="6"/>
        <item x="0"/>
        <item t="default"/>
      </items>
    </pivotField>
    <pivotField showAll="0">
      <items count="3">
        <item x="1"/>
        <item x="0"/>
        <item t="default"/>
      </items>
    </pivotField>
    <pivotField axis="axisRow" showAll="0">
      <items count="5">
        <item x="2"/>
        <item x="3"/>
        <item x="1"/>
        <item x="0"/>
        <item t="default"/>
      </items>
    </pivotField>
    <pivotField showAll="0">
      <items count="4">
        <item x="2"/>
        <item x="0"/>
        <item x="1"/>
        <item t="default"/>
      </items>
    </pivotField>
    <pivotField numFmtId="2" showAll="0"/>
    <pivotField showAll="0"/>
    <pivotField showAll="0"/>
    <pivotField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17"/>
  </rowFields>
  <rowItems count="4">
    <i>
      <x/>
    </i>
    <i>
      <x v="1"/>
    </i>
    <i>
      <x v="2"/>
    </i>
    <i>
      <x v="3"/>
    </i>
  </rowItems>
  <colFields count="1">
    <field x="-2"/>
  </colFields>
  <colItems count="2">
    <i>
      <x/>
    </i>
    <i i="1">
      <x v="1"/>
    </i>
  </colItems>
  <dataFields count="2">
    <dataField name="Sum of casual" fld="11" baseField="0" baseItem="0"/>
    <dataField name="Sum of reg" fld="12" baseField="0" baseItem="0"/>
  </dataFields>
  <formats count="10">
    <format dxfId="51">
      <pivotArea type="all" dataOnly="0" outline="0" fieldPosition="0"/>
    </format>
    <format dxfId="50">
      <pivotArea outline="0" collapsedLevelsAreSubtotals="1" fieldPosition="0"/>
    </format>
    <format dxfId="49">
      <pivotArea field="17" type="button" dataOnly="0" labelOnly="1" outline="0" axis="axisRow" fieldPosition="0"/>
    </format>
    <format dxfId="48">
      <pivotArea dataOnly="0" labelOnly="1" fieldPosition="0">
        <references count="1">
          <reference field="17" count="0"/>
        </references>
      </pivotArea>
    </format>
    <format dxfId="47">
      <pivotArea dataOnly="0" labelOnly="1" outline="0" fieldPosition="0">
        <references count="1">
          <reference field="4294967294" count="2">
            <x v="0"/>
            <x v="1"/>
          </reference>
        </references>
      </pivotArea>
    </format>
    <format dxfId="46">
      <pivotArea type="all" dataOnly="0" outline="0" fieldPosition="0"/>
    </format>
    <format dxfId="45">
      <pivotArea outline="0" collapsedLevelsAreSubtotals="1" fieldPosition="0"/>
    </format>
    <format dxfId="44">
      <pivotArea field="17" type="button" dataOnly="0" labelOnly="1" outline="0" axis="axisRow" fieldPosition="0"/>
    </format>
    <format dxfId="43">
      <pivotArea dataOnly="0" labelOnly="1" fieldPosition="0">
        <references count="1">
          <reference field="17" count="0"/>
        </references>
      </pivotArea>
    </format>
    <format dxfId="42">
      <pivotArea dataOnly="0" labelOnly="1" outline="0" fieldPosition="0">
        <references count="1">
          <reference field="4294967294" count="2">
            <x v="0"/>
            <x v="1"/>
          </reference>
        </references>
      </pivotArea>
    </format>
  </formats>
  <chartFormats count="6">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0" format="2">
      <pivotArea type="data" outline="0" fieldPosition="0">
        <references count="2">
          <reference field="4294967294" count="1" selected="0">
            <x v="1"/>
          </reference>
          <reference field="17" count="1" selected="0">
            <x v="3"/>
          </reference>
        </references>
      </pivotArea>
    </chartFormat>
    <chartFormat chart="4" format="6" series="1">
      <pivotArea type="data" outline="0" fieldPosition="0">
        <references count="1">
          <reference field="4294967294" count="1" selected="0">
            <x v="0"/>
          </reference>
        </references>
      </pivotArea>
    </chartFormat>
    <chartFormat chart="4" format="7" series="1">
      <pivotArea type="data" outline="0" fieldPosition="0">
        <references count="1">
          <reference field="4294967294" count="1" selected="0">
            <x v="1"/>
          </reference>
        </references>
      </pivotArea>
    </chartFormat>
    <chartFormat chart="4" format="8">
      <pivotArea type="data" outline="0" fieldPosition="0">
        <references count="2">
          <reference field="4294967294" count="1" selected="0">
            <x v="1"/>
          </reference>
          <reference field="17"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FC35E022-2D13-4668-AF3E-2A42FEA04964}" name="PivotTable13"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rowHeaderCaption="Hrs" colHeaderCaption="sum_cnt">
  <location ref="B2:I27" firstHeaderRow="1" firstDataRow="2" firstDataCol="1"/>
  <pivotFields count="25">
    <pivotField showAll="0"/>
    <pivotField numFmtId="14" showAll="0">
      <items count="4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t="default"/>
      </items>
    </pivotField>
    <pivotField showAll="0">
      <items count="3">
        <item x="0"/>
        <item x="1"/>
        <item t="default"/>
      </items>
    </pivotField>
    <pivotField axis="axisRow" showAll="0">
      <items count="25">
        <item x="0"/>
        <item x="1"/>
        <item x="2"/>
        <item x="3"/>
        <item x="4"/>
        <item x="5"/>
        <item x="6"/>
        <item x="7"/>
        <item x="8"/>
        <item x="9"/>
        <item x="10"/>
        <item x="11"/>
        <item x="12"/>
        <item x="13"/>
        <item x="14"/>
        <item x="15"/>
        <item x="16"/>
        <item x="17"/>
        <item x="18"/>
        <item x="19"/>
        <item x="20"/>
        <item x="21"/>
        <item x="22"/>
        <item x="23"/>
        <item t="default"/>
      </items>
    </pivotField>
    <pivotField showAll="0"/>
    <pivotField showAll="0">
      <items count="8">
        <item x="1"/>
        <item x="2"/>
        <item x="3"/>
        <item x="4"/>
        <item x="5"/>
        <item x="6"/>
        <item x="0"/>
        <item t="default"/>
      </items>
    </pivotField>
    <pivotField showAll="0"/>
    <pivotField showAll="0"/>
    <pivotField showAll="0"/>
    <pivotField showAll="0"/>
    <pivotField showAll="0"/>
    <pivotField showAll="0"/>
    <pivotField showAll="0"/>
    <pivotField dataField="1" showAll="0"/>
    <pivotField showAll="0">
      <items count="5">
        <item x="0"/>
        <item x="3"/>
        <item x="2"/>
        <item x="1"/>
        <item t="default"/>
      </items>
    </pivotField>
    <pivotField axis="axisCol" showAll="0">
      <items count="8">
        <item n="Sun" x="1"/>
        <item n="Mon" x="2"/>
        <item n="Tue" x="3"/>
        <item n="Wed" x="4"/>
        <item n="Thur" x="5"/>
        <item n="Fri" x="6"/>
        <item n="Sat" x="0"/>
        <item t="default"/>
      </items>
    </pivotField>
    <pivotField showAll="0">
      <items count="3">
        <item x="1"/>
        <item x="0"/>
        <item t="default"/>
      </items>
    </pivotField>
    <pivotField showAll="0">
      <items count="5">
        <item x="2"/>
        <item x="3"/>
        <item x="1"/>
        <item x="0"/>
        <item t="default"/>
      </items>
    </pivotField>
    <pivotField showAll="0">
      <items count="4">
        <item x="2"/>
        <item x="0"/>
        <item x="1"/>
        <item t="default"/>
      </items>
    </pivotField>
    <pivotField numFmtId="2" showAll="0"/>
    <pivotField showAll="0"/>
    <pivotField showAll="0"/>
    <pivotField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3"/>
  </rowFields>
  <rowItems count="24">
    <i>
      <x/>
    </i>
    <i>
      <x v="1"/>
    </i>
    <i>
      <x v="2"/>
    </i>
    <i>
      <x v="3"/>
    </i>
    <i>
      <x v="4"/>
    </i>
    <i>
      <x v="5"/>
    </i>
    <i>
      <x v="6"/>
    </i>
    <i>
      <x v="7"/>
    </i>
    <i>
      <x v="8"/>
    </i>
    <i>
      <x v="9"/>
    </i>
    <i>
      <x v="10"/>
    </i>
    <i>
      <x v="11"/>
    </i>
    <i>
      <x v="12"/>
    </i>
    <i>
      <x v="13"/>
    </i>
    <i>
      <x v="14"/>
    </i>
    <i>
      <x v="15"/>
    </i>
    <i>
      <x v="16"/>
    </i>
    <i>
      <x v="17"/>
    </i>
    <i>
      <x v="18"/>
    </i>
    <i>
      <x v="19"/>
    </i>
    <i>
      <x v="20"/>
    </i>
    <i>
      <x v="21"/>
    </i>
    <i>
      <x v="22"/>
    </i>
    <i>
      <x v="23"/>
    </i>
  </rowItems>
  <colFields count="1">
    <field x="15"/>
  </colFields>
  <colItems count="7">
    <i>
      <x/>
    </i>
    <i>
      <x v="1"/>
    </i>
    <i>
      <x v="2"/>
    </i>
    <i>
      <x v="3"/>
    </i>
    <i>
      <x v="4"/>
    </i>
    <i>
      <x v="5"/>
    </i>
    <i>
      <x v="6"/>
    </i>
  </colItems>
  <dataFields count="1">
    <dataField name=" hrs" fld="13" baseField="0" baseItem="0"/>
  </dataFields>
  <formats count="12">
    <format dxfId="41">
      <pivotArea type="all" dataOnly="0" outline="0" fieldPosition="0"/>
    </format>
    <format dxfId="40">
      <pivotArea type="all" dataOnly="0" outline="0" fieldPosition="0"/>
    </format>
    <format dxfId="39">
      <pivotArea type="all" dataOnly="0" outline="0" fieldPosition="0"/>
    </format>
    <format dxfId="38">
      <pivotArea outline="0" collapsedLevelsAreSubtotals="1" fieldPosition="0"/>
    </format>
    <format dxfId="37">
      <pivotArea type="origin" dataOnly="0" labelOnly="1" outline="0" fieldPosition="0"/>
    </format>
    <format dxfId="36">
      <pivotArea field="15" type="button" dataOnly="0" labelOnly="1" outline="0" axis="axisCol" fieldPosition="0"/>
    </format>
    <format dxfId="35">
      <pivotArea type="topRight" dataOnly="0" labelOnly="1" outline="0" fieldPosition="0"/>
    </format>
    <format dxfId="34">
      <pivotArea field="3" type="button" dataOnly="0" labelOnly="1" outline="0" axis="axisRow" fieldPosition="0"/>
    </format>
    <format dxfId="33">
      <pivotArea dataOnly="0" labelOnly="1" fieldPosition="0">
        <references count="1">
          <reference field="3" count="0"/>
        </references>
      </pivotArea>
    </format>
    <format dxfId="32">
      <pivotArea dataOnly="0" labelOnly="1" grandRow="1" outline="0" fieldPosition="0"/>
    </format>
    <format dxfId="31">
      <pivotArea dataOnly="0" labelOnly="1" fieldPosition="0">
        <references count="1">
          <reference field="15" count="0"/>
        </references>
      </pivotArea>
    </format>
    <format dxfId="30">
      <pivotArea dataOnly="0" labelOnly="1" grandCol="1" outline="0" fieldPosition="0"/>
    </format>
  </formats>
  <conditionalFormats count="1">
    <conditionalFormat priority="1">
      <pivotAreas count="1">
        <pivotArea type="data" outline="0" collapsedLevelsAreSubtotals="1" fieldPosition="0">
          <references count="1">
            <reference field="4294967294" count="1" selected="0">
              <x v="0"/>
            </reference>
          </references>
        </pivotArea>
      </pivotAreas>
    </conditionalFormat>
  </conditional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2" connectionId="2" xr16:uid="{99178E61-746A-4E72-8509-BCCB5E021E1D}" autoFormatId="16" applyNumberFormats="0" applyBorderFormats="0" applyFontFormats="0" applyPatternFormats="0" applyAlignmentFormats="0" applyWidthHeightFormats="0">
  <queryTableRefresh nextId="35" unboundColumnsRight="9">
    <queryTableFields count="23">
      <queryTableField id="1" name="instant" tableColumnId="1"/>
      <queryTableField id="2" name="dteday" tableColumnId="2"/>
      <queryTableField id="5" name="mnth" tableColumnId="5"/>
      <queryTableField id="6" name="hr" tableColumnId="6"/>
      <queryTableField id="7" name="holiday" tableColumnId="7"/>
      <queryTableField id="8" name="weekday" tableColumnId="8"/>
      <queryTableField id="9" name="weathersit" tableColumnId="9"/>
      <queryTableField id="10" name="temp" tableColumnId="10"/>
      <queryTableField id="13" name="atemp" tableColumnId="13"/>
      <queryTableField id="14" name="hum" tableColumnId="14"/>
      <queryTableField id="15" name="windspeed" tableColumnId="15"/>
      <queryTableField id="16" name="casual" tableColumnId="16"/>
      <queryTableField id="17" name="registered" tableColumnId="17"/>
      <queryTableField id="18" name="cnt" tableColumnId="18"/>
      <queryTableField id="26" dataBound="0" tableColumnId="22"/>
      <queryTableField id="34" dataBound="0" tableColumnId="24"/>
      <queryTableField id="19" dataBound="0" tableColumnId="3"/>
      <queryTableField id="20" dataBound="0" tableColumnId="4"/>
      <queryTableField id="27" dataBound="0" tableColumnId="23"/>
      <queryTableField id="29" dataBound="0" tableColumnId="11"/>
      <queryTableField id="30" dataBound="0" tableColumnId="12"/>
      <queryTableField id="31" dataBound="0" tableColumnId="19"/>
      <queryTableField id="32" dataBound="0" tableColumnId="20"/>
    </queryTableFields>
    <queryTableDeletedFields count="4">
      <deletedField name="Table2.instant"/>
      <deletedField name="Unnamed: 0"/>
      <deletedField name="season"/>
      <deletedField name="yr"/>
    </queryTableDeleted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hr" xr10:uid="{6E46E7BA-1742-4A8D-90A7-7BAAB0946E35}" sourceName="hr">
  <pivotTables>
    <pivotTable tabId="20" name="PivotTable8"/>
    <pivotTable tabId="7" name="PivotTable6"/>
    <pivotTable tabId="17" name="PivotTable13"/>
    <pivotTable tabId="13" name="PivotTable5"/>
    <pivotTable tabId="21" name="PivotTable3"/>
    <pivotTable tabId="16" name="PivotTable10"/>
    <pivotTable tabId="15" name="PivotTable7"/>
    <pivotTable tabId="19" name="PivotTable1"/>
    <pivotTable tabId="23" name="PivotTable1"/>
    <pivotTable tabId="14" name="PivotTable6"/>
  </pivotTables>
  <data>
    <tabular pivotCacheId="1871193083">
      <items count="24">
        <i x="0" s="1"/>
        <i x="1" s="1"/>
        <i x="2" s="1"/>
        <i x="3" s="1"/>
        <i x="4" s="1"/>
        <i x="5" s="1"/>
        <i x="6" s="1"/>
        <i x="7" s="1"/>
        <i x="8" s="1"/>
        <i x="9" s="1"/>
        <i x="10" s="1"/>
        <i x="11" s="1"/>
        <i x="12" s="1"/>
        <i x="13" s="1"/>
        <i x="14" s="1"/>
        <i x="15" s="1"/>
        <i x="16" s="1"/>
        <i x="17" s="1"/>
        <i x="18" s="1"/>
        <i x="19" s="1"/>
        <i x="20" s="1"/>
        <i x="21" s="1"/>
        <i x="22" s="1"/>
        <i x="23"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weather_category" xr10:uid="{7AD7FE25-DE06-4BFF-8E4D-F58188C1C9B9}" sourceName="weather_category">
  <pivotTables>
    <pivotTable tabId="20" name="PivotTable8"/>
    <pivotTable tabId="7" name="PivotTable6"/>
    <pivotTable tabId="17" name="PivotTable13"/>
    <pivotTable tabId="13" name="PivotTable5"/>
    <pivotTable tabId="21" name="PivotTable3"/>
    <pivotTable tabId="16" name="PivotTable10"/>
    <pivotTable tabId="15" name="PivotTable7"/>
    <pivotTable tabId="19" name="PivotTable1"/>
    <pivotTable tabId="23" name="PivotTable1"/>
    <pivotTable tabId="14" name="PivotTable6"/>
  </pivotTables>
  <data>
    <tabular pivotCacheId="1871193083">
      <items count="4">
        <i x="0" s="1"/>
        <i x="3" s="1"/>
        <i x="2"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Week_days" xr10:uid="{FD87A91D-A431-4D1C-8DE4-87A131A19E34}" sourceName="Week_days">
  <pivotTables>
    <pivotTable tabId="20" name="PivotTable8"/>
    <pivotTable tabId="7" name="PivotTable6"/>
    <pivotTable tabId="17" name="PivotTable13"/>
    <pivotTable tabId="13" name="PivotTable5"/>
    <pivotTable tabId="21" name="PivotTable3"/>
    <pivotTable tabId="16" name="PivotTable10"/>
    <pivotTable tabId="15" name="PivotTable7"/>
    <pivotTable tabId="19" name="PivotTable1"/>
    <pivotTable tabId="23" name="PivotTable1"/>
    <pivotTable tabId="14" name="PivotTable6"/>
  </pivotTables>
  <data>
    <tabular pivotCacheId="1871193083">
      <items count="7">
        <i x="1" s="1"/>
        <i x="2" s="1"/>
        <i x="3" s="1"/>
        <i x="4" s="1"/>
        <i x="6" s="1"/>
        <i x="0" s="1"/>
        <i x="5"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week_type" xr10:uid="{D2B2FC6C-FE53-467B-A440-B025BBFA7D92}" sourceName="week_type">
  <pivotTables>
    <pivotTable tabId="20" name="PivotTable8"/>
    <pivotTable tabId="7" name="PivotTable6"/>
    <pivotTable tabId="17" name="PivotTable13"/>
    <pivotTable tabId="13" name="PivotTable5"/>
    <pivotTable tabId="21" name="PivotTable3"/>
    <pivotTable tabId="16" name="PivotTable10"/>
    <pivotTable tabId="15" name="PivotTable7"/>
    <pivotTable tabId="19" name="PivotTable1"/>
    <pivotTable tabId="23" name="PivotTable1"/>
    <pivotTable tabId="14" name="PivotTable6"/>
  </pivotTables>
  <data>
    <tabular pivotCacheId="1871193083">
      <items count="2">
        <i x="1" s="1"/>
        <i x="0" s="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Time_period" xr10:uid="{DD4473C4-0558-4D86-BE24-8E87375AE33C}" sourceName="Time period">
  <pivotTables>
    <pivotTable tabId="20" name="PivotTable8"/>
    <pivotTable tabId="7" name="PivotTable6"/>
    <pivotTable tabId="17" name="PivotTable13"/>
    <pivotTable tabId="13" name="PivotTable5"/>
    <pivotTable tabId="21" name="PivotTable3"/>
    <pivotTable tabId="16" name="PivotTable10"/>
    <pivotTable tabId="15" name="PivotTable7"/>
    <pivotTable tabId="19" name="PivotTable1"/>
    <pivotTable tabId="23" name="PivotTable1"/>
    <pivotTable tabId="14" name="PivotTable6"/>
  </pivotTables>
  <data>
    <tabular pivotCacheId="1871193083">
      <items count="4">
        <i x="2" s="1"/>
        <i x="3" s="1"/>
        <i x="1" s="1"/>
        <i x="0" s="1"/>
      </items>
    </tabular>
  </data>
</slicerCacheDefinition>
</file>

<file path=xl/slicerCaches/slicerCache6.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temp_cat" xr10:uid="{84484231-6E1B-4868-80E2-3C66CF44F2A9}" sourceName="temp_cat">
  <pivotTables>
    <pivotTable tabId="20" name="PivotTable8"/>
    <pivotTable tabId="7" name="PivotTable6"/>
    <pivotTable tabId="17" name="PivotTable13"/>
    <pivotTable tabId="13" name="PivotTable5"/>
    <pivotTable tabId="21" name="PivotTable3"/>
    <pivotTable tabId="16" name="PivotTable10"/>
    <pivotTable tabId="15" name="PivotTable7"/>
    <pivotTable tabId="19" name="PivotTable1"/>
    <pivotTable tabId="23" name="PivotTable1"/>
    <pivotTable tabId="14" name="PivotTable6"/>
  </pivotTables>
  <data>
    <tabular pivotCacheId="1871193083">
      <items count="3">
        <i x="2" s="1"/>
        <i x="0" s="1"/>
        <i x="1" s="1"/>
      </items>
    </tabular>
  </data>
</slicerCacheDefinition>
</file>

<file path=xl/slicerCaches/slicerCache7.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nth" xr10:uid="{9E59EA2C-D9BB-4D88-9F2B-FFB5CD6A6FB2}" sourceName="mnth">
  <pivotTables>
    <pivotTable tabId="20" name="PivotTable8"/>
    <pivotTable tabId="7" name="PivotTable6"/>
    <pivotTable tabId="17" name="PivotTable13"/>
    <pivotTable tabId="13" name="PivotTable5"/>
    <pivotTable tabId="21" name="PivotTable3"/>
    <pivotTable tabId="16" name="PivotTable10"/>
    <pivotTable tabId="15" name="PivotTable7"/>
    <pivotTable tabId="19" name="PivotTable1"/>
    <pivotTable tabId="23" name="PivotTable1"/>
    <pivotTable tabId="14" name="PivotTable6"/>
  </pivotTables>
  <data>
    <tabular pivotCacheId="1871193083">
      <items count="2">
        <i x="0"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hr" xr10:uid="{AEC612AC-F23B-41C4-A856-CE92E84C6A4A}" cache="Slicer_hr" caption="hr" columnCount="3" rowHeight="225425"/>
  <slicer name="weather_category" xr10:uid="{F6FC710A-2862-4FDC-AED9-BF33BF1A5C7E}" cache="Slicer_weather_category" caption="weather_category" rowHeight="225425"/>
  <slicer name="Week_days" xr10:uid="{3B2ACAA6-99EC-4C2F-A767-3A29164D58B1}" cache="Slicer_Week_days" caption="Week_days" columnCount="2" rowHeight="225425"/>
  <slicer name="week_type" xr10:uid="{F1B1BB99-CF20-4181-90EF-9F35E46590AC}" cache="Slicer_week_type" caption="week_type" rowHeight="225425"/>
  <slicer name="Time period" xr10:uid="{7D1FC2F5-FEF5-45EC-ABC5-48032AFD29BD}" cache="Slicer_Time_period" caption="Time period" columnCount="2" rowHeight="225425"/>
  <slicer name="temp_cat" xr10:uid="{E255B830-AF6B-46E5-BF7C-6EC7CC846562}" cache="Slicer_temp_cat" caption="temp_cat" rowHeight="225425"/>
  <slicer name="mnth" xr10:uid="{3302272A-4693-4D8D-91DF-6F797C86CA69}" cache="Slicer_mnth" caption="mnth" rowHeight="225425"/>
</slicers>
</file>

<file path=xl/tables/_rels/table4.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BC0F346D-A3BC-49C8-9E1D-CF0C8F4BC022}" name="Table13" displayName="Table13" ref="A1:J611" totalsRowShown="0" headerRowDxfId="306" dataDxfId="304" headerRowBorderDxfId="305" tableBorderDxfId="303" totalsRowBorderDxfId="302">
  <autoFilter ref="A1:J611" xr:uid="{BC0F346D-A3BC-49C8-9E1D-CF0C8F4BC022}"/>
  <sortState xmlns:xlrd2="http://schemas.microsoft.com/office/spreadsheetml/2017/richdata2" ref="A2:J611">
    <sortCondition descending="1" ref="J1:J611"/>
  </sortState>
  <tableColumns count="10">
    <tableColumn id="1" xr3:uid="{0D53972A-798B-4E31-AEBB-48866331541F}" name="instant" dataDxfId="301"/>
    <tableColumn id="2" xr3:uid="{2620CB48-C698-48DD-94CF-F1504076C8E7}" name="dteday" dataDxfId="300"/>
    <tableColumn id="3" xr3:uid="{05363D7B-5AEA-4299-84E7-B32CB824F893}" name="season" dataDxfId="299"/>
    <tableColumn id="4" xr3:uid="{656875BA-D778-4BD2-9A93-79AFF7012B19}" name="yr" dataDxfId="298"/>
    <tableColumn id="5" xr3:uid="{A4634C7D-6067-4394-9E86-35BA17362440}" name="mnth" dataDxfId="297"/>
    <tableColumn id="6" xr3:uid="{84B95741-4FBF-428D-8EB1-17528D56E5D8}" name="hr" dataDxfId="296"/>
    <tableColumn id="7" xr3:uid="{9FF37056-17EF-41E5-9E8D-B92F7B5F34D6}" name="holiday" dataDxfId="295"/>
    <tableColumn id="8" xr3:uid="{164793D6-6288-4BB7-A962-1F16C0520F99}" name="weekday" dataDxfId="294"/>
    <tableColumn id="9" xr3:uid="{4B659B76-F9F2-476B-BD10-0F03D9E13EBE}" name="weathersit" dataDxfId="293"/>
    <tableColumn id="10" xr3:uid="{ADCCD2C1-4079-4BB8-8BC8-F333E91CDC50}" name="temp" dataDxfId="292"/>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4828514F-7C56-4B3A-9745-8B6BA5346A4C}" name="Table2" displayName="Table2" ref="A1:I611" totalsRowShown="0" headerRowDxfId="14" dataDxfId="15" headerRowBorderDxfId="24" tableBorderDxfId="25">
  <autoFilter ref="A1:I611" xr:uid="{4828514F-7C56-4B3A-9745-8B6BA5346A4C}"/>
  <sortState xmlns:xlrd2="http://schemas.microsoft.com/office/spreadsheetml/2017/richdata2" ref="A2:I611">
    <sortCondition descending="1" ref="H1:H611"/>
  </sortState>
  <tableColumns count="9">
    <tableColumn id="1" xr3:uid="{5CB29881-4AB3-4EE7-83A7-4AEA2459FD06}" name="Unnamed: 0" dataDxfId="23"/>
    <tableColumn id="2" xr3:uid="{4BB50C34-B194-4C6B-99C8-92CADF84620D}" name="instant" dataDxfId="22"/>
    <tableColumn id="3" xr3:uid="{DBA0DB6F-C8B2-4FF9-9A4B-53BD214513E4}" name="atemp" dataDxfId="21"/>
    <tableColumn id="4" xr3:uid="{AE52CE94-7EFC-4010-B7E4-E261EAC50119}" name="hum" dataDxfId="20"/>
    <tableColumn id="5" xr3:uid="{CC776958-B746-46B2-A635-0B4431BBCB62}" name="windspeed" dataDxfId="19"/>
    <tableColumn id="6" xr3:uid="{9A1EDCCC-78CB-476D-939A-17A56036EEB0}" name="casual" dataDxfId="18"/>
    <tableColumn id="7" xr3:uid="{89AB64C6-AF36-4B86-A6FE-645B0C594F73}" name="registered" dataDxfId="17"/>
    <tableColumn id="8" xr3:uid="{4FCE5380-6FBD-4744-BDE4-7C8120F22286}" name="cnt" dataDxfId="16"/>
    <tableColumn id="9" xr3:uid="{E1B7CCBB-CFCB-4033-9404-821200DA12B8}" name="check_cnt" dataDxfId="13">
      <calculatedColumnFormula>SUM(Table2[[#This Row],[casual]],Table2[[#This Row],[registered]])</calculatedColumnFormula>
    </tableColumn>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17BBCCB-21F9-4348-A6AE-901483A05FFF}" name="Table1" displayName="Table1" ref="A1:P391" totalsRowShown="0" headerRowDxfId="291" dataDxfId="289" headerRowBorderDxfId="290" tableBorderDxfId="288" totalsRowBorderDxfId="287">
  <autoFilter ref="A1:P391" xr:uid="{017BBCCB-21F9-4348-A6AE-901483A05FFF}"/>
  <tableColumns count="16">
    <tableColumn id="1" xr3:uid="{DC99912F-A35D-43A9-84C4-BD5FF504D0FB}" name="instant" dataDxfId="286"/>
    <tableColumn id="2" xr3:uid="{7E30DE05-0202-463B-89DA-7E413770FE15}" name="dteday" dataDxfId="285"/>
    <tableColumn id="3" xr3:uid="{1028E54E-973D-4132-AA06-C5C114BD4F44}" name="season" dataDxfId="284"/>
    <tableColumn id="4" xr3:uid="{B58B9EED-C744-4678-A5FA-5BA94F7CC935}" name="yr" dataDxfId="283"/>
    <tableColumn id="5" xr3:uid="{F68C9ED0-BAA5-4C04-ACDF-25AC2178D636}" name="mnth" dataDxfId="282"/>
    <tableColumn id="6" xr3:uid="{C19CE04C-7AE6-4FAA-B514-8DDA761388C6}" name="hr" dataDxfId="281"/>
    <tableColumn id="7" xr3:uid="{330B1ADA-7518-4F47-AC39-6F5DFA44561D}" name="holiday" dataDxfId="280"/>
    <tableColumn id="8" xr3:uid="{98C18F73-03BA-4331-A500-59360E650121}" name="weekday" dataDxfId="279"/>
    <tableColumn id="9" xr3:uid="{F724CF54-EAE5-4C67-B0AD-228653E7C3BB}" name="weathersit" dataDxfId="278"/>
    <tableColumn id="10" xr3:uid="{266DE32D-9A7C-45BE-AE19-938F9F2DB905}" name="temp" dataDxfId="277"/>
    <tableColumn id="11" xr3:uid="{DCD39959-E241-49D3-8BCC-695AD69420A1}" name="atemp" dataDxfId="276"/>
    <tableColumn id="12" xr3:uid="{90235862-62BF-4CDB-A488-4DA66D2EB3A4}" name="hum" dataDxfId="275"/>
    <tableColumn id="13" xr3:uid="{7FE593D6-F994-4682-9326-395BC9F35DEF}" name="windspeed" dataDxfId="274"/>
    <tableColumn id="14" xr3:uid="{767ED6FE-6474-48A1-AEE6-DFB33360D6D3}" name="casual" dataDxfId="273"/>
    <tableColumn id="15" xr3:uid="{0BF3FD56-E702-440C-871C-EBF8C019D020}" name="registered" dataDxfId="272"/>
    <tableColumn id="16" xr3:uid="{2F80979F-51A5-459B-83BC-6743C0E25DA5}" name="cnt" dataDxfId="271"/>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827C4963-32AF-416D-9BD7-714B7AB534B3}" name="Append2" displayName="Append2" ref="A1:W1001" tableType="queryTable" totalsRowShown="0" headerRowDxfId="270" dataDxfId="268" headerRowBorderDxfId="269" tableBorderDxfId="267" totalsRowBorderDxfId="266">
  <autoFilter ref="A1:W1001" xr:uid="{827C4963-32AF-416D-9BD7-714B7AB534B3}"/>
  <sortState xmlns:xlrd2="http://schemas.microsoft.com/office/spreadsheetml/2017/richdata2" ref="A2:N1001">
    <sortCondition ref="A1:A1001"/>
  </sortState>
  <tableColumns count="23">
    <tableColumn id="1" xr3:uid="{A66DD298-BBB2-4FA9-8BE9-E0818F66DA06}" uniqueName="1" name="instant" queryTableFieldId="1" dataDxfId="265"/>
    <tableColumn id="2" xr3:uid="{96BEB822-E55D-4C28-9EAF-9EDC0344F50A}" uniqueName="2" name="dteday" queryTableFieldId="2" dataDxfId="264"/>
    <tableColumn id="5" xr3:uid="{758FDE0A-C082-46AD-9618-B8DD0FC02C68}" uniqueName="5" name="mnth" queryTableFieldId="5" dataDxfId="263"/>
    <tableColumn id="6" xr3:uid="{BE3E3659-C817-4157-816D-E074D61D6C7F}" uniqueName="6" name="hr" queryTableFieldId="6" dataDxfId="262"/>
    <tableColumn id="7" xr3:uid="{A635F76F-0ABE-4406-81D0-3D365A2CD0F1}" uniqueName="7" name="holiday" queryTableFieldId="7" dataDxfId="261"/>
    <tableColumn id="8" xr3:uid="{3B67021D-CBC1-4F60-A279-EF3D44D923BC}" uniqueName="8" name="weekday" queryTableFieldId="8" dataDxfId="260"/>
    <tableColumn id="9" xr3:uid="{8B45131B-3291-4768-A93F-A26CF5E7FF2F}" uniqueName="9" name="weathersit" queryTableFieldId="9" dataDxfId="259"/>
    <tableColumn id="10" xr3:uid="{E402F701-5727-42DC-AEFE-76EBD9B339B1}" uniqueName="10" name="temp" queryTableFieldId="10" dataDxfId="258"/>
    <tableColumn id="13" xr3:uid="{AFDFBC18-BB9A-495A-ABEA-D241B83277BD}" uniqueName="13" name="atemp" queryTableFieldId="13" dataDxfId="257"/>
    <tableColumn id="14" xr3:uid="{46246F9F-59A5-4AAB-AE00-7CB3AACD404E}" uniqueName="14" name="hum" queryTableFieldId="14" dataDxfId="256"/>
    <tableColumn id="15" xr3:uid="{C8DB9795-8B95-4886-AAB0-CA030077CBA1}" uniqueName="15" name="windspeed" queryTableFieldId="15" dataDxfId="255"/>
    <tableColumn id="16" xr3:uid="{496DDE9D-02A6-4B7F-A22A-F5350755B945}" uniqueName="16" name="casual" queryTableFieldId="16" dataDxfId="254"/>
    <tableColumn id="17" xr3:uid="{7A798FBD-FA3A-4E01-80D0-0F3A7B925A61}" uniqueName="17" name="registered" queryTableFieldId="17" dataDxfId="253"/>
    <tableColumn id="18" xr3:uid="{457DC59F-6E75-4B8C-99C8-591759E7A81D}" uniqueName="18" name="cnt" queryTableFieldId="18" dataDxfId="252"/>
    <tableColumn id="22" xr3:uid="{6043173C-2CF9-458E-8A00-75D9AA04A397}" uniqueName="22" name="weather_category" queryTableFieldId="26" dataDxfId="251">
      <calculatedColumnFormula>VLOOKUP(G2,calculate_field!$B$2:$C$5,2,FALSE)</calculatedColumnFormula>
    </tableColumn>
    <tableColumn id="24" xr3:uid="{8A10823F-9C70-42FF-9AB6-54EFDD3AECEF}" uniqueName="24" name="Week_days" queryTableFieldId="34" dataDxfId="250">
      <calculatedColumnFormula>CHOOSE(F2+1,"Sunday","Monday","Tuesday","Wednesday","Thursday","Friday","Saturday")</calculatedColumnFormula>
    </tableColumn>
    <tableColumn id="3" xr3:uid="{F969F4B5-CD2E-47E0-A555-36DFA1562741}" uniqueName="3" name="week_type" queryTableFieldId="19" dataDxfId="249">
      <calculatedColumnFormula>IF(OR(F2=0,F2=6),"Weekend","Weekday")</calculatedColumnFormula>
    </tableColumn>
    <tableColumn id="4" xr3:uid="{118D8992-3EE4-4BC9-9CB9-F304857BB463}" uniqueName="4" name="Time period" queryTableFieldId="20" dataDxfId="248">
      <calculatedColumnFormula>IF(D2&lt;6,"Night",IF(D2&lt;12,"Morning",IF(D2&lt;17,"Afternoon",IF(D2&lt;21,"Evening","Night"))))</calculatedColumnFormula>
    </tableColumn>
    <tableColumn id="23" xr3:uid="{C7BF80C9-5598-49D5-90B6-D169028B018E}" uniqueName="23" name="temp_cat" queryTableFieldId="27" dataDxfId="247">
      <calculatedColumnFormula>INDEX(calculate_field!$F$2:$F$4, MATCH(H2, calculate_field!$E$2:$E$4, 1))</calculatedColumnFormula>
    </tableColumn>
    <tableColumn id="11" xr3:uid="{B538A919-8DE0-4673-96AA-F7409C942385}" uniqueName="11" name="rolling_mean_24h" queryTableFieldId="29" dataDxfId="246">
      <calculatedColumnFormula>AVERAGE(N2:N25)</calculatedColumnFormula>
    </tableColumn>
    <tableColumn id="12" xr3:uid="{1965E344-4999-4B02-BFCA-97A762359F59}" uniqueName="12" name="rolling_std_24h" queryTableFieldId="30" dataDxfId="245">
      <calculatedColumnFormula>_xlfn.STDEV.S(N2:N25)</calculatedColumnFormula>
    </tableColumn>
    <tableColumn id="19" xr3:uid="{67E0D1A6-E9AA-44D8-AEE6-8BBC9981F258}" uniqueName="19" name="zscore_24h" queryTableFieldId="31" dataDxfId="244">
      <calculatedColumnFormula>(N25-T25)/U25</calculatedColumnFormula>
    </tableColumn>
    <tableColumn id="20" xr3:uid="{24871462-23B3-4C9D-9CD4-CC986B10A140}" uniqueName="20" name="Anomaly_flag" queryTableFieldId="32" dataDxfId="243">
      <calculatedColumnFormula>IFERROR(ABS(V18)&gt;1.5,FALSE)</calculatedColumnFormula>
    </tableColumn>
  </tableColumns>
  <tableStyleInfo name="TableStyleMedium2"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DEC673F7-5647-4B8C-B04D-DD9D662B888B}" name="Table4" displayName="Table4" ref="B1:C5" totalsRowShown="0" headerRowDxfId="215" dataDxfId="213" headerRowBorderDxfId="214" tableBorderDxfId="212" totalsRowBorderDxfId="211">
  <autoFilter ref="B1:C5" xr:uid="{DEC673F7-5647-4B8C-B04D-DD9D662B888B}"/>
  <tableColumns count="2">
    <tableColumn id="1" xr3:uid="{9E36926E-FF87-49C3-9484-F35DE13C4A58}" name="weathersit" dataDxfId="210"/>
    <tableColumn id="2" xr3:uid="{2E493223-354C-4E70-8A7C-FD61F56696C9}" name="weather_Category" dataDxfId="209"/>
  </tableColumns>
  <tableStyleInfo name="TableStyleMedium2"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758DC24F-C32F-4755-AEDF-76307070F616}" name="Table5" displayName="Table5" ref="E1:F4" totalsRowShown="0" headerRowDxfId="208" dataDxfId="206" headerRowBorderDxfId="207" tableBorderDxfId="205" totalsRowBorderDxfId="204">
  <autoFilter ref="E1:F4" xr:uid="{758DC24F-C32F-4755-AEDF-76307070F616}"/>
  <tableColumns count="2">
    <tableColumn id="1" xr3:uid="{D17B8D88-1282-43C8-B834-D1791CB73B8A}" name="Min Temp °C" dataDxfId="203"/>
    <tableColumn id="2" xr3:uid="{0354FECD-811C-45A3-97A3-125EC6006E92}" name=" Temp Category" dataDxfId="202"/>
  </tableColumns>
  <tableStyleInfo name="TableStyleMedium2"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ED505394-D7D3-406A-96E5-8F4BC84FB598}" name="Table7" displayName="Table7" ref="B9:D35" totalsRowShown="0" headerRowDxfId="201" headerRowBorderDxfId="200" tableBorderDxfId="199" totalsRowBorderDxfId="198">
  <autoFilter ref="B9:D35" xr:uid="{ED505394-D7D3-406A-96E5-8F4BC84FB598}"/>
  <tableColumns count="3">
    <tableColumn id="1" xr3:uid="{7F6C67BD-E5CB-4464-8B5E-7FF97A3F8E57}" name="Formula" dataDxfId="197"/>
    <tableColumn id="2" xr3:uid="{686C658D-8354-4E3D-81EE-894A670357C3}" name="Matric" dataDxfId="196"/>
    <tableColumn id="6" xr3:uid="{BEB42423-5BD2-4809-A501-B7B05FE37FCF}" name="value" dataDxfId="195"/>
  </tableColumns>
  <tableStyleInfo name="TableStyleMedium2"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5E2CFA96-1AD7-445B-BC3F-089F779C98BC}" name="Table12" displayName="Table12" ref="C14:D17" totalsRowShown="0" headerRowDxfId="73" dataDxfId="72">
  <autoFilter ref="C14:D17" xr:uid="{5E2CFA96-1AD7-445B-BC3F-089F779C98BC}"/>
  <tableColumns count="2">
    <tableColumn id="1" xr3:uid="{EEC5A7AB-56B5-4560-8936-64198EFD5304}" name="Stage" dataDxfId="71"/>
    <tableColumn id="2" xr3:uid="{74DB1542-F559-4EC0-B712-D7C6A41EA677}" name="Value" dataDxfId="70"/>
  </tableColumns>
  <tableStyleInfo name="TableStyleMedium2" showFirstColumn="0" showLastColumn="0"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4.xml.rels><?xml version="1.0" encoding="UTF-8" standalone="yes"?>
<Relationships xmlns="http://schemas.openxmlformats.org/package/2006/relationships"><Relationship Id="rId1" Type="http://schemas.openxmlformats.org/officeDocument/2006/relationships/table" Target="../tables/table4.xml"/></Relationships>
</file>

<file path=xl/worksheets/_rels/sheet5.xml.rels><?xml version="1.0" encoding="UTF-8" standalone="yes"?>
<Relationships xmlns="http://schemas.openxmlformats.org/package/2006/relationships"><Relationship Id="rId3" Type="http://schemas.openxmlformats.org/officeDocument/2006/relationships/table" Target="../tables/table6.xml"/><Relationship Id="rId2" Type="http://schemas.openxmlformats.org/officeDocument/2006/relationships/table" Target="../tables/table5.xml"/><Relationship Id="rId1" Type="http://schemas.openxmlformats.org/officeDocument/2006/relationships/pivotTable" Target="../pivotTables/pivotTable1.xml"/><Relationship Id="rId4" Type="http://schemas.openxmlformats.org/officeDocument/2006/relationships/table" Target="../tables/table7.xml"/></Relationships>
</file>

<file path=xl/worksheets/_rels/sheet6.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4.xml"/></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5.xml"/></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ivotTable" Target="../pivotTables/pivotTable6.xml"/></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ivotTable" Target="../pivotTables/pivotTable7.xml"/></Relationships>
</file>

<file path=xl/worksheets/_rels/sheet13.xml.rels><?xml version="1.0" encoding="UTF-8" standalone="yes"?>
<Relationships xmlns="http://schemas.openxmlformats.org/package/2006/relationships"><Relationship Id="rId2" Type="http://schemas.openxmlformats.org/officeDocument/2006/relationships/table" Target="../tables/table8.xml"/><Relationship Id="rId1" Type="http://schemas.openxmlformats.org/officeDocument/2006/relationships/drawing" Target="../drawings/drawing8.xml"/></Relationships>
</file>

<file path=xl/worksheets/_rels/sheet14.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ivotTable" Target="../pivotTables/pivotTable8.xml"/></Relationships>
</file>

<file path=xl/worksheets/_rels/sheet15.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ivotTable" Target="../pivotTables/pivotTable9.xml"/></Relationships>
</file>

<file path=xl/worksheets/_rels/sheet16.xml.rels><?xml version="1.0" encoding="UTF-8" standalone="yes"?>
<Relationships xmlns="http://schemas.openxmlformats.org/package/2006/relationships"><Relationship Id="rId1" Type="http://schemas.openxmlformats.org/officeDocument/2006/relationships/pivotTable" Target="../pivotTables/pivotTable10.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Q611"/>
  <sheetViews>
    <sheetView workbookViewId="0">
      <selection activeCell="R12" sqref="R12"/>
    </sheetView>
  </sheetViews>
  <sheetFormatPr defaultRowHeight="15.75" customHeight="1"/>
  <cols>
    <col min="2" max="2" width="11.140625" customWidth="1"/>
    <col min="8" max="8" width="11.140625" customWidth="1"/>
    <col min="9" max="9" width="12.42578125" customWidth="1"/>
    <col min="13" max="13" width="15.7109375" customWidth="1"/>
    <col min="15" max="16" width="9.5703125" customWidth="1"/>
  </cols>
  <sheetData>
    <row r="1" spans="1:17" ht="12.75">
      <c r="A1" s="84" t="s">
        <v>0</v>
      </c>
      <c r="B1" s="85" t="s">
        <v>1</v>
      </c>
      <c r="C1" s="85" t="s">
        <v>2</v>
      </c>
      <c r="D1" s="85" t="s">
        <v>3</v>
      </c>
      <c r="E1" s="85" t="s">
        <v>4</v>
      </c>
      <c r="F1" s="85" t="s">
        <v>5</v>
      </c>
      <c r="G1" s="85" t="s">
        <v>6</v>
      </c>
      <c r="H1" s="85" t="s">
        <v>7</v>
      </c>
      <c r="I1" s="85" t="s">
        <v>8</v>
      </c>
      <c r="J1" s="86" t="s">
        <v>9</v>
      </c>
    </row>
    <row r="2" spans="1:17" ht="18">
      <c r="A2" s="87">
        <v>14</v>
      </c>
      <c r="B2" s="88">
        <v>40544</v>
      </c>
      <c r="C2" s="89">
        <v>1</v>
      </c>
      <c r="D2" s="89">
        <v>0</v>
      </c>
      <c r="E2" s="89">
        <v>1</v>
      </c>
      <c r="F2" s="89">
        <v>13</v>
      </c>
      <c r="G2" s="89" t="b">
        <v>0</v>
      </c>
      <c r="H2" s="89">
        <v>6</v>
      </c>
      <c r="I2" s="89">
        <v>2</v>
      </c>
      <c r="J2" s="90">
        <v>0.46</v>
      </c>
      <c r="K2" s="117" t="s">
        <v>117</v>
      </c>
      <c r="L2" s="117"/>
      <c r="M2" s="117"/>
      <c r="N2" s="117"/>
      <c r="O2" s="117"/>
      <c r="P2" s="91"/>
      <c r="Q2" s="92"/>
    </row>
    <row r="3" spans="1:17" ht="15">
      <c r="A3" s="87">
        <v>15</v>
      </c>
      <c r="B3" s="88">
        <v>40544</v>
      </c>
      <c r="C3" s="89">
        <v>1</v>
      </c>
      <c r="D3" s="89">
        <v>0</v>
      </c>
      <c r="E3" s="89">
        <v>1</v>
      </c>
      <c r="F3" s="89">
        <v>14</v>
      </c>
      <c r="G3" s="89" t="b">
        <v>0</v>
      </c>
      <c r="H3" s="89">
        <v>6</v>
      </c>
      <c r="I3" s="89">
        <v>2</v>
      </c>
      <c r="J3" s="90">
        <v>0.46</v>
      </c>
      <c r="K3" s="93"/>
      <c r="L3" s="118" t="s">
        <v>118</v>
      </c>
      <c r="M3" s="117"/>
      <c r="N3" s="117"/>
      <c r="O3" s="117"/>
      <c r="P3" s="93"/>
    </row>
    <row r="4" spans="1:17" ht="15">
      <c r="A4" s="87">
        <v>24</v>
      </c>
      <c r="B4" s="88">
        <v>40544</v>
      </c>
      <c r="C4" s="89">
        <v>1</v>
      </c>
      <c r="D4" s="89">
        <v>0</v>
      </c>
      <c r="E4" s="89">
        <v>1</v>
      </c>
      <c r="F4" s="89">
        <v>23</v>
      </c>
      <c r="G4" s="89" t="b">
        <v>0</v>
      </c>
      <c r="H4" s="89">
        <v>6</v>
      </c>
      <c r="I4" s="89">
        <v>2</v>
      </c>
      <c r="J4" s="90">
        <v>0.46</v>
      </c>
      <c r="K4" s="93"/>
      <c r="L4" s="116" t="s">
        <v>119</v>
      </c>
      <c r="M4" s="117"/>
      <c r="N4" s="117"/>
      <c r="O4" s="117"/>
      <c r="P4" s="93"/>
    </row>
    <row r="5" spans="1:17" ht="15">
      <c r="A5" s="87">
        <v>25</v>
      </c>
      <c r="B5" s="88">
        <v>40545</v>
      </c>
      <c r="C5" s="89">
        <v>1</v>
      </c>
      <c r="D5" s="89">
        <v>0</v>
      </c>
      <c r="E5" s="89">
        <v>1</v>
      </c>
      <c r="F5" s="89">
        <v>0</v>
      </c>
      <c r="G5" s="89" t="b">
        <v>0</v>
      </c>
      <c r="H5" s="89">
        <v>0</v>
      </c>
      <c r="I5" s="89">
        <v>2</v>
      </c>
      <c r="J5" s="90">
        <v>0.46</v>
      </c>
      <c r="K5" s="93"/>
      <c r="L5" s="117" t="s">
        <v>120</v>
      </c>
      <c r="M5" s="117"/>
      <c r="N5" s="117"/>
      <c r="O5" s="117"/>
      <c r="P5" s="117"/>
    </row>
    <row r="6" spans="1:17" ht="15">
      <c r="A6" s="87">
        <v>28</v>
      </c>
      <c r="B6" s="88">
        <v>40545</v>
      </c>
      <c r="C6" s="89">
        <v>1</v>
      </c>
      <c r="D6" s="89">
        <v>0</v>
      </c>
      <c r="E6" s="89">
        <v>1</v>
      </c>
      <c r="F6" s="89">
        <v>3</v>
      </c>
      <c r="G6" s="89" t="b">
        <v>0</v>
      </c>
      <c r="H6" s="89">
        <v>0</v>
      </c>
      <c r="I6" s="89">
        <v>2</v>
      </c>
      <c r="J6" s="90">
        <v>0.46</v>
      </c>
      <c r="K6" s="93"/>
      <c r="L6" s="118"/>
      <c r="M6" s="117"/>
      <c r="N6" s="117"/>
      <c r="O6" s="117"/>
      <c r="P6" s="93"/>
    </row>
    <row r="7" spans="1:17" ht="15">
      <c r="A7" s="87">
        <v>29</v>
      </c>
      <c r="B7" s="88">
        <v>40545</v>
      </c>
      <c r="C7" s="89">
        <v>1</v>
      </c>
      <c r="D7" s="89">
        <v>0</v>
      </c>
      <c r="E7" s="89">
        <v>1</v>
      </c>
      <c r="F7" s="89">
        <v>4</v>
      </c>
      <c r="G7" s="89" t="b">
        <v>0</v>
      </c>
      <c r="H7" s="89">
        <v>0</v>
      </c>
      <c r="I7" s="89">
        <v>2</v>
      </c>
      <c r="J7" s="90">
        <v>0.46</v>
      </c>
      <c r="K7" s="93"/>
      <c r="L7" s="93"/>
      <c r="M7" s="93"/>
      <c r="N7" s="93"/>
      <c r="O7" s="93"/>
      <c r="P7" s="93"/>
    </row>
    <row r="8" spans="1:17" ht="12.75">
      <c r="A8" s="87">
        <v>16</v>
      </c>
      <c r="B8" s="88">
        <v>40544</v>
      </c>
      <c r="C8" s="89">
        <v>1</v>
      </c>
      <c r="D8" s="89">
        <v>0</v>
      </c>
      <c r="E8" s="89">
        <v>1</v>
      </c>
      <c r="F8" s="89">
        <v>15</v>
      </c>
      <c r="G8" s="89" t="b">
        <v>0</v>
      </c>
      <c r="H8" s="89">
        <v>6</v>
      </c>
      <c r="I8" s="89">
        <v>2</v>
      </c>
      <c r="J8" s="90">
        <v>0.44</v>
      </c>
      <c r="K8" s="2"/>
      <c r="L8" s="2"/>
      <c r="M8" s="2"/>
      <c r="N8" s="2"/>
      <c r="O8" s="2"/>
      <c r="P8" s="2"/>
    </row>
    <row r="9" spans="1:17" ht="15">
      <c r="A9" s="87">
        <v>18</v>
      </c>
      <c r="B9" s="88">
        <v>40544</v>
      </c>
      <c r="C9" s="89">
        <v>1</v>
      </c>
      <c r="D9" s="89">
        <v>0</v>
      </c>
      <c r="E9" s="89">
        <v>1</v>
      </c>
      <c r="F9" s="89">
        <v>17</v>
      </c>
      <c r="G9" s="89" t="b">
        <v>0</v>
      </c>
      <c r="H9" s="89">
        <v>6</v>
      </c>
      <c r="I9" s="89">
        <v>2</v>
      </c>
      <c r="J9" s="90">
        <v>0.44</v>
      </c>
      <c r="K9" s="117" t="s">
        <v>121</v>
      </c>
      <c r="L9" s="117"/>
      <c r="M9" s="117"/>
      <c r="N9" s="117"/>
      <c r="O9" s="117"/>
      <c r="P9" s="2"/>
    </row>
    <row r="10" spans="1:17" ht="15">
      <c r="A10" s="87">
        <v>26</v>
      </c>
      <c r="B10" s="88">
        <v>40545</v>
      </c>
      <c r="C10" s="89">
        <v>1</v>
      </c>
      <c r="D10" s="89">
        <v>0</v>
      </c>
      <c r="E10" s="89">
        <v>1</v>
      </c>
      <c r="F10" s="89">
        <v>1</v>
      </c>
      <c r="G10" s="89" t="b">
        <v>0</v>
      </c>
      <c r="H10" s="89">
        <v>0</v>
      </c>
      <c r="I10" s="89">
        <v>2</v>
      </c>
      <c r="J10" s="90">
        <v>0.44</v>
      </c>
      <c r="K10" s="2"/>
      <c r="L10" s="94"/>
      <c r="M10" s="94"/>
      <c r="N10" s="94"/>
      <c r="O10" s="94"/>
      <c r="P10" s="2"/>
    </row>
    <row r="11" spans="1:17" ht="15">
      <c r="A11" s="87">
        <v>13</v>
      </c>
      <c r="B11" s="88">
        <v>40544</v>
      </c>
      <c r="C11" s="89">
        <v>1</v>
      </c>
      <c r="D11" s="89">
        <v>0</v>
      </c>
      <c r="E11" s="89">
        <v>1</v>
      </c>
      <c r="F11" s="89">
        <v>12</v>
      </c>
      <c r="G11" s="89" t="b">
        <v>0</v>
      </c>
      <c r="H11" s="89">
        <v>6</v>
      </c>
      <c r="I11" s="89">
        <v>1</v>
      </c>
      <c r="J11" s="90">
        <v>0.42</v>
      </c>
      <c r="K11" s="2"/>
      <c r="L11" s="95"/>
      <c r="M11" s="95"/>
      <c r="N11" s="94"/>
      <c r="O11" s="94"/>
      <c r="P11" s="2"/>
    </row>
    <row r="12" spans="1:17" ht="15">
      <c r="A12" s="87">
        <v>17</v>
      </c>
      <c r="B12" s="88">
        <v>40544</v>
      </c>
      <c r="C12" s="89">
        <v>1</v>
      </c>
      <c r="D12" s="89">
        <v>0</v>
      </c>
      <c r="E12" s="89">
        <v>1</v>
      </c>
      <c r="F12" s="89">
        <v>16</v>
      </c>
      <c r="G12" s="89" t="b">
        <v>0</v>
      </c>
      <c r="H12" s="89">
        <v>6</v>
      </c>
      <c r="I12" s="89">
        <v>2</v>
      </c>
      <c r="J12" s="90">
        <v>0.42</v>
      </c>
      <c r="K12" s="2"/>
      <c r="L12" s="95" t="s">
        <v>122</v>
      </c>
      <c r="M12" s="95"/>
      <c r="N12" s="94"/>
      <c r="O12" s="94">
        <f>COUNT(J:J)</f>
        <v>610</v>
      </c>
      <c r="P12" s="2"/>
    </row>
    <row r="13" spans="1:17" ht="15">
      <c r="A13" s="87">
        <v>19</v>
      </c>
      <c r="B13" s="88">
        <v>40544</v>
      </c>
      <c r="C13" s="89">
        <v>1</v>
      </c>
      <c r="D13" s="89">
        <v>0</v>
      </c>
      <c r="E13" s="89">
        <v>1</v>
      </c>
      <c r="F13" s="89">
        <v>18</v>
      </c>
      <c r="G13" s="89" t="b">
        <v>0</v>
      </c>
      <c r="H13" s="89">
        <v>6</v>
      </c>
      <c r="I13" s="89">
        <v>3</v>
      </c>
      <c r="J13" s="90">
        <v>0.42</v>
      </c>
      <c r="K13" s="2"/>
      <c r="L13" s="116" t="s">
        <v>123</v>
      </c>
      <c r="M13" s="116"/>
      <c r="N13" s="94"/>
      <c r="O13" s="94">
        <f>COUNTIF(G2:G611, TRUE)</f>
        <v>24</v>
      </c>
      <c r="P13" s="2"/>
    </row>
    <row r="14" spans="1:17" ht="15">
      <c r="A14" s="87">
        <v>20</v>
      </c>
      <c r="B14" s="88">
        <v>40544</v>
      </c>
      <c r="C14" s="89">
        <v>1</v>
      </c>
      <c r="D14" s="89">
        <v>0</v>
      </c>
      <c r="E14" s="89">
        <v>1</v>
      </c>
      <c r="F14" s="89">
        <v>19</v>
      </c>
      <c r="G14" s="89" t="b">
        <v>0</v>
      </c>
      <c r="H14" s="89">
        <v>6</v>
      </c>
      <c r="I14" s="89">
        <v>3</v>
      </c>
      <c r="J14" s="90">
        <v>0.42</v>
      </c>
      <c r="K14" s="2"/>
      <c r="L14" s="116" t="s">
        <v>124</v>
      </c>
      <c r="M14" s="116"/>
      <c r="O14" s="94">
        <f>COUNTIF(G3:G612, FALSE)</f>
        <v>585</v>
      </c>
      <c r="P14" s="2"/>
    </row>
    <row r="15" spans="1:17" ht="15">
      <c r="A15" s="87">
        <v>27</v>
      </c>
      <c r="B15" s="88">
        <v>40545</v>
      </c>
      <c r="C15" s="89">
        <v>1</v>
      </c>
      <c r="D15" s="89">
        <v>0</v>
      </c>
      <c r="E15" s="89">
        <v>1</v>
      </c>
      <c r="F15" s="89">
        <v>2</v>
      </c>
      <c r="G15" s="89" t="b">
        <v>0</v>
      </c>
      <c r="H15" s="89">
        <v>0</v>
      </c>
      <c r="I15" s="89">
        <v>2</v>
      </c>
      <c r="J15" s="90">
        <v>0.42</v>
      </c>
      <c r="K15" s="2"/>
      <c r="L15" s="94"/>
      <c r="M15" s="94"/>
      <c r="N15" s="94"/>
      <c r="O15" s="94"/>
      <c r="P15" s="2"/>
    </row>
    <row r="16" spans="1:17" ht="15">
      <c r="A16" s="87">
        <v>30</v>
      </c>
      <c r="B16" s="88">
        <v>40545</v>
      </c>
      <c r="C16" s="89">
        <v>1</v>
      </c>
      <c r="D16" s="89">
        <v>0</v>
      </c>
      <c r="E16" s="89">
        <v>1</v>
      </c>
      <c r="F16" s="89">
        <v>6</v>
      </c>
      <c r="G16" s="89" t="b">
        <v>0</v>
      </c>
      <c r="H16" s="89">
        <v>0</v>
      </c>
      <c r="I16" s="89">
        <v>3</v>
      </c>
      <c r="J16" s="90">
        <v>0.42</v>
      </c>
      <c r="K16" s="116" t="s">
        <v>125</v>
      </c>
      <c r="L16" s="116"/>
      <c r="M16" s="116"/>
      <c r="N16" s="116"/>
      <c r="O16" s="116"/>
      <c r="P16" s="2"/>
    </row>
    <row r="17" spans="1:16" ht="12.75">
      <c r="A17" s="87">
        <v>21</v>
      </c>
      <c r="B17" s="88">
        <v>40544</v>
      </c>
      <c r="C17" s="89">
        <v>1</v>
      </c>
      <c r="D17" s="89">
        <v>0</v>
      </c>
      <c r="E17" s="89">
        <v>1</v>
      </c>
      <c r="F17" s="89">
        <v>20</v>
      </c>
      <c r="G17" s="89" t="b">
        <v>0</v>
      </c>
      <c r="H17" s="89">
        <v>6</v>
      </c>
      <c r="I17" s="89">
        <v>2</v>
      </c>
      <c r="J17" s="90">
        <v>0.4</v>
      </c>
      <c r="K17" s="2"/>
      <c r="L17" s="2"/>
      <c r="M17" s="2"/>
      <c r="N17" s="2"/>
      <c r="O17" s="2"/>
      <c r="P17" s="2"/>
    </row>
    <row r="18" spans="1:16" ht="15">
      <c r="A18" s="87">
        <v>22</v>
      </c>
      <c r="B18" s="88">
        <v>40544</v>
      </c>
      <c r="C18" s="89">
        <v>1</v>
      </c>
      <c r="D18" s="89">
        <v>0</v>
      </c>
      <c r="E18" s="89">
        <v>1</v>
      </c>
      <c r="F18" s="89">
        <v>21</v>
      </c>
      <c r="G18" s="89" t="b">
        <v>0</v>
      </c>
      <c r="H18" s="89">
        <v>6</v>
      </c>
      <c r="I18" s="89">
        <v>2</v>
      </c>
      <c r="J18" s="90">
        <v>0.4</v>
      </c>
      <c r="K18" s="2"/>
      <c r="L18" s="116" t="s">
        <v>126</v>
      </c>
      <c r="M18" s="116"/>
      <c r="N18" s="95"/>
      <c r="O18" s="94">
        <v>40544</v>
      </c>
      <c r="P18" s="2"/>
    </row>
    <row r="19" spans="1:16" ht="15">
      <c r="A19" s="87">
        <v>23</v>
      </c>
      <c r="B19" s="88">
        <v>40544</v>
      </c>
      <c r="C19" s="89">
        <v>1</v>
      </c>
      <c r="D19" s="89">
        <v>0</v>
      </c>
      <c r="E19" s="89">
        <v>1</v>
      </c>
      <c r="F19" s="89">
        <v>22</v>
      </c>
      <c r="G19" s="89" t="b">
        <v>0</v>
      </c>
      <c r="H19" s="89">
        <v>6</v>
      </c>
      <c r="I19" s="89">
        <v>2</v>
      </c>
      <c r="J19" s="90">
        <v>0.4</v>
      </c>
      <c r="K19" s="2"/>
      <c r="L19" s="116" t="s">
        <v>127</v>
      </c>
      <c r="M19" s="116"/>
      <c r="N19" s="95"/>
      <c r="O19" s="94" t="str">
        <f>LEFT(B2,2)</f>
        <v>40</v>
      </c>
      <c r="P19" s="2"/>
    </row>
    <row r="20" spans="1:16" ht="15">
      <c r="A20" s="87">
        <v>31</v>
      </c>
      <c r="B20" s="88">
        <v>40545</v>
      </c>
      <c r="C20" s="89">
        <v>1</v>
      </c>
      <c r="D20" s="89">
        <v>0</v>
      </c>
      <c r="E20" s="89">
        <v>1</v>
      </c>
      <c r="F20" s="89">
        <v>7</v>
      </c>
      <c r="G20" s="89" t="b">
        <v>0</v>
      </c>
      <c r="H20" s="89">
        <v>0</v>
      </c>
      <c r="I20" s="89">
        <v>2</v>
      </c>
      <c r="J20" s="90">
        <v>0.4</v>
      </c>
      <c r="K20" s="2"/>
      <c r="L20" s="116" t="s">
        <v>128</v>
      </c>
      <c r="M20" s="116"/>
      <c r="N20" s="95"/>
      <c r="O20" s="94" t="str">
        <f>RIGHT(B3,2)</f>
        <v>44</v>
      </c>
      <c r="P20" s="2"/>
    </row>
    <row r="21" spans="1:16" ht="15">
      <c r="A21" s="87">
        <v>32</v>
      </c>
      <c r="B21" s="88">
        <v>40545</v>
      </c>
      <c r="C21" s="89">
        <v>1</v>
      </c>
      <c r="D21" s="89">
        <v>0</v>
      </c>
      <c r="E21" s="89">
        <v>1</v>
      </c>
      <c r="F21" s="89">
        <v>8</v>
      </c>
      <c r="G21" s="89" t="b">
        <v>0</v>
      </c>
      <c r="H21" s="89">
        <v>0</v>
      </c>
      <c r="I21" s="89">
        <v>3</v>
      </c>
      <c r="J21" s="90">
        <v>0.4</v>
      </c>
      <c r="K21" s="2"/>
      <c r="L21" s="116" t="s">
        <v>129</v>
      </c>
      <c r="M21" s="116"/>
      <c r="N21" s="116"/>
      <c r="O21" s="94">
        <f>LEN(B2)</f>
        <v>5</v>
      </c>
      <c r="P21" s="2"/>
    </row>
    <row r="22" spans="1:16" ht="15">
      <c r="A22" s="87">
        <v>421</v>
      </c>
      <c r="B22" s="88">
        <v>40562</v>
      </c>
      <c r="C22" s="89">
        <v>1</v>
      </c>
      <c r="D22" s="89">
        <v>0</v>
      </c>
      <c r="E22" s="89">
        <v>1</v>
      </c>
      <c r="F22" s="89">
        <v>13</v>
      </c>
      <c r="G22" s="89" t="b">
        <v>0</v>
      </c>
      <c r="H22" s="89">
        <v>3</v>
      </c>
      <c r="I22" s="89">
        <v>1</v>
      </c>
      <c r="J22" s="90">
        <v>0.4</v>
      </c>
      <c r="K22" s="2"/>
      <c r="L22" s="116" t="s">
        <v>130</v>
      </c>
      <c r="M22" s="116"/>
      <c r="N22" s="94"/>
      <c r="O22" s="94" t="str">
        <f>MID(B2,2,2)</f>
        <v>05</v>
      </c>
      <c r="P22" s="2"/>
    </row>
    <row r="23" spans="1:16" ht="15">
      <c r="A23" s="87">
        <v>422</v>
      </c>
      <c r="B23" s="88">
        <v>40562</v>
      </c>
      <c r="C23" s="89">
        <v>1</v>
      </c>
      <c r="D23" s="89">
        <v>0</v>
      </c>
      <c r="E23" s="89">
        <v>1</v>
      </c>
      <c r="F23" s="89">
        <v>14</v>
      </c>
      <c r="G23" s="89" t="b">
        <v>0</v>
      </c>
      <c r="H23" s="89">
        <v>3</v>
      </c>
      <c r="I23" s="89">
        <v>1</v>
      </c>
      <c r="J23" s="90">
        <v>0.4</v>
      </c>
      <c r="K23" s="2"/>
      <c r="L23" s="94"/>
      <c r="M23" s="94"/>
      <c r="N23" s="94"/>
      <c r="O23" s="94"/>
      <c r="P23" s="2"/>
    </row>
    <row r="24" spans="1:16" ht="12.75">
      <c r="A24" s="87">
        <v>423</v>
      </c>
      <c r="B24" s="88">
        <v>40562</v>
      </c>
      <c r="C24" s="89">
        <v>1</v>
      </c>
      <c r="D24" s="89">
        <v>0</v>
      </c>
      <c r="E24" s="89">
        <v>1</v>
      </c>
      <c r="F24" s="89">
        <v>15</v>
      </c>
      <c r="G24" s="89" t="b">
        <v>0</v>
      </c>
      <c r="H24" s="89">
        <v>3</v>
      </c>
      <c r="I24" s="89">
        <v>1</v>
      </c>
      <c r="J24" s="90">
        <v>0.4</v>
      </c>
      <c r="K24" s="2"/>
      <c r="L24" s="2"/>
      <c r="M24" s="2"/>
      <c r="N24" s="2"/>
      <c r="O24" s="2"/>
      <c r="P24" s="2"/>
    </row>
    <row r="25" spans="1:16" ht="12.75">
      <c r="A25" s="87">
        <v>11</v>
      </c>
      <c r="B25" s="88">
        <v>40544</v>
      </c>
      <c r="C25" s="89">
        <v>1</v>
      </c>
      <c r="D25" s="89">
        <v>0</v>
      </c>
      <c r="E25" s="89">
        <v>1</v>
      </c>
      <c r="F25" s="89">
        <v>10</v>
      </c>
      <c r="G25" s="89" t="b">
        <v>0</v>
      </c>
      <c r="H25" s="89">
        <v>6</v>
      </c>
      <c r="I25" s="89">
        <v>1</v>
      </c>
      <c r="J25" s="90">
        <v>0.38</v>
      </c>
    </row>
    <row r="26" spans="1:16" ht="12.75">
      <c r="A26" s="87">
        <v>33</v>
      </c>
      <c r="B26" s="88">
        <v>40545</v>
      </c>
      <c r="C26" s="89">
        <v>1</v>
      </c>
      <c r="D26" s="89">
        <v>0</v>
      </c>
      <c r="E26" s="89">
        <v>1</v>
      </c>
      <c r="F26" s="89">
        <v>9</v>
      </c>
      <c r="G26" s="89" t="b">
        <v>0</v>
      </c>
      <c r="H26" s="89">
        <v>0</v>
      </c>
      <c r="I26" s="89">
        <v>2</v>
      </c>
      <c r="J26" s="90">
        <v>0.38</v>
      </c>
    </row>
    <row r="27" spans="1:16" ht="12.75">
      <c r="A27" s="87">
        <v>424</v>
      </c>
      <c r="B27" s="88">
        <v>40562</v>
      </c>
      <c r="C27" s="89">
        <v>1</v>
      </c>
      <c r="D27" s="89">
        <v>0</v>
      </c>
      <c r="E27" s="89">
        <v>1</v>
      </c>
      <c r="F27" s="89">
        <v>16</v>
      </c>
      <c r="G27" s="89" t="b">
        <v>0</v>
      </c>
      <c r="H27" s="89">
        <v>3</v>
      </c>
      <c r="I27" s="89">
        <v>1</v>
      </c>
      <c r="J27" s="90">
        <v>0.38</v>
      </c>
    </row>
    <row r="28" spans="1:16" ht="12.75">
      <c r="A28" s="87">
        <v>12</v>
      </c>
      <c r="B28" s="88">
        <v>40544</v>
      </c>
      <c r="C28" s="89">
        <v>1</v>
      </c>
      <c r="D28" s="89">
        <v>0</v>
      </c>
      <c r="E28" s="89">
        <v>1</v>
      </c>
      <c r="F28" s="89">
        <v>11</v>
      </c>
      <c r="G28" s="89" t="b">
        <v>0</v>
      </c>
      <c r="H28" s="89">
        <v>6</v>
      </c>
      <c r="I28" s="89">
        <v>1</v>
      </c>
      <c r="J28" s="90">
        <v>0.36</v>
      </c>
    </row>
    <row r="29" spans="1:16" ht="12.75">
      <c r="A29" s="87">
        <v>34</v>
      </c>
      <c r="B29" s="88">
        <v>40545</v>
      </c>
      <c r="C29" s="89">
        <v>1</v>
      </c>
      <c r="D29" s="89">
        <v>0</v>
      </c>
      <c r="E29" s="89">
        <v>1</v>
      </c>
      <c r="F29" s="89">
        <v>10</v>
      </c>
      <c r="G29" s="89" t="b">
        <v>0</v>
      </c>
      <c r="H29" s="89">
        <v>0</v>
      </c>
      <c r="I29" s="89">
        <v>2</v>
      </c>
      <c r="J29" s="90">
        <v>0.36</v>
      </c>
    </row>
    <row r="30" spans="1:16" ht="12.75">
      <c r="A30" s="87">
        <v>35</v>
      </c>
      <c r="B30" s="88">
        <v>40545</v>
      </c>
      <c r="C30" s="89">
        <v>1</v>
      </c>
      <c r="D30" s="89">
        <v>0</v>
      </c>
      <c r="E30" s="89">
        <v>1</v>
      </c>
      <c r="F30" s="89">
        <v>11</v>
      </c>
      <c r="G30" s="89" t="b">
        <v>0</v>
      </c>
      <c r="H30" s="89">
        <v>0</v>
      </c>
      <c r="I30" s="89">
        <v>2</v>
      </c>
      <c r="J30" s="90">
        <v>0.36</v>
      </c>
      <c r="L30" s="96"/>
    </row>
    <row r="31" spans="1:16" ht="12.75">
      <c r="A31" s="87">
        <v>36</v>
      </c>
      <c r="B31" s="88">
        <v>40545</v>
      </c>
      <c r="C31" s="89">
        <v>1</v>
      </c>
      <c r="D31" s="89">
        <v>0</v>
      </c>
      <c r="E31" s="89">
        <v>1</v>
      </c>
      <c r="F31" s="89">
        <v>12</v>
      </c>
      <c r="G31" s="89" t="b">
        <v>0</v>
      </c>
      <c r="H31" s="89">
        <v>0</v>
      </c>
      <c r="I31" s="89">
        <v>2</v>
      </c>
      <c r="J31" s="90">
        <v>0.36</v>
      </c>
    </row>
    <row r="32" spans="1:16" ht="12.75">
      <c r="A32" s="87">
        <v>37</v>
      </c>
      <c r="B32" s="88">
        <v>40545</v>
      </c>
      <c r="C32" s="89">
        <v>1</v>
      </c>
      <c r="D32" s="89">
        <v>0</v>
      </c>
      <c r="E32" s="89">
        <v>1</v>
      </c>
      <c r="F32" s="89">
        <v>13</v>
      </c>
      <c r="G32" s="89" t="b">
        <v>0</v>
      </c>
      <c r="H32" s="89">
        <v>0</v>
      </c>
      <c r="I32" s="89">
        <v>2</v>
      </c>
      <c r="J32" s="90">
        <v>0.36</v>
      </c>
      <c r="L32" s="96"/>
    </row>
    <row r="33" spans="1:12" ht="12.75">
      <c r="A33" s="87">
        <v>38</v>
      </c>
      <c r="B33" s="88">
        <v>40545</v>
      </c>
      <c r="C33" s="89">
        <v>1</v>
      </c>
      <c r="D33" s="89">
        <v>0</v>
      </c>
      <c r="E33" s="89">
        <v>1</v>
      </c>
      <c r="F33" s="89">
        <v>14</v>
      </c>
      <c r="G33" s="89" t="b">
        <v>0</v>
      </c>
      <c r="H33" s="89">
        <v>0</v>
      </c>
      <c r="I33" s="89">
        <v>3</v>
      </c>
      <c r="J33" s="90">
        <v>0.36</v>
      </c>
    </row>
    <row r="34" spans="1:12" ht="12.75">
      <c r="A34" s="87">
        <v>42</v>
      </c>
      <c r="B34" s="88">
        <v>40545</v>
      </c>
      <c r="C34" s="89">
        <v>1</v>
      </c>
      <c r="D34" s="89">
        <v>0</v>
      </c>
      <c r="E34" s="89">
        <v>1</v>
      </c>
      <c r="F34" s="89">
        <v>18</v>
      </c>
      <c r="G34" s="89" t="b">
        <v>0</v>
      </c>
      <c r="H34" s="89">
        <v>0</v>
      </c>
      <c r="I34" s="89">
        <v>2</v>
      </c>
      <c r="J34" s="90">
        <v>0.36</v>
      </c>
      <c r="L34" s="96"/>
    </row>
    <row r="35" spans="1:12" ht="12.75">
      <c r="A35" s="87">
        <v>425</v>
      </c>
      <c r="B35" s="88">
        <v>40562</v>
      </c>
      <c r="C35" s="89">
        <v>1</v>
      </c>
      <c r="D35" s="89">
        <v>0</v>
      </c>
      <c r="E35" s="89">
        <v>1</v>
      </c>
      <c r="F35" s="89">
        <v>17</v>
      </c>
      <c r="G35" s="89" t="b">
        <v>0</v>
      </c>
      <c r="H35" s="89">
        <v>3</v>
      </c>
      <c r="I35" s="89">
        <v>1</v>
      </c>
      <c r="J35" s="90">
        <v>0.36</v>
      </c>
    </row>
    <row r="36" spans="1:12" ht="12.75">
      <c r="A36" s="87">
        <v>39</v>
      </c>
      <c r="B36" s="88">
        <v>40545</v>
      </c>
      <c r="C36" s="89">
        <v>1</v>
      </c>
      <c r="D36" s="89">
        <v>0</v>
      </c>
      <c r="E36" s="89">
        <v>1</v>
      </c>
      <c r="F36" s="89">
        <v>15</v>
      </c>
      <c r="G36" s="89" t="b">
        <v>0</v>
      </c>
      <c r="H36" s="89">
        <v>0</v>
      </c>
      <c r="I36" s="89">
        <v>3</v>
      </c>
      <c r="J36" s="90">
        <v>0.34</v>
      </c>
    </row>
    <row r="37" spans="1:12" ht="12.75">
      <c r="A37" s="87">
        <v>40</v>
      </c>
      <c r="B37" s="88">
        <v>40545</v>
      </c>
      <c r="C37" s="89">
        <v>1</v>
      </c>
      <c r="D37" s="89">
        <v>0</v>
      </c>
      <c r="E37" s="89">
        <v>1</v>
      </c>
      <c r="F37" s="89">
        <v>16</v>
      </c>
      <c r="G37" s="89" t="b">
        <v>0</v>
      </c>
      <c r="H37" s="89">
        <v>0</v>
      </c>
      <c r="I37" s="89">
        <v>3</v>
      </c>
      <c r="J37" s="90">
        <v>0.34</v>
      </c>
    </row>
    <row r="38" spans="1:12" ht="12.75">
      <c r="A38" s="87">
        <v>41</v>
      </c>
      <c r="B38" s="88">
        <v>40545</v>
      </c>
      <c r="C38" s="89">
        <v>1</v>
      </c>
      <c r="D38" s="89">
        <v>0</v>
      </c>
      <c r="E38" s="89">
        <v>1</v>
      </c>
      <c r="F38" s="89">
        <v>17</v>
      </c>
      <c r="G38" s="89" t="b">
        <v>0</v>
      </c>
      <c r="H38" s="89">
        <v>0</v>
      </c>
      <c r="I38" s="89">
        <v>1</v>
      </c>
      <c r="J38" s="90">
        <v>0.34</v>
      </c>
    </row>
    <row r="39" spans="1:12" ht="12.75">
      <c r="A39" s="87">
        <v>341</v>
      </c>
      <c r="B39" s="88">
        <v>40558</v>
      </c>
      <c r="C39" s="89">
        <v>1</v>
      </c>
      <c r="D39" s="89">
        <v>0</v>
      </c>
      <c r="E39" s="89">
        <v>1</v>
      </c>
      <c r="F39" s="89">
        <v>16</v>
      </c>
      <c r="G39" s="89" t="b">
        <v>0</v>
      </c>
      <c r="H39" s="89">
        <v>6</v>
      </c>
      <c r="I39" s="89">
        <v>2</v>
      </c>
      <c r="J39" s="90">
        <v>0.34</v>
      </c>
    </row>
    <row r="40" spans="1:12" ht="12.75">
      <c r="A40" s="87">
        <v>426</v>
      </c>
      <c r="B40" s="88">
        <v>40562</v>
      </c>
      <c r="C40" s="89">
        <v>1</v>
      </c>
      <c r="D40" s="89">
        <v>0</v>
      </c>
      <c r="E40" s="89">
        <v>1</v>
      </c>
      <c r="F40" s="89">
        <v>18</v>
      </c>
      <c r="G40" s="89" t="b">
        <v>0</v>
      </c>
      <c r="H40" s="89">
        <v>3</v>
      </c>
      <c r="I40" s="89">
        <v>1</v>
      </c>
      <c r="J40" s="90">
        <v>0.34</v>
      </c>
    </row>
    <row r="41" spans="1:12" ht="12.75">
      <c r="A41" s="87">
        <v>10</v>
      </c>
      <c r="B41" s="88">
        <v>40544</v>
      </c>
      <c r="C41" s="89">
        <v>1</v>
      </c>
      <c r="D41" s="89">
        <v>0</v>
      </c>
      <c r="E41" s="89">
        <v>1</v>
      </c>
      <c r="F41" s="89">
        <v>9</v>
      </c>
      <c r="G41" s="89" t="b">
        <v>0</v>
      </c>
      <c r="H41" s="89">
        <v>6</v>
      </c>
      <c r="I41" s="89">
        <v>1</v>
      </c>
      <c r="J41" s="90">
        <v>0.32</v>
      </c>
    </row>
    <row r="42" spans="1:12" ht="12.75">
      <c r="A42" s="87">
        <v>43</v>
      </c>
      <c r="B42" s="88">
        <v>40545</v>
      </c>
      <c r="C42" s="89">
        <v>1</v>
      </c>
      <c r="D42" s="89">
        <v>0</v>
      </c>
      <c r="E42" s="89">
        <v>1</v>
      </c>
      <c r="F42" s="89">
        <v>19</v>
      </c>
      <c r="G42" s="89" t="b">
        <v>0</v>
      </c>
      <c r="H42" s="89">
        <v>0</v>
      </c>
      <c r="I42" s="89">
        <v>1</v>
      </c>
      <c r="J42" s="90">
        <v>0.32</v>
      </c>
    </row>
    <row r="43" spans="1:12" ht="12.75">
      <c r="A43" s="87">
        <v>340</v>
      </c>
      <c r="B43" s="88">
        <v>40558</v>
      </c>
      <c r="C43" s="89">
        <v>1</v>
      </c>
      <c r="D43" s="89">
        <v>0</v>
      </c>
      <c r="E43" s="89">
        <v>1</v>
      </c>
      <c r="F43" s="89">
        <v>15</v>
      </c>
      <c r="G43" s="89" t="b">
        <v>0</v>
      </c>
      <c r="H43" s="89">
        <v>6</v>
      </c>
      <c r="I43" s="89">
        <v>2</v>
      </c>
      <c r="J43" s="90">
        <v>0.32</v>
      </c>
    </row>
    <row r="44" spans="1:12" ht="12.75">
      <c r="A44" s="87">
        <v>342</v>
      </c>
      <c r="B44" s="88">
        <v>40558</v>
      </c>
      <c r="C44" s="89">
        <v>1</v>
      </c>
      <c r="D44" s="89">
        <v>0</v>
      </c>
      <c r="E44" s="89">
        <v>1</v>
      </c>
      <c r="F44" s="89">
        <v>17</v>
      </c>
      <c r="G44" s="89" t="b">
        <v>0</v>
      </c>
      <c r="H44" s="89">
        <v>6</v>
      </c>
      <c r="I44" s="89">
        <v>2</v>
      </c>
      <c r="J44" s="90">
        <v>0.32</v>
      </c>
    </row>
    <row r="45" spans="1:12" ht="12.75">
      <c r="A45" s="87">
        <v>344</v>
      </c>
      <c r="B45" s="88">
        <v>40558</v>
      </c>
      <c r="C45" s="89">
        <v>1</v>
      </c>
      <c r="D45" s="89">
        <v>0</v>
      </c>
      <c r="E45" s="89">
        <v>1</v>
      </c>
      <c r="F45" s="89">
        <v>19</v>
      </c>
      <c r="G45" s="89" t="b">
        <v>0</v>
      </c>
      <c r="H45" s="89">
        <v>6</v>
      </c>
      <c r="I45" s="89">
        <v>2</v>
      </c>
      <c r="J45" s="90">
        <v>0.32</v>
      </c>
    </row>
    <row r="46" spans="1:12" ht="12.75">
      <c r="A46" s="87">
        <v>345</v>
      </c>
      <c r="B46" s="88">
        <v>40558</v>
      </c>
      <c r="C46" s="89">
        <v>1</v>
      </c>
      <c r="D46" s="89">
        <v>0</v>
      </c>
      <c r="E46" s="89">
        <v>1</v>
      </c>
      <c r="F46" s="89">
        <v>20</v>
      </c>
      <c r="G46" s="89" t="b">
        <v>0</v>
      </c>
      <c r="H46" s="89">
        <v>6</v>
      </c>
      <c r="I46" s="89">
        <v>2</v>
      </c>
      <c r="J46" s="90">
        <v>0.32</v>
      </c>
    </row>
    <row r="47" spans="1:12" ht="12.75">
      <c r="A47" s="87">
        <v>346</v>
      </c>
      <c r="B47" s="88">
        <v>40558</v>
      </c>
      <c r="C47" s="89">
        <v>1</v>
      </c>
      <c r="D47" s="89">
        <v>0</v>
      </c>
      <c r="E47" s="89">
        <v>1</v>
      </c>
      <c r="F47" s="89">
        <v>21</v>
      </c>
      <c r="G47" s="89" t="b">
        <v>0</v>
      </c>
      <c r="H47" s="89">
        <v>6</v>
      </c>
      <c r="I47" s="89">
        <v>2</v>
      </c>
      <c r="J47" s="90">
        <v>0.32</v>
      </c>
    </row>
    <row r="48" spans="1:12" ht="12.75">
      <c r="A48" s="87">
        <v>427</v>
      </c>
      <c r="B48" s="88">
        <v>40562</v>
      </c>
      <c r="C48" s="89">
        <v>1</v>
      </c>
      <c r="D48" s="89">
        <v>0</v>
      </c>
      <c r="E48" s="89">
        <v>1</v>
      </c>
      <c r="F48" s="89">
        <v>19</v>
      </c>
      <c r="G48" s="89" t="b">
        <v>0</v>
      </c>
      <c r="H48" s="89">
        <v>3</v>
      </c>
      <c r="I48" s="89">
        <v>1</v>
      </c>
      <c r="J48" s="90">
        <v>0.32</v>
      </c>
    </row>
    <row r="49" spans="1:10" ht="12.75">
      <c r="A49" s="87">
        <v>428</v>
      </c>
      <c r="B49" s="88">
        <v>40562</v>
      </c>
      <c r="C49" s="89">
        <v>1</v>
      </c>
      <c r="D49" s="89">
        <v>0</v>
      </c>
      <c r="E49" s="89">
        <v>1</v>
      </c>
      <c r="F49" s="89">
        <v>20</v>
      </c>
      <c r="G49" s="89" t="b">
        <v>0</v>
      </c>
      <c r="H49" s="89">
        <v>3</v>
      </c>
      <c r="I49" s="89">
        <v>1</v>
      </c>
      <c r="J49" s="90">
        <v>0.32</v>
      </c>
    </row>
    <row r="50" spans="1:10" ht="12.75">
      <c r="A50" s="87">
        <v>429</v>
      </c>
      <c r="B50" s="88">
        <v>40562</v>
      </c>
      <c r="C50" s="89">
        <v>1</v>
      </c>
      <c r="D50" s="89">
        <v>0</v>
      </c>
      <c r="E50" s="89">
        <v>1</v>
      </c>
      <c r="F50" s="89">
        <v>21</v>
      </c>
      <c r="G50" s="89" t="b">
        <v>0</v>
      </c>
      <c r="H50" s="89">
        <v>3</v>
      </c>
      <c r="I50" s="89">
        <v>1</v>
      </c>
      <c r="J50" s="90">
        <v>0.32</v>
      </c>
    </row>
    <row r="51" spans="1:10" ht="12.75">
      <c r="A51" s="87">
        <v>447</v>
      </c>
      <c r="B51" s="88">
        <v>40563</v>
      </c>
      <c r="C51" s="89">
        <v>1</v>
      </c>
      <c r="D51" s="89">
        <v>0</v>
      </c>
      <c r="E51" s="89">
        <v>1</v>
      </c>
      <c r="F51" s="89">
        <v>15</v>
      </c>
      <c r="G51" s="89" t="b">
        <v>0</v>
      </c>
      <c r="H51" s="89">
        <v>4</v>
      </c>
      <c r="I51" s="89">
        <v>2</v>
      </c>
      <c r="J51" s="90">
        <v>0.32</v>
      </c>
    </row>
    <row r="52" spans="1:10" ht="12.75">
      <c r="A52" s="87">
        <v>563</v>
      </c>
      <c r="B52" s="88">
        <v>40568</v>
      </c>
      <c r="C52" s="89">
        <v>1</v>
      </c>
      <c r="D52" s="89">
        <v>0</v>
      </c>
      <c r="E52" s="89">
        <v>1</v>
      </c>
      <c r="F52" s="89">
        <v>15</v>
      </c>
      <c r="G52" s="89" t="b">
        <v>0</v>
      </c>
      <c r="H52" s="89">
        <v>2</v>
      </c>
      <c r="I52" s="89">
        <v>2</v>
      </c>
      <c r="J52" s="90">
        <v>0.32</v>
      </c>
    </row>
    <row r="53" spans="1:10" ht="12.75">
      <c r="A53" s="87">
        <v>564</v>
      </c>
      <c r="B53" s="88">
        <v>40568</v>
      </c>
      <c r="C53" s="89">
        <v>1</v>
      </c>
      <c r="D53" s="89">
        <v>0</v>
      </c>
      <c r="E53" s="89">
        <v>1</v>
      </c>
      <c r="F53" s="89">
        <v>16</v>
      </c>
      <c r="G53" s="89" t="b">
        <v>0</v>
      </c>
      <c r="H53" s="89">
        <v>2</v>
      </c>
      <c r="I53" s="89">
        <v>2</v>
      </c>
      <c r="J53" s="90">
        <v>0.32</v>
      </c>
    </row>
    <row r="54" spans="1:10" ht="12.75">
      <c r="A54" s="87">
        <v>44</v>
      </c>
      <c r="B54" s="88">
        <v>40545</v>
      </c>
      <c r="C54" s="89">
        <v>1</v>
      </c>
      <c r="D54" s="89">
        <v>0</v>
      </c>
      <c r="E54" s="89">
        <v>1</v>
      </c>
      <c r="F54" s="89">
        <v>20</v>
      </c>
      <c r="G54" s="89" t="b">
        <v>0</v>
      </c>
      <c r="H54" s="89">
        <v>0</v>
      </c>
      <c r="I54" s="89">
        <v>1</v>
      </c>
      <c r="J54" s="90">
        <v>0.3</v>
      </c>
    </row>
    <row r="55" spans="1:10" ht="12.75">
      <c r="A55" s="87">
        <v>85</v>
      </c>
      <c r="B55" s="88">
        <v>40547</v>
      </c>
      <c r="C55" s="89">
        <v>1</v>
      </c>
      <c r="D55" s="89">
        <v>0</v>
      </c>
      <c r="E55" s="89">
        <v>1</v>
      </c>
      <c r="F55" s="89">
        <v>16</v>
      </c>
      <c r="G55" s="89" t="b">
        <v>0</v>
      </c>
      <c r="H55" s="89">
        <v>2</v>
      </c>
      <c r="I55" s="89">
        <v>1</v>
      </c>
      <c r="J55" s="90">
        <v>0.3</v>
      </c>
    </row>
    <row r="56" spans="1:10" ht="12.75">
      <c r="A56" s="87">
        <v>106</v>
      </c>
      <c r="B56" s="88">
        <v>40548</v>
      </c>
      <c r="C56" s="89">
        <v>1</v>
      </c>
      <c r="D56" s="89">
        <v>0</v>
      </c>
      <c r="E56" s="89">
        <v>1</v>
      </c>
      <c r="F56" s="89">
        <v>14</v>
      </c>
      <c r="G56" s="89" t="b">
        <v>0</v>
      </c>
      <c r="H56" s="89">
        <v>3</v>
      </c>
      <c r="I56" s="89">
        <v>1</v>
      </c>
      <c r="J56" s="90">
        <v>0.3</v>
      </c>
    </row>
    <row r="57" spans="1:10" ht="12.75">
      <c r="A57" s="87">
        <v>107</v>
      </c>
      <c r="B57" s="88">
        <v>40548</v>
      </c>
      <c r="C57" s="89">
        <v>1</v>
      </c>
      <c r="D57" s="89">
        <v>0</v>
      </c>
      <c r="E57" s="89">
        <v>1</v>
      </c>
      <c r="F57" s="89">
        <v>15</v>
      </c>
      <c r="G57" s="89" t="b">
        <v>0</v>
      </c>
      <c r="H57" s="89">
        <v>3</v>
      </c>
      <c r="I57" s="89">
        <v>1</v>
      </c>
      <c r="J57" s="90">
        <v>0.3</v>
      </c>
    </row>
    <row r="58" spans="1:10" ht="12.75">
      <c r="A58" s="87">
        <v>108</v>
      </c>
      <c r="B58" s="88">
        <v>40548</v>
      </c>
      <c r="C58" s="89">
        <v>1</v>
      </c>
      <c r="D58" s="89">
        <v>0</v>
      </c>
      <c r="E58" s="89">
        <v>1</v>
      </c>
      <c r="F58" s="89">
        <v>16</v>
      </c>
      <c r="G58" s="89" t="b">
        <v>0</v>
      </c>
      <c r="H58" s="89">
        <v>3</v>
      </c>
      <c r="I58" s="89">
        <v>1</v>
      </c>
      <c r="J58" s="90">
        <v>0.3</v>
      </c>
    </row>
    <row r="59" spans="1:10" ht="12.75">
      <c r="A59" s="87">
        <v>339</v>
      </c>
      <c r="B59" s="88">
        <v>40558</v>
      </c>
      <c r="C59" s="89">
        <v>1</v>
      </c>
      <c r="D59" s="89">
        <v>0</v>
      </c>
      <c r="E59" s="89">
        <v>1</v>
      </c>
      <c r="F59" s="89">
        <v>14</v>
      </c>
      <c r="G59" s="89" t="b">
        <v>0</v>
      </c>
      <c r="H59" s="89">
        <v>6</v>
      </c>
      <c r="I59" s="89">
        <v>1</v>
      </c>
      <c r="J59" s="90">
        <v>0.3</v>
      </c>
    </row>
    <row r="60" spans="1:10" ht="12.75">
      <c r="A60" s="87">
        <v>343</v>
      </c>
      <c r="B60" s="88">
        <v>40558</v>
      </c>
      <c r="C60" s="89">
        <v>1</v>
      </c>
      <c r="D60" s="89">
        <v>0</v>
      </c>
      <c r="E60" s="89">
        <v>1</v>
      </c>
      <c r="F60" s="89">
        <v>18</v>
      </c>
      <c r="G60" s="89" t="b">
        <v>0</v>
      </c>
      <c r="H60" s="89">
        <v>6</v>
      </c>
      <c r="I60" s="89">
        <v>2</v>
      </c>
      <c r="J60" s="90">
        <v>0.3</v>
      </c>
    </row>
    <row r="61" spans="1:10" ht="12.75">
      <c r="A61" s="87">
        <v>347</v>
      </c>
      <c r="B61" s="88">
        <v>40558</v>
      </c>
      <c r="C61" s="89">
        <v>1</v>
      </c>
      <c r="D61" s="89">
        <v>0</v>
      </c>
      <c r="E61" s="89">
        <v>1</v>
      </c>
      <c r="F61" s="89">
        <v>22</v>
      </c>
      <c r="G61" s="89" t="b">
        <v>0</v>
      </c>
      <c r="H61" s="89">
        <v>6</v>
      </c>
      <c r="I61" s="89">
        <v>2</v>
      </c>
      <c r="J61" s="90">
        <v>0.3</v>
      </c>
    </row>
    <row r="62" spans="1:10" ht="12.75">
      <c r="A62" s="87">
        <v>348</v>
      </c>
      <c r="B62" s="88">
        <v>40558</v>
      </c>
      <c r="C62" s="89">
        <v>1</v>
      </c>
      <c r="D62" s="89">
        <v>0</v>
      </c>
      <c r="E62" s="89">
        <v>1</v>
      </c>
      <c r="F62" s="89">
        <v>23</v>
      </c>
      <c r="G62" s="89" t="b">
        <v>0</v>
      </c>
      <c r="H62" s="89">
        <v>6</v>
      </c>
      <c r="I62" s="89">
        <v>1</v>
      </c>
      <c r="J62" s="90">
        <v>0.3</v>
      </c>
    </row>
    <row r="63" spans="1:10" ht="12.75">
      <c r="A63" s="87">
        <v>420</v>
      </c>
      <c r="B63" s="88">
        <v>40562</v>
      </c>
      <c r="C63" s="89">
        <v>1</v>
      </c>
      <c r="D63" s="89">
        <v>0</v>
      </c>
      <c r="E63" s="89">
        <v>1</v>
      </c>
      <c r="F63" s="89">
        <v>12</v>
      </c>
      <c r="G63" s="89" t="b">
        <v>0</v>
      </c>
      <c r="H63" s="89">
        <v>3</v>
      </c>
      <c r="I63" s="89">
        <v>2</v>
      </c>
      <c r="J63" s="90">
        <v>0.3</v>
      </c>
    </row>
    <row r="64" spans="1:10" ht="12.75">
      <c r="A64" s="87">
        <v>430</v>
      </c>
      <c r="B64" s="88">
        <v>40562</v>
      </c>
      <c r="C64" s="89">
        <v>1</v>
      </c>
      <c r="D64" s="89">
        <v>0</v>
      </c>
      <c r="E64" s="89">
        <v>1</v>
      </c>
      <c r="F64" s="89">
        <v>22</v>
      </c>
      <c r="G64" s="89" t="b">
        <v>0</v>
      </c>
      <c r="H64" s="89">
        <v>3</v>
      </c>
      <c r="I64" s="89">
        <v>1</v>
      </c>
      <c r="J64" s="90">
        <v>0.3</v>
      </c>
    </row>
    <row r="65" spans="1:10" ht="12.75">
      <c r="A65" s="87">
        <v>431</v>
      </c>
      <c r="B65" s="88">
        <v>40562</v>
      </c>
      <c r="C65" s="89">
        <v>1</v>
      </c>
      <c r="D65" s="89">
        <v>0</v>
      </c>
      <c r="E65" s="89">
        <v>1</v>
      </c>
      <c r="F65" s="89">
        <v>23</v>
      </c>
      <c r="G65" s="89" t="b">
        <v>0</v>
      </c>
      <c r="H65" s="89">
        <v>3</v>
      </c>
      <c r="I65" s="89">
        <v>1</v>
      </c>
      <c r="J65" s="90">
        <v>0.3</v>
      </c>
    </row>
    <row r="66" spans="1:10" ht="12.75">
      <c r="A66" s="87">
        <v>444</v>
      </c>
      <c r="B66" s="88">
        <v>40563</v>
      </c>
      <c r="C66" s="89">
        <v>1</v>
      </c>
      <c r="D66" s="89">
        <v>0</v>
      </c>
      <c r="E66" s="89">
        <v>1</v>
      </c>
      <c r="F66" s="89">
        <v>12</v>
      </c>
      <c r="G66" s="89" t="b">
        <v>0</v>
      </c>
      <c r="H66" s="89">
        <v>4</v>
      </c>
      <c r="I66" s="89">
        <v>2</v>
      </c>
      <c r="J66" s="90">
        <v>0.3</v>
      </c>
    </row>
    <row r="67" spans="1:10" ht="12.75">
      <c r="A67" s="87">
        <v>446</v>
      </c>
      <c r="B67" s="88">
        <v>40563</v>
      </c>
      <c r="C67" s="89">
        <v>1</v>
      </c>
      <c r="D67" s="89">
        <v>0</v>
      </c>
      <c r="E67" s="89">
        <v>1</v>
      </c>
      <c r="F67" s="89">
        <v>14</v>
      </c>
      <c r="G67" s="89" t="b">
        <v>0</v>
      </c>
      <c r="H67" s="89">
        <v>4</v>
      </c>
      <c r="I67" s="89">
        <v>2</v>
      </c>
      <c r="J67" s="90">
        <v>0.3</v>
      </c>
    </row>
    <row r="68" spans="1:10" ht="12.75">
      <c r="A68" s="87">
        <v>448</v>
      </c>
      <c r="B68" s="88">
        <v>40563</v>
      </c>
      <c r="C68" s="89">
        <v>1</v>
      </c>
      <c r="D68" s="89">
        <v>0</v>
      </c>
      <c r="E68" s="89">
        <v>1</v>
      </c>
      <c r="F68" s="89">
        <v>16</v>
      </c>
      <c r="G68" s="89" t="b">
        <v>0</v>
      </c>
      <c r="H68" s="89">
        <v>4</v>
      </c>
      <c r="I68" s="89">
        <v>2</v>
      </c>
      <c r="J68" s="90">
        <v>0.3</v>
      </c>
    </row>
    <row r="69" spans="1:10" ht="12.75">
      <c r="A69" s="87">
        <v>449</v>
      </c>
      <c r="B69" s="88">
        <v>40563</v>
      </c>
      <c r="C69" s="89">
        <v>1</v>
      </c>
      <c r="D69" s="89">
        <v>0</v>
      </c>
      <c r="E69" s="89">
        <v>1</v>
      </c>
      <c r="F69" s="89">
        <v>17</v>
      </c>
      <c r="G69" s="89" t="b">
        <v>0</v>
      </c>
      <c r="H69" s="89">
        <v>4</v>
      </c>
      <c r="I69" s="89">
        <v>2</v>
      </c>
      <c r="J69" s="90">
        <v>0.3</v>
      </c>
    </row>
    <row r="70" spans="1:10" ht="12.75">
      <c r="A70" s="87">
        <v>562</v>
      </c>
      <c r="B70" s="88">
        <v>40568</v>
      </c>
      <c r="C70" s="89">
        <v>1</v>
      </c>
      <c r="D70" s="89">
        <v>0</v>
      </c>
      <c r="E70" s="89">
        <v>1</v>
      </c>
      <c r="F70" s="89">
        <v>14</v>
      </c>
      <c r="G70" s="89" t="b">
        <v>0</v>
      </c>
      <c r="H70" s="89">
        <v>2</v>
      </c>
      <c r="I70" s="89">
        <v>2</v>
      </c>
      <c r="J70" s="90">
        <v>0.3</v>
      </c>
    </row>
    <row r="71" spans="1:10" ht="12.75">
      <c r="A71" s="87">
        <v>565</v>
      </c>
      <c r="B71" s="88">
        <v>40568</v>
      </c>
      <c r="C71" s="89">
        <v>1</v>
      </c>
      <c r="D71" s="89">
        <v>0</v>
      </c>
      <c r="E71" s="89">
        <v>1</v>
      </c>
      <c r="F71" s="89">
        <v>17</v>
      </c>
      <c r="G71" s="89" t="b">
        <v>0</v>
      </c>
      <c r="H71" s="89">
        <v>2</v>
      </c>
      <c r="I71" s="89">
        <v>1</v>
      </c>
      <c r="J71" s="90">
        <v>0.3</v>
      </c>
    </row>
    <row r="72" spans="1:10" ht="12.75">
      <c r="A72" s="87">
        <v>566</v>
      </c>
      <c r="B72" s="88">
        <v>40568</v>
      </c>
      <c r="C72" s="89">
        <v>1</v>
      </c>
      <c r="D72" s="89">
        <v>0</v>
      </c>
      <c r="E72" s="89">
        <v>1</v>
      </c>
      <c r="F72" s="89">
        <v>18</v>
      </c>
      <c r="G72" s="89" t="b">
        <v>0</v>
      </c>
      <c r="H72" s="89">
        <v>2</v>
      </c>
      <c r="I72" s="89">
        <v>2</v>
      </c>
      <c r="J72" s="90">
        <v>0.3</v>
      </c>
    </row>
    <row r="73" spans="1:10" ht="12.75">
      <c r="A73" s="87">
        <v>84</v>
      </c>
      <c r="B73" s="88">
        <v>40547</v>
      </c>
      <c r="C73" s="89">
        <v>1</v>
      </c>
      <c r="D73" s="89">
        <v>0</v>
      </c>
      <c r="E73" s="89">
        <v>1</v>
      </c>
      <c r="F73" s="89">
        <v>15</v>
      </c>
      <c r="G73" s="89" t="b">
        <v>0</v>
      </c>
      <c r="H73" s="89">
        <v>2</v>
      </c>
      <c r="I73" s="89">
        <v>1</v>
      </c>
      <c r="J73" s="90">
        <v>0.28000000000000003</v>
      </c>
    </row>
    <row r="74" spans="1:10" ht="12.75">
      <c r="A74" s="87">
        <v>86</v>
      </c>
      <c r="B74" s="88">
        <v>40547</v>
      </c>
      <c r="C74" s="89">
        <v>1</v>
      </c>
      <c r="D74" s="89">
        <v>0</v>
      </c>
      <c r="E74" s="89">
        <v>1</v>
      </c>
      <c r="F74" s="89">
        <v>17</v>
      </c>
      <c r="G74" s="89" t="b">
        <v>0</v>
      </c>
      <c r="H74" s="89">
        <v>2</v>
      </c>
      <c r="I74" s="89">
        <v>1</v>
      </c>
      <c r="J74" s="90">
        <v>0.28000000000000003</v>
      </c>
    </row>
    <row r="75" spans="1:10" ht="12.75">
      <c r="A75" s="87">
        <v>105</v>
      </c>
      <c r="B75" s="88">
        <v>40548</v>
      </c>
      <c r="C75" s="89">
        <v>1</v>
      </c>
      <c r="D75" s="89">
        <v>0</v>
      </c>
      <c r="E75" s="89">
        <v>1</v>
      </c>
      <c r="F75" s="89">
        <v>13</v>
      </c>
      <c r="G75" s="89" t="b">
        <v>0</v>
      </c>
      <c r="H75" s="89">
        <v>3</v>
      </c>
      <c r="I75" s="89">
        <v>1</v>
      </c>
      <c r="J75" s="90">
        <v>0.28000000000000003</v>
      </c>
    </row>
    <row r="76" spans="1:10" ht="12.75">
      <c r="A76" s="87">
        <v>129</v>
      </c>
      <c r="B76" s="88">
        <v>40549</v>
      </c>
      <c r="C76" s="89">
        <v>1</v>
      </c>
      <c r="D76" s="89">
        <v>0</v>
      </c>
      <c r="E76" s="89">
        <v>1</v>
      </c>
      <c r="F76" s="89">
        <v>14</v>
      </c>
      <c r="G76" s="89" t="b">
        <v>0</v>
      </c>
      <c r="H76" s="89">
        <v>4</v>
      </c>
      <c r="I76" s="89">
        <v>1</v>
      </c>
      <c r="J76" s="90">
        <v>0.28000000000000003</v>
      </c>
    </row>
    <row r="77" spans="1:10" ht="12.75">
      <c r="A77" s="87">
        <v>130</v>
      </c>
      <c r="B77" s="88">
        <v>40549</v>
      </c>
      <c r="C77" s="89">
        <v>1</v>
      </c>
      <c r="D77" s="89">
        <v>0</v>
      </c>
      <c r="E77" s="89">
        <v>1</v>
      </c>
      <c r="F77" s="89">
        <v>15</v>
      </c>
      <c r="G77" s="89" t="b">
        <v>0</v>
      </c>
      <c r="H77" s="89">
        <v>4</v>
      </c>
      <c r="I77" s="89">
        <v>1</v>
      </c>
      <c r="J77" s="90">
        <v>0.28000000000000003</v>
      </c>
    </row>
    <row r="78" spans="1:10" ht="12.75">
      <c r="A78" s="87">
        <v>338</v>
      </c>
      <c r="B78" s="88">
        <v>40558</v>
      </c>
      <c r="C78" s="89">
        <v>1</v>
      </c>
      <c r="D78" s="89">
        <v>0</v>
      </c>
      <c r="E78" s="89">
        <v>1</v>
      </c>
      <c r="F78" s="89">
        <v>13</v>
      </c>
      <c r="G78" s="89" t="b">
        <v>0</v>
      </c>
      <c r="H78" s="89">
        <v>6</v>
      </c>
      <c r="I78" s="89">
        <v>1</v>
      </c>
      <c r="J78" s="90">
        <v>0.28000000000000003</v>
      </c>
    </row>
    <row r="79" spans="1:10" ht="12.75">
      <c r="A79" s="87">
        <v>363</v>
      </c>
      <c r="B79" s="88">
        <v>40559</v>
      </c>
      <c r="C79" s="89">
        <v>1</v>
      </c>
      <c r="D79" s="89">
        <v>0</v>
      </c>
      <c r="E79" s="89">
        <v>1</v>
      </c>
      <c r="F79" s="89">
        <v>14</v>
      </c>
      <c r="G79" s="89" t="b">
        <v>0</v>
      </c>
      <c r="H79" s="89">
        <v>0</v>
      </c>
      <c r="I79" s="89">
        <v>1</v>
      </c>
      <c r="J79" s="90">
        <v>0.28000000000000003</v>
      </c>
    </row>
    <row r="80" spans="1:10" ht="12.75">
      <c r="A80" s="87">
        <v>419</v>
      </c>
      <c r="B80" s="88">
        <v>40562</v>
      </c>
      <c r="C80" s="89">
        <v>1</v>
      </c>
      <c r="D80" s="89">
        <v>0</v>
      </c>
      <c r="E80" s="89">
        <v>1</v>
      </c>
      <c r="F80" s="89">
        <v>11</v>
      </c>
      <c r="G80" s="89" t="b">
        <v>0</v>
      </c>
      <c r="H80" s="89">
        <v>3</v>
      </c>
      <c r="I80" s="89">
        <v>2</v>
      </c>
      <c r="J80" s="90">
        <v>0.28000000000000003</v>
      </c>
    </row>
    <row r="81" spans="1:10" ht="12.75">
      <c r="A81" s="87">
        <v>443</v>
      </c>
      <c r="B81" s="88">
        <v>40563</v>
      </c>
      <c r="C81" s="89">
        <v>1</v>
      </c>
      <c r="D81" s="89">
        <v>0</v>
      </c>
      <c r="E81" s="89">
        <v>1</v>
      </c>
      <c r="F81" s="89">
        <v>11</v>
      </c>
      <c r="G81" s="89" t="b">
        <v>0</v>
      </c>
      <c r="H81" s="89">
        <v>4</v>
      </c>
      <c r="I81" s="89">
        <v>2</v>
      </c>
      <c r="J81" s="90">
        <v>0.28000000000000003</v>
      </c>
    </row>
    <row r="82" spans="1:10" ht="12.75">
      <c r="A82" s="87">
        <v>445</v>
      </c>
      <c r="B82" s="88">
        <v>40563</v>
      </c>
      <c r="C82" s="89">
        <v>1</v>
      </c>
      <c r="D82" s="89">
        <v>0</v>
      </c>
      <c r="E82" s="89">
        <v>1</v>
      </c>
      <c r="F82" s="89">
        <v>13</v>
      </c>
      <c r="G82" s="89" t="b">
        <v>0</v>
      </c>
      <c r="H82" s="89">
        <v>4</v>
      </c>
      <c r="I82" s="89">
        <v>2</v>
      </c>
      <c r="J82" s="90">
        <v>0.28000000000000003</v>
      </c>
    </row>
    <row r="83" spans="1:10" ht="12.75">
      <c r="A83" s="87">
        <v>45</v>
      </c>
      <c r="B83" s="88">
        <v>40545</v>
      </c>
      <c r="C83" s="89">
        <v>1</v>
      </c>
      <c r="D83" s="89">
        <v>0</v>
      </c>
      <c r="E83" s="89">
        <v>1</v>
      </c>
      <c r="F83" s="89">
        <v>21</v>
      </c>
      <c r="G83" s="89" t="b">
        <v>0</v>
      </c>
      <c r="H83" s="89">
        <v>0</v>
      </c>
      <c r="I83" s="89">
        <v>1</v>
      </c>
      <c r="J83" s="90">
        <v>0.26</v>
      </c>
    </row>
    <row r="84" spans="1:10" ht="12.75">
      <c r="A84" s="87">
        <v>60</v>
      </c>
      <c r="B84" s="88">
        <v>40546</v>
      </c>
      <c r="C84" s="89">
        <v>1</v>
      </c>
      <c r="D84" s="89">
        <v>0</v>
      </c>
      <c r="E84" s="89">
        <v>1</v>
      </c>
      <c r="F84" s="89">
        <v>14</v>
      </c>
      <c r="G84" s="89" t="b">
        <v>0</v>
      </c>
      <c r="H84" s="89">
        <v>1</v>
      </c>
      <c r="I84" s="89">
        <v>1</v>
      </c>
      <c r="J84" s="90">
        <v>0.26</v>
      </c>
    </row>
    <row r="85" spans="1:10" ht="12.75">
      <c r="A85" s="87">
        <v>61</v>
      </c>
      <c r="B85" s="88">
        <v>40546</v>
      </c>
      <c r="C85" s="89">
        <v>1</v>
      </c>
      <c r="D85" s="89">
        <v>0</v>
      </c>
      <c r="E85" s="89">
        <v>1</v>
      </c>
      <c r="F85" s="89">
        <v>15</v>
      </c>
      <c r="G85" s="89" t="b">
        <v>0</v>
      </c>
      <c r="H85" s="89">
        <v>1</v>
      </c>
      <c r="I85" s="89">
        <v>1</v>
      </c>
      <c r="J85" s="90">
        <v>0.26</v>
      </c>
    </row>
    <row r="86" spans="1:10" ht="12.75">
      <c r="A86" s="87">
        <v>62</v>
      </c>
      <c r="B86" s="88">
        <v>40546</v>
      </c>
      <c r="C86" s="89">
        <v>1</v>
      </c>
      <c r="D86" s="89">
        <v>0</v>
      </c>
      <c r="E86" s="89">
        <v>1</v>
      </c>
      <c r="F86" s="89">
        <v>16</v>
      </c>
      <c r="G86" s="89" t="b">
        <v>0</v>
      </c>
      <c r="H86" s="89">
        <v>1</v>
      </c>
      <c r="I86" s="89">
        <v>1</v>
      </c>
      <c r="J86" s="90">
        <v>0.26</v>
      </c>
    </row>
    <row r="87" spans="1:10" ht="12.75">
      <c r="A87" s="87">
        <v>83</v>
      </c>
      <c r="B87" s="88">
        <v>40547</v>
      </c>
      <c r="C87" s="89">
        <v>1</v>
      </c>
      <c r="D87" s="89">
        <v>0</v>
      </c>
      <c r="E87" s="89">
        <v>1</v>
      </c>
      <c r="F87" s="89">
        <v>14</v>
      </c>
      <c r="G87" s="89" t="b">
        <v>0</v>
      </c>
      <c r="H87" s="89">
        <v>2</v>
      </c>
      <c r="I87" s="89">
        <v>1</v>
      </c>
      <c r="J87" s="90">
        <v>0.26</v>
      </c>
    </row>
    <row r="88" spans="1:10" ht="12.75">
      <c r="A88" s="87">
        <v>87</v>
      </c>
      <c r="B88" s="88">
        <v>40547</v>
      </c>
      <c r="C88" s="89">
        <v>1</v>
      </c>
      <c r="D88" s="89">
        <v>0</v>
      </c>
      <c r="E88" s="89">
        <v>1</v>
      </c>
      <c r="F88" s="89">
        <v>18</v>
      </c>
      <c r="G88" s="89" t="b">
        <v>0</v>
      </c>
      <c r="H88" s="89">
        <v>2</v>
      </c>
      <c r="I88" s="89">
        <v>1</v>
      </c>
      <c r="J88" s="90">
        <v>0.26</v>
      </c>
    </row>
    <row r="89" spans="1:10" ht="12.75">
      <c r="A89" s="87">
        <v>103</v>
      </c>
      <c r="B89" s="88">
        <v>40548</v>
      </c>
      <c r="C89" s="89">
        <v>1</v>
      </c>
      <c r="D89" s="89">
        <v>0</v>
      </c>
      <c r="E89" s="89">
        <v>1</v>
      </c>
      <c r="F89" s="89">
        <v>11</v>
      </c>
      <c r="G89" s="89" t="b">
        <v>0</v>
      </c>
      <c r="H89" s="89">
        <v>3</v>
      </c>
      <c r="I89" s="89">
        <v>1</v>
      </c>
      <c r="J89" s="90">
        <v>0.26</v>
      </c>
    </row>
    <row r="90" spans="1:10" ht="12.75">
      <c r="A90" s="87">
        <v>104</v>
      </c>
      <c r="B90" s="88">
        <v>40548</v>
      </c>
      <c r="C90" s="89">
        <v>1</v>
      </c>
      <c r="D90" s="89">
        <v>0</v>
      </c>
      <c r="E90" s="89">
        <v>1</v>
      </c>
      <c r="F90" s="89">
        <v>12</v>
      </c>
      <c r="G90" s="89" t="b">
        <v>0</v>
      </c>
      <c r="H90" s="89">
        <v>3</v>
      </c>
      <c r="I90" s="89">
        <v>1</v>
      </c>
      <c r="J90" s="90">
        <v>0.26</v>
      </c>
    </row>
    <row r="91" spans="1:10" ht="12.75">
      <c r="A91" s="87">
        <v>127</v>
      </c>
      <c r="B91" s="88">
        <v>40549</v>
      </c>
      <c r="C91" s="89">
        <v>1</v>
      </c>
      <c r="D91" s="89">
        <v>0</v>
      </c>
      <c r="E91" s="89">
        <v>1</v>
      </c>
      <c r="F91" s="89">
        <v>12</v>
      </c>
      <c r="G91" s="89" t="b">
        <v>0</v>
      </c>
      <c r="H91" s="89">
        <v>4</v>
      </c>
      <c r="I91" s="89">
        <v>1</v>
      </c>
      <c r="J91" s="90">
        <v>0.26</v>
      </c>
    </row>
    <row r="92" spans="1:10" ht="12.75">
      <c r="A92" s="87">
        <v>128</v>
      </c>
      <c r="B92" s="88">
        <v>40549</v>
      </c>
      <c r="C92" s="89">
        <v>1</v>
      </c>
      <c r="D92" s="89">
        <v>0</v>
      </c>
      <c r="E92" s="89">
        <v>1</v>
      </c>
      <c r="F92" s="89">
        <v>13</v>
      </c>
      <c r="G92" s="89" t="b">
        <v>0</v>
      </c>
      <c r="H92" s="89">
        <v>4</v>
      </c>
      <c r="I92" s="89">
        <v>1</v>
      </c>
      <c r="J92" s="90">
        <v>0.26</v>
      </c>
    </row>
    <row r="93" spans="1:10" ht="12.75">
      <c r="A93" s="87">
        <v>131</v>
      </c>
      <c r="B93" s="88">
        <v>40549</v>
      </c>
      <c r="C93" s="89">
        <v>1</v>
      </c>
      <c r="D93" s="89">
        <v>0</v>
      </c>
      <c r="E93" s="89">
        <v>1</v>
      </c>
      <c r="F93" s="89">
        <v>16</v>
      </c>
      <c r="G93" s="89" t="b">
        <v>0</v>
      </c>
      <c r="H93" s="89">
        <v>4</v>
      </c>
      <c r="I93" s="89">
        <v>1</v>
      </c>
      <c r="J93" s="90">
        <v>0.26</v>
      </c>
    </row>
    <row r="94" spans="1:10" ht="12.75">
      <c r="A94" s="87">
        <v>349</v>
      </c>
      <c r="B94" s="88">
        <v>40559</v>
      </c>
      <c r="C94" s="89">
        <v>1</v>
      </c>
      <c r="D94" s="89">
        <v>0</v>
      </c>
      <c r="E94" s="89">
        <v>1</v>
      </c>
      <c r="F94" s="89">
        <v>0</v>
      </c>
      <c r="G94" s="89" t="b">
        <v>0</v>
      </c>
      <c r="H94" s="89">
        <v>0</v>
      </c>
      <c r="I94" s="89">
        <v>1</v>
      </c>
      <c r="J94" s="90">
        <v>0.26</v>
      </c>
    </row>
    <row r="95" spans="1:10" ht="12.75">
      <c r="A95" s="87">
        <v>350</v>
      </c>
      <c r="B95" s="88">
        <v>40559</v>
      </c>
      <c r="C95" s="89">
        <v>1</v>
      </c>
      <c r="D95" s="89">
        <v>0</v>
      </c>
      <c r="E95" s="89">
        <v>1</v>
      </c>
      <c r="F95" s="89">
        <v>1</v>
      </c>
      <c r="G95" s="89" t="b">
        <v>0</v>
      </c>
      <c r="H95" s="89">
        <v>0</v>
      </c>
      <c r="I95" s="89">
        <v>1</v>
      </c>
      <c r="J95" s="90">
        <v>0.26</v>
      </c>
    </row>
    <row r="96" spans="1:10" ht="12.75">
      <c r="A96" s="87">
        <v>351</v>
      </c>
      <c r="B96" s="88">
        <v>40559</v>
      </c>
      <c r="C96" s="89">
        <v>1</v>
      </c>
      <c r="D96" s="89">
        <v>0</v>
      </c>
      <c r="E96" s="89">
        <v>1</v>
      </c>
      <c r="F96" s="89">
        <v>2</v>
      </c>
      <c r="G96" s="89" t="b">
        <v>0</v>
      </c>
      <c r="H96" s="89">
        <v>0</v>
      </c>
      <c r="I96" s="89">
        <v>1</v>
      </c>
      <c r="J96" s="90">
        <v>0.26</v>
      </c>
    </row>
    <row r="97" spans="1:10" ht="12.75">
      <c r="A97" s="87">
        <v>353</v>
      </c>
      <c r="B97" s="88">
        <v>40559</v>
      </c>
      <c r="C97" s="89">
        <v>1</v>
      </c>
      <c r="D97" s="89">
        <v>0</v>
      </c>
      <c r="E97" s="89">
        <v>1</v>
      </c>
      <c r="F97" s="89">
        <v>4</v>
      </c>
      <c r="G97" s="89" t="b">
        <v>0</v>
      </c>
      <c r="H97" s="89">
        <v>0</v>
      </c>
      <c r="I97" s="89">
        <v>1</v>
      </c>
      <c r="J97" s="90">
        <v>0.26</v>
      </c>
    </row>
    <row r="98" spans="1:10" ht="12.75">
      <c r="A98" s="87">
        <v>354</v>
      </c>
      <c r="B98" s="88">
        <v>40559</v>
      </c>
      <c r="C98" s="89">
        <v>1</v>
      </c>
      <c r="D98" s="89">
        <v>0</v>
      </c>
      <c r="E98" s="89">
        <v>1</v>
      </c>
      <c r="F98" s="89">
        <v>5</v>
      </c>
      <c r="G98" s="89" t="b">
        <v>0</v>
      </c>
      <c r="H98" s="89">
        <v>0</v>
      </c>
      <c r="I98" s="89">
        <v>2</v>
      </c>
      <c r="J98" s="90">
        <v>0.26</v>
      </c>
    </row>
    <row r="99" spans="1:10" ht="12.75">
      <c r="A99" s="87">
        <v>355</v>
      </c>
      <c r="B99" s="88">
        <v>40559</v>
      </c>
      <c r="C99" s="89">
        <v>1</v>
      </c>
      <c r="D99" s="89">
        <v>0</v>
      </c>
      <c r="E99" s="89">
        <v>1</v>
      </c>
      <c r="F99" s="89">
        <v>6</v>
      </c>
      <c r="G99" s="89" t="b">
        <v>0</v>
      </c>
      <c r="H99" s="89">
        <v>0</v>
      </c>
      <c r="I99" s="89">
        <v>2</v>
      </c>
      <c r="J99" s="90">
        <v>0.26</v>
      </c>
    </row>
    <row r="100" spans="1:10" ht="12.75">
      <c r="A100" s="87">
        <v>362</v>
      </c>
      <c r="B100" s="88">
        <v>40559</v>
      </c>
      <c r="C100" s="89">
        <v>1</v>
      </c>
      <c r="D100" s="89">
        <v>0</v>
      </c>
      <c r="E100" s="89">
        <v>1</v>
      </c>
      <c r="F100" s="89">
        <v>13</v>
      </c>
      <c r="G100" s="89" t="b">
        <v>0</v>
      </c>
      <c r="H100" s="89">
        <v>0</v>
      </c>
      <c r="I100" s="89">
        <v>1</v>
      </c>
      <c r="J100" s="90">
        <v>0.26</v>
      </c>
    </row>
    <row r="101" spans="1:10" ht="12.75">
      <c r="A101" s="87">
        <v>364</v>
      </c>
      <c r="B101" s="88">
        <v>40559</v>
      </c>
      <c r="C101" s="89">
        <v>1</v>
      </c>
      <c r="D101" s="89">
        <v>0</v>
      </c>
      <c r="E101" s="89">
        <v>1</v>
      </c>
      <c r="F101" s="89">
        <v>15</v>
      </c>
      <c r="G101" s="89" t="b">
        <v>0</v>
      </c>
      <c r="H101" s="89">
        <v>0</v>
      </c>
      <c r="I101" s="89">
        <v>1</v>
      </c>
      <c r="J101" s="90">
        <v>0.26</v>
      </c>
    </row>
    <row r="102" spans="1:10" ht="12.75">
      <c r="A102" s="87">
        <v>418</v>
      </c>
      <c r="B102" s="88">
        <v>40562</v>
      </c>
      <c r="C102" s="89">
        <v>1</v>
      </c>
      <c r="D102" s="89">
        <v>0</v>
      </c>
      <c r="E102" s="89">
        <v>1</v>
      </c>
      <c r="F102" s="89">
        <v>10</v>
      </c>
      <c r="G102" s="89" t="b">
        <v>0</v>
      </c>
      <c r="H102" s="89">
        <v>3</v>
      </c>
      <c r="I102" s="89">
        <v>2</v>
      </c>
      <c r="J102" s="90">
        <v>0.26</v>
      </c>
    </row>
    <row r="103" spans="1:10" ht="12.75">
      <c r="A103" s="87">
        <v>432</v>
      </c>
      <c r="B103" s="88">
        <v>40563</v>
      </c>
      <c r="C103" s="89">
        <v>1</v>
      </c>
      <c r="D103" s="89">
        <v>0</v>
      </c>
      <c r="E103" s="89">
        <v>1</v>
      </c>
      <c r="F103" s="89">
        <v>0</v>
      </c>
      <c r="G103" s="89" t="b">
        <v>0</v>
      </c>
      <c r="H103" s="89">
        <v>4</v>
      </c>
      <c r="I103" s="89">
        <v>1</v>
      </c>
      <c r="J103" s="90">
        <v>0.26</v>
      </c>
    </row>
    <row r="104" spans="1:10" ht="12.75">
      <c r="A104" s="87">
        <v>433</v>
      </c>
      <c r="B104" s="88">
        <v>40563</v>
      </c>
      <c r="C104" s="89">
        <v>1</v>
      </c>
      <c r="D104" s="89">
        <v>0</v>
      </c>
      <c r="E104" s="89">
        <v>1</v>
      </c>
      <c r="F104" s="89">
        <v>1</v>
      </c>
      <c r="G104" s="89" t="b">
        <v>0</v>
      </c>
      <c r="H104" s="89">
        <v>4</v>
      </c>
      <c r="I104" s="89">
        <v>1</v>
      </c>
      <c r="J104" s="90">
        <v>0.26</v>
      </c>
    </row>
    <row r="105" spans="1:10" ht="12.75">
      <c r="A105" s="87">
        <v>434</v>
      </c>
      <c r="B105" s="88">
        <v>40563</v>
      </c>
      <c r="C105" s="89">
        <v>1</v>
      </c>
      <c r="D105" s="89">
        <v>0</v>
      </c>
      <c r="E105" s="89">
        <v>1</v>
      </c>
      <c r="F105" s="89">
        <v>2</v>
      </c>
      <c r="G105" s="89" t="b">
        <v>0</v>
      </c>
      <c r="H105" s="89">
        <v>4</v>
      </c>
      <c r="I105" s="89">
        <v>1</v>
      </c>
      <c r="J105" s="90">
        <v>0.26</v>
      </c>
    </row>
    <row r="106" spans="1:10" ht="12.75">
      <c r="A106" s="87">
        <v>435</v>
      </c>
      <c r="B106" s="88">
        <v>40563</v>
      </c>
      <c r="C106" s="89">
        <v>1</v>
      </c>
      <c r="D106" s="89">
        <v>0</v>
      </c>
      <c r="E106" s="89">
        <v>1</v>
      </c>
      <c r="F106" s="89">
        <v>3</v>
      </c>
      <c r="G106" s="89" t="b">
        <v>0</v>
      </c>
      <c r="H106" s="89">
        <v>4</v>
      </c>
      <c r="I106" s="89">
        <v>1</v>
      </c>
      <c r="J106" s="90">
        <v>0.26</v>
      </c>
    </row>
    <row r="107" spans="1:10" ht="12.75">
      <c r="A107" s="87">
        <v>436</v>
      </c>
      <c r="B107" s="88">
        <v>40563</v>
      </c>
      <c r="C107" s="89">
        <v>1</v>
      </c>
      <c r="D107" s="89">
        <v>0</v>
      </c>
      <c r="E107" s="89">
        <v>1</v>
      </c>
      <c r="F107" s="89">
        <v>4</v>
      </c>
      <c r="G107" s="89" t="b">
        <v>0</v>
      </c>
      <c r="H107" s="89">
        <v>4</v>
      </c>
      <c r="I107" s="89">
        <v>1</v>
      </c>
      <c r="J107" s="90">
        <v>0.26</v>
      </c>
    </row>
    <row r="108" spans="1:10" ht="12.75">
      <c r="A108" s="87">
        <v>442</v>
      </c>
      <c r="B108" s="88">
        <v>40563</v>
      </c>
      <c r="C108" s="89">
        <v>1</v>
      </c>
      <c r="D108" s="89">
        <v>0</v>
      </c>
      <c r="E108" s="89">
        <v>1</v>
      </c>
      <c r="F108" s="89">
        <v>10</v>
      </c>
      <c r="G108" s="89" t="b">
        <v>0</v>
      </c>
      <c r="H108" s="89">
        <v>4</v>
      </c>
      <c r="I108" s="89">
        <v>1</v>
      </c>
      <c r="J108" s="90">
        <v>0.26</v>
      </c>
    </row>
    <row r="109" spans="1:10" ht="12.75">
      <c r="A109" s="87">
        <v>450</v>
      </c>
      <c r="B109" s="88">
        <v>40563</v>
      </c>
      <c r="C109" s="89">
        <v>1</v>
      </c>
      <c r="D109" s="89">
        <v>0</v>
      </c>
      <c r="E109" s="89">
        <v>1</v>
      </c>
      <c r="F109" s="89">
        <v>18</v>
      </c>
      <c r="G109" s="89" t="b">
        <v>0</v>
      </c>
      <c r="H109" s="89">
        <v>4</v>
      </c>
      <c r="I109" s="89">
        <v>2</v>
      </c>
      <c r="J109" s="90">
        <v>0.26</v>
      </c>
    </row>
    <row r="110" spans="1:10" ht="12.75">
      <c r="A110" s="87">
        <v>451</v>
      </c>
      <c r="B110" s="88">
        <v>40563</v>
      </c>
      <c r="C110" s="89">
        <v>1</v>
      </c>
      <c r="D110" s="89">
        <v>0</v>
      </c>
      <c r="E110" s="89">
        <v>1</v>
      </c>
      <c r="F110" s="89">
        <v>19</v>
      </c>
      <c r="G110" s="89" t="b">
        <v>0</v>
      </c>
      <c r="H110" s="89">
        <v>4</v>
      </c>
      <c r="I110" s="89">
        <v>1</v>
      </c>
      <c r="J110" s="90">
        <v>0.26</v>
      </c>
    </row>
    <row r="111" spans="1:10" ht="12.75">
      <c r="A111" s="87">
        <v>452</v>
      </c>
      <c r="B111" s="88">
        <v>40563</v>
      </c>
      <c r="C111" s="89">
        <v>1</v>
      </c>
      <c r="D111" s="89">
        <v>0</v>
      </c>
      <c r="E111" s="89">
        <v>1</v>
      </c>
      <c r="F111" s="89">
        <v>20</v>
      </c>
      <c r="G111" s="89" t="b">
        <v>0</v>
      </c>
      <c r="H111" s="89">
        <v>4</v>
      </c>
      <c r="I111" s="89">
        <v>2</v>
      </c>
      <c r="J111" s="90">
        <v>0.26</v>
      </c>
    </row>
    <row r="112" spans="1:10" ht="12.75">
      <c r="A112" s="87">
        <v>560</v>
      </c>
      <c r="B112" s="88">
        <v>40568</v>
      </c>
      <c r="C112" s="89">
        <v>1</v>
      </c>
      <c r="D112" s="89">
        <v>0</v>
      </c>
      <c r="E112" s="89">
        <v>1</v>
      </c>
      <c r="F112" s="89">
        <v>12</v>
      </c>
      <c r="G112" s="89" t="b">
        <v>0</v>
      </c>
      <c r="H112" s="89">
        <v>2</v>
      </c>
      <c r="I112" s="89">
        <v>2</v>
      </c>
      <c r="J112" s="90">
        <v>0.26</v>
      </c>
    </row>
    <row r="113" spans="1:10" ht="12.75">
      <c r="A113" s="87">
        <v>561</v>
      </c>
      <c r="B113" s="88">
        <v>40568</v>
      </c>
      <c r="C113" s="89">
        <v>1</v>
      </c>
      <c r="D113" s="89">
        <v>0</v>
      </c>
      <c r="E113" s="89">
        <v>1</v>
      </c>
      <c r="F113" s="89">
        <v>13</v>
      </c>
      <c r="G113" s="89" t="b">
        <v>0</v>
      </c>
      <c r="H113" s="89">
        <v>2</v>
      </c>
      <c r="I113" s="89">
        <v>2</v>
      </c>
      <c r="J113" s="90">
        <v>0.26</v>
      </c>
    </row>
    <row r="114" spans="1:10" ht="12.75">
      <c r="A114" s="87">
        <v>567</v>
      </c>
      <c r="B114" s="88">
        <v>40568</v>
      </c>
      <c r="C114" s="89">
        <v>1</v>
      </c>
      <c r="D114" s="89">
        <v>0</v>
      </c>
      <c r="E114" s="89">
        <v>1</v>
      </c>
      <c r="F114" s="89">
        <v>19</v>
      </c>
      <c r="G114" s="89" t="b">
        <v>0</v>
      </c>
      <c r="H114" s="89">
        <v>2</v>
      </c>
      <c r="I114" s="89">
        <v>2</v>
      </c>
      <c r="J114" s="90">
        <v>0.26</v>
      </c>
    </row>
    <row r="115" spans="1:10" ht="12.75">
      <c r="A115" s="87">
        <v>1</v>
      </c>
      <c r="B115" s="88">
        <v>40544</v>
      </c>
      <c r="C115" s="89">
        <v>1</v>
      </c>
      <c r="D115" s="89">
        <v>0</v>
      </c>
      <c r="E115" s="89">
        <v>1</v>
      </c>
      <c r="F115" s="89">
        <v>0</v>
      </c>
      <c r="G115" s="89" t="b">
        <v>0</v>
      </c>
      <c r="H115" s="89">
        <v>6</v>
      </c>
      <c r="I115" s="89">
        <v>1</v>
      </c>
      <c r="J115" s="90">
        <v>0.24</v>
      </c>
    </row>
    <row r="116" spans="1:10" ht="12.75">
      <c r="A116" s="87">
        <v>4</v>
      </c>
      <c r="B116" s="88">
        <v>40544</v>
      </c>
      <c r="C116" s="89">
        <v>1</v>
      </c>
      <c r="D116" s="89">
        <v>0</v>
      </c>
      <c r="E116" s="89">
        <v>1</v>
      </c>
      <c r="F116" s="89">
        <v>3</v>
      </c>
      <c r="G116" s="89" t="b">
        <v>0</v>
      </c>
      <c r="H116" s="89">
        <v>6</v>
      </c>
      <c r="I116" s="89">
        <v>1</v>
      </c>
      <c r="J116" s="90">
        <v>0.24</v>
      </c>
    </row>
    <row r="117" spans="1:10" ht="12.75">
      <c r="A117" s="87">
        <v>5</v>
      </c>
      <c r="B117" s="88">
        <v>40544</v>
      </c>
      <c r="C117" s="89">
        <v>1</v>
      </c>
      <c r="D117" s="89">
        <v>0</v>
      </c>
      <c r="E117" s="89">
        <v>1</v>
      </c>
      <c r="F117" s="89">
        <v>4</v>
      </c>
      <c r="G117" s="89" t="b">
        <v>0</v>
      </c>
      <c r="H117" s="89">
        <v>6</v>
      </c>
      <c r="I117" s="89">
        <v>1</v>
      </c>
      <c r="J117" s="90">
        <v>0.24</v>
      </c>
    </row>
    <row r="118" spans="1:10" ht="12.75">
      <c r="A118" s="87">
        <v>6</v>
      </c>
      <c r="B118" s="88">
        <v>40544</v>
      </c>
      <c r="C118" s="89">
        <v>1</v>
      </c>
      <c r="D118" s="89">
        <v>0</v>
      </c>
      <c r="E118" s="89">
        <v>1</v>
      </c>
      <c r="F118" s="89">
        <v>5</v>
      </c>
      <c r="G118" s="89" t="b">
        <v>0</v>
      </c>
      <c r="H118" s="89">
        <v>6</v>
      </c>
      <c r="I118" s="89">
        <v>2</v>
      </c>
      <c r="J118" s="90">
        <v>0.24</v>
      </c>
    </row>
    <row r="119" spans="1:10" ht="12.75">
      <c r="A119" s="87">
        <v>9</v>
      </c>
      <c r="B119" s="88">
        <v>40544</v>
      </c>
      <c r="C119" s="89">
        <v>1</v>
      </c>
      <c r="D119" s="89">
        <v>0</v>
      </c>
      <c r="E119" s="89">
        <v>1</v>
      </c>
      <c r="F119" s="89">
        <v>8</v>
      </c>
      <c r="G119" s="89" t="b">
        <v>0</v>
      </c>
      <c r="H119" s="89">
        <v>6</v>
      </c>
      <c r="I119" s="89">
        <v>1</v>
      </c>
      <c r="J119" s="90">
        <v>0.24</v>
      </c>
    </row>
    <row r="120" spans="1:10" ht="12.75">
      <c r="A120" s="87">
        <v>46</v>
      </c>
      <c r="B120" s="88">
        <v>40545</v>
      </c>
      <c r="C120" s="89">
        <v>1</v>
      </c>
      <c r="D120" s="89">
        <v>0</v>
      </c>
      <c r="E120" s="89">
        <v>1</v>
      </c>
      <c r="F120" s="89">
        <v>22</v>
      </c>
      <c r="G120" s="89" t="b">
        <v>0</v>
      </c>
      <c r="H120" s="89">
        <v>0</v>
      </c>
      <c r="I120" s="89">
        <v>1</v>
      </c>
      <c r="J120" s="90">
        <v>0.24</v>
      </c>
    </row>
    <row r="121" spans="1:10" ht="12.75">
      <c r="A121" s="87">
        <v>59</v>
      </c>
      <c r="B121" s="88">
        <v>40546</v>
      </c>
      <c r="C121" s="89">
        <v>1</v>
      </c>
      <c r="D121" s="89">
        <v>0</v>
      </c>
      <c r="E121" s="89">
        <v>1</v>
      </c>
      <c r="F121" s="89">
        <v>13</v>
      </c>
      <c r="G121" s="89" t="b">
        <v>0</v>
      </c>
      <c r="H121" s="89">
        <v>1</v>
      </c>
      <c r="I121" s="89">
        <v>1</v>
      </c>
      <c r="J121" s="90">
        <v>0.24</v>
      </c>
    </row>
    <row r="122" spans="1:10" ht="12.75">
      <c r="A122" s="87">
        <v>63</v>
      </c>
      <c r="B122" s="88">
        <v>40546</v>
      </c>
      <c r="C122" s="89">
        <v>1</v>
      </c>
      <c r="D122" s="89">
        <v>0</v>
      </c>
      <c r="E122" s="89">
        <v>1</v>
      </c>
      <c r="F122" s="89">
        <v>17</v>
      </c>
      <c r="G122" s="89" t="b">
        <v>0</v>
      </c>
      <c r="H122" s="89">
        <v>1</v>
      </c>
      <c r="I122" s="89">
        <v>1</v>
      </c>
      <c r="J122" s="90">
        <v>0.24</v>
      </c>
    </row>
    <row r="123" spans="1:10" ht="12.75">
      <c r="A123" s="87">
        <v>64</v>
      </c>
      <c r="B123" s="88">
        <v>40546</v>
      </c>
      <c r="C123" s="89">
        <v>1</v>
      </c>
      <c r="D123" s="89">
        <v>0</v>
      </c>
      <c r="E123" s="89">
        <v>1</v>
      </c>
      <c r="F123" s="89">
        <v>18</v>
      </c>
      <c r="G123" s="89" t="b">
        <v>0</v>
      </c>
      <c r="H123" s="89">
        <v>1</v>
      </c>
      <c r="I123" s="89">
        <v>1</v>
      </c>
      <c r="J123" s="90">
        <v>0.24</v>
      </c>
    </row>
    <row r="124" spans="1:10" ht="12.75">
      <c r="A124" s="87">
        <v>82</v>
      </c>
      <c r="B124" s="88">
        <v>40547</v>
      </c>
      <c r="C124" s="89">
        <v>1</v>
      </c>
      <c r="D124" s="89">
        <v>0</v>
      </c>
      <c r="E124" s="89">
        <v>1</v>
      </c>
      <c r="F124" s="89">
        <v>13</v>
      </c>
      <c r="G124" s="89" t="b">
        <v>0</v>
      </c>
      <c r="H124" s="89">
        <v>2</v>
      </c>
      <c r="I124" s="89">
        <v>1</v>
      </c>
      <c r="J124" s="90">
        <v>0.24</v>
      </c>
    </row>
    <row r="125" spans="1:10" ht="12.75">
      <c r="A125" s="87">
        <v>88</v>
      </c>
      <c r="B125" s="88">
        <v>40547</v>
      </c>
      <c r="C125" s="89">
        <v>1</v>
      </c>
      <c r="D125" s="89">
        <v>0</v>
      </c>
      <c r="E125" s="89">
        <v>1</v>
      </c>
      <c r="F125" s="89">
        <v>19</v>
      </c>
      <c r="G125" s="89" t="b">
        <v>0</v>
      </c>
      <c r="H125" s="89">
        <v>2</v>
      </c>
      <c r="I125" s="89">
        <v>1</v>
      </c>
      <c r="J125" s="90">
        <v>0.24</v>
      </c>
    </row>
    <row r="126" spans="1:10" ht="12.75">
      <c r="A126" s="87">
        <v>89</v>
      </c>
      <c r="B126" s="88">
        <v>40547</v>
      </c>
      <c r="C126" s="89">
        <v>1</v>
      </c>
      <c r="D126" s="89">
        <v>0</v>
      </c>
      <c r="E126" s="89">
        <v>1</v>
      </c>
      <c r="F126" s="89">
        <v>20</v>
      </c>
      <c r="G126" s="89" t="b">
        <v>0</v>
      </c>
      <c r="H126" s="89">
        <v>2</v>
      </c>
      <c r="I126" s="89">
        <v>1</v>
      </c>
      <c r="J126" s="90">
        <v>0.24</v>
      </c>
    </row>
    <row r="127" spans="1:10" ht="12.75">
      <c r="A127" s="87">
        <v>96</v>
      </c>
      <c r="B127" s="88">
        <v>40548</v>
      </c>
      <c r="C127" s="89">
        <v>1</v>
      </c>
      <c r="D127" s="89">
        <v>0</v>
      </c>
      <c r="E127" s="89">
        <v>1</v>
      </c>
      <c r="F127" s="89">
        <v>4</v>
      </c>
      <c r="G127" s="89" t="b">
        <v>0</v>
      </c>
      <c r="H127" s="89">
        <v>3</v>
      </c>
      <c r="I127" s="89">
        <v>1</v>
      </c>
      <c r="J127" s="90">
        <v>0.24</v>
      </c>
    </row>
    <row r="128" spans="1:10" ht="12.75">
      <c r="A128" s="87">
        <v>109</v>
      </c>
      <c r="B128" s="88">
        <v>40548</v>
      </c>
      <c r="C128" s="89">
        <v>1</v>
      </c>
      <c r="D128" s="89">
        <v>0</v>
      </c>
      <c r="E128" s="89">
        <v>1</v>
      </c>
      <c r="F128" s="89">
        <v>17</v>
      </c>
      <c r="G128" s="89" t="b">
        <v>0</v>
      </c>
      <c r="H128" s="89">
        <v>3</v>
      </c>
      <c r="I128" s="89">
        <v>1</v>
      </c>
      <c r="J128" s="90">
        <v>0.24</v>
      </c>
    </row>
    <row r="129" spans="1:10" ht="12.75">
      <c r="A129" s="87">
        <v>110</v>
      </c>
      <c r="B129" s="88">
        <v>40548</v>
      </c>
      <c r="C129" s="89">
        <v>1</v>
      </c>
      <c r="D129" s="89">
        <v>0</v>
      </c>
      <c r="E129" s="89">
        <v>1</v>
      </c>
      <c r="F129" s="89">
        <v>18</v>
      </c>
      <c r="G129" s="89" t="b">
        <v>0</v>
      </c>
      <c r="H129" s="89">
        <v>3</v>
      </c>
      <c r="I129" s="89">
        <v>1</v>
      </c>
      <c r="J129" s="90">
        <v>0.24</v>
      </c>
    </row>
    <row r="130" spans="1:10" ht="12.75">
      <c r="A130" s="87">
        <v>111</v>
      </c>
      <c r="B130" s="88">
        <v>40548</v>
      </c>
      <c r="C130" s="89">
        <v>1</v>
      </c>
      <c r="D130" s="89">
        <v>0</v>
      </c>
      <c r="E130" s="89">
        <v>1</v>
      </c>
      <c r="F130" s="89">
        <v>19</v>
      </c>
      <c r="G130" s="89" t="b">
        <v>0</v>
      </c>
      <c r="H130" s="89">
        <v>3</v>
      </c>
      <c r="I130" s="89">
        <v>1</v>
      </c>
      <c r="J130" s="90">
        <v>0.24</v>
      </c>
    </row>
    <row r="131" spans="1:10" ht="12.75">
      <c r="A131" s="87">
        <v>293</v>
      </c>
      <c r="B131" s="88">
        <v>40556</v>
      </c>
      <c r="C131" s="89">
        <v>1</v>
      </c>
      <c r="D131" s="89">
        <v>0</v>
      </c>
      <c r="E131" s="89">
        <v>1</v>
      </c>
      <c r="F131" s="89">
        <v>15</v>
      </c>
      <c r="G131" s="89" t="b">
        <v>0</v>
      </c>
      <c r="H131" s="89">
        <v>4</v>
      </c>
      <c r="I131" s="89">
        <v>1</v>
      </c>
      <c r="J131" s="90">
        <v>0.24</v>
      </c>
    </row>
    <row r="132" spans="1:10" ht="12.75">
      <c r="A132" s="87">
        <v>294</v>
      </c>
      <c r="B132" s="88">
        <v>40556</v>
      </c>
      <c r="C132" s="89">
        <v>1</v>
      </c>
      <c r="D132" s="89">
        <v>0</v>
      </c>
      <c r="E132" s="89">
        <v>1</v>
      </c>
      <c r="F132" s="89">
        <v>16</v>
      </c>
      <c r="G132" s="89" t="b">
        <v>0</v>
      </c>
      <c r="H132" s="89">
        <v>4</v>
      </c>
      <c r="I132" s="89">
        <v>1</v>
      </c>
      <c r="J132" s="90">
        <v>0.24</v>
      </c>
    </row>
    <row r="133" spans="1:10" ht="12.75">
      <c r="A133" s="87">
        <v>316</v>
      </c>
      <c r="B133" s="88">
        <v>40557</v>
      </c>
      <c r="C133" s="89">
        <v>1</v>
      </c>
      <c r="D133" s="89">
        <v>0</v>
      </c>
      <c r="E133" s="89">
        <v>1</v>
      </c>
      <c r="F133" s="89">
        <v>15</v>
      </c>
      <c r="G133" s="89" t="b">
        <v>0</v>
      </c>
      <c r="H133" s="89">
        <v>5</v>
      </c>
      <c r="I133" s="89">
        <v>1</v>
      </c>
      <c r="J133" s="90">
        <v>0.24</v>
      </c>
    </row>
    <row r="134" spans="1:10" ht="12.75">
      <c r="A134" s="87">
        <v>337</v>
      </c>
      <c r="B134" s="88">
        <v>40558</v>
      </c>
      <c r="C134" s="89">
        <v>1</v>
      </c>
      <c r="D134" s="89">
        <v>0</v>
      </c>
      <c r="E134" s="89">
        <v>1</v>
      </c>
      <c r="F134" s="89">
        <v>12</v>
      </c>
      <c r="G134" s="89" t="b">
        <v>0</v>
      </c>
      <c r="H134" s="89">
        <v>6</v>
      </c>
      <c r="I134" s="89">
        <v>1</v>
      </c>
      <c r="J134" s="90">
        <v>0.24</v>
      </c>
    </row>
    <row r="135" spans="1:10" ht="12.75">
      <c r="A135" s="87">
        <v>356</v>
      </c>
      <c r="B135" s="88">
        <v>40559</v>
      </c>
      <c r="C135" s="89">
        <v>1</v>
      </c>
      <c r="D135" s="89">
        <v>0</v>
      </c>
      <c r="E135" s="89">
        <v>1</v>
      </c>
      <c r="F135" s="89">
        <v>7</v>
      </c>
      <c r="G135" s="89" t="b">
        <v>0</v>
      </c>
      <c r="H135" s="89">
        <v>0</v>
      </c>
      <c r="I135" s="89">
        <v>2</v>
      </c>
      <c r="J135" s="90">
        <v>0.24</v>
      </c>
    </row>
    <row r="136" spans="1:10" ht="12.75">
      <c r="A136" s="87">
        <v>360</v>
      </c>
      <c r="B136" s="88">
        <v>40559</v>
      </c>
      <c r="C136" s="89">
        <v>1</v>
      </c>
      <c r="D136" s="89">
        <v>0</v>
      </c>
      <c r="E136" s="89">
        <v>1</v>
      </c>
      <c r="F136" s="89">
        <v>11</v>
      </c>
      <c r="G136" s="89" t="b">
        <v>0</v>
      </c>
      <c r="H136" s="89">
        <v>0</v>
      </c>
      <c r="I136" s="89">
        <v>1</v>
      </c>
      <c r="J136" s="90">
        <v>0.24</v>
      </c>
    </row>
    <row r="137" spans="1:10" ht="12.75">
      <c r="A137" s="87">
        <v>361</v>
      </c>
      <c r="B137" s="88">
        <v>40559</v>
      </c>
      <c r="C137" s="89">
        <v>1</v>
      </c>
      <c r="D137" s="89">
        <v>0</v>
      </c>
      <c r="E137" s="89">
        <v>1</v>
      </c>
      <c r="F137" s="89">
        <v>12</v>
      </c>
      <c r="G137" s="89" t="b">
        <v>0</v>
      </c>
      <c r="H137" s="89">
        <v>0</v>
      </c>
      <c r="I137" s="89">
        <v>1</v>
      </c>
      <c r="J137" s="90">
        <v>0.24</v>
      </c>
    </row>
    <row r="138" spans="1:10" ht="12.75">
      <c r="A138" s="87">
        <v>365</v>
      </c>
      <c r="B138" s="88">
        <v>40559</v>
      </c>
      <c r="C138" s="89">
        <v>1</v>
      </c>
      <c r="D138" s="89">
        <v>0</v>
      </c>
      <c r="E138" s="89">
        <v>1</v>
      </c>
      <c r="F138" s="89">
        <v>16</v>
      </c>
      <c r="G138" s="89" t="b">
        <v>0</v>
      </c>
      <c r="H138" s="89">
        <v>0</v>
      </c>
      <c r="I138" s="89">
        <v>1</v>
      </c>
      <c r="J138" s="90">
        <v>0.24</v>
      </c>
    </row>
    <row r="139" spans="1:10" ht="12.75">
      <c r="A139" s="87">
        <v>415</v>
      </c>
      <c r="B139" s="88">
        <v>40562</v>
      </c>
      <c r="C139" s="89">
        <v>1</v>
      </c>
      <c r="D139" s="89">
        <v>0</v>
      </c>
      <c r="E139" s="89">
        <v>1</v>
      </c>
      <c r="F139" s="89">
        <v>7</v>
      </c>
      <c r="G139" s="89" t="b">
        <v>0</v>
      </c>
      <c r="H139" s="89">
        <v>3</v>
      </c>
      <c r="I139" s="89">
        <v>2</v>
      </c>
      <c r="J139" s="90">
        <v>0.24</v>
      </c>
    </row>
    <row r="140" spans="1:10" ht="12.75">
      <c r="A140" s="87">
        <v>416</v>
      </c>
      <c r="B140" s="88">
        <v>40562</v>
      </c>
      <c r="C140" s="89">
        <v>1</v>
      </c>
      <c r="D140" s="89">
        <v>0</v>
      </c>
      <c r="E140" s="89">
        <v>1</v>
      </c>
      <c r="F140" s="89">
        <v>8</v>
      </c>
      <c r="G140" s="89" t="b">
        <v>0</v>
      </c>
      <c r="H140" s="89">
        <v>3</v>
      </c>
      <c r="I140" s="89">
        <v>2</v>
      </c>
      <c r="J140" s="90">
        <v>0.24</v>
      </c>
    </row>
    <row r="141" spans="1:10" ht="12.75">
      <c r="A141" s="87">
        <v>417</v>
      </c>
      <c r="B141" s="88">
        <v>40562</v>
      </c>
      <c r="C141" s="89">
        <v>1</v>
      </c>
      <c r="D141" s="89">
        <v>0</v>
      </c>
      <c r="E141" s="89">
        <v>1</v>
      </c>
      <c r="F141" s="89">
        <v>9</v>
      </c>
      <c r="G141" s="89" t="b">
        <v>0</v>
      </c>
      <c r="H141" s="89">
        <v>3</v>
      </c>
      <c r="I141" s="89">
        <v>2</v>
      </c>
      <c r="J141" s="90">
        <v>0.24</v>
      </c>
    </row>
    <row r="142" spans="1:10" ht="12.75">
      <c r="A142" s="87">
        <v>437</v>
      </c>
      <c r="B142" s="88">
        <v>40563</v>
      </c>
      <c r="C142" s="89">
        <v>1</v>
      </c>
      <c r="D142" s="89">
        <v>0</v>
      </c>
      <c r="E142" s="89">
        <v>1</v>
      </c>
      <c r="F142" s="89">
        <v>5</v>
      </c>
      <c r="G142" s="89" t="b">
        <v>0</v>
      </c>
      <c r="H142" s="89">
        <v>4</v>
      </c>
      <c r="I142" s="89">
        <v>1</v>
      </c>
      <c r="J142" s="90">
        <v>0.24</v>
      </c>
    </row>
    <row r="143" spans="1:10" ht="12.75">
      <c r="A143" s="87">
        <v>441</v>
      </c>
      <c r="B143" s="88">
        <v>40563</v>
      </c>
      <c r="C143" s="89">
        <v>1</v>
      </c>
      <c r="D143" s="89">
        <v>0</v>
      </c>
      <c r="E143" s="89">
        <v>1</v>
      </c>
      <c r="F143" s="89">
        <v>9</v>
      </c>
      <c r="G143" s="89" t="b">
        <v>0</v>
      </c>
      <c r="H143" s="89">
        <v>4</v>
      </c>
      <c r="I143" s="89">
        <v>2</v>
      </c>
      <c r="J143" s="90">
        <v>0.24</v>
      </c>
    </row>
    <row r="144" spans="1:10" ht="12.75">
      <c r="A144" s="87">
        <v>453</v>
      </c>
      <c r="B144" s="88">
        <v>40563</v>
      </c>
      <c r="C144" s="89">
        <v>1</v>
      </c>
      <c r="D144" s="89">
        <v>0</v>
      </c>
      <c r="E144" s="89">
        <v>1</v>
      </c>
      <c r="F144" s="89">
        <v>21</v>
      </c>
      <c r="G144" s="89" t="b">
        <v>0</v>
      </c>
      <c r="H144" s="89">
        <v>4</v>
      </c>
      <c r="I144" s="89">
        <v>2</v>
      </c>
      <c r="J144" s="90">
        <v>0.24</v>
      </c>
    </row>
    <row r="145" spans="1:10" ht="12.75">
      <c r="A145" s="87">
        <v>454</v>
      </c>
      <c r="B145" s="88">
        <v>40563</v>
      </c>
      <c r="C145" s="89">
        <v>1</v>
      </c>
      <c r="D145" s="89">
        <v>0</v>
      </c>
      <c r="E145" s="89">
        <v>1</v>
      </c>
      <c r="F145" s="89">
        <v>22</v>
      </c>
      <c r="G145" s="89" t="b">
        <v>0</v>
      </c>
      <c r="H145" s="89">
        <v>4</v>
      </c>
      <c r="I145" s="89">
        <v>2</v>
      </c>
      <c r="J145" s="90">
        <v>0.24</v>
      </c>
    </row>
    <row r="146" spans="1:10" ht="12.75">
      <c r="A146" s="87">
        <v>455</v>
      </c>
      <c r="B146" s="88">
        <v>40563</v>
      </c>
      <c r="C146" s="89">
        <v>1</v>
      </c>
      <c r="D146" s="89">
        <v>0</v>
      </c>
      <c r="E146" s="89">
        <v>1</v>
      </c>
      <c r="F146" s="89">
        <v>23</v>
      </c>
      <c r="G146" s="89" t="b">
        <v>0</v>
      </c>
      <c r="H146" s="89">
        <v>4</v>
      </c>
      <c r="I146" s="89">
        <v>2</v>
      </c>
      <c r="J146" s="90">
        <v>0.24</v>
      </c>
    </row>
    <row r="147" spans="1:10" ht="12.75">
      <c r="A147" s="87">
        <v>456</v>
      </c>
      <c r="B147" s="88">
        <v>40564</v>
      </c>
      <c r="C147" s="89">
        <v>1</v>
      </c>
      <c r="D147" s="89">
        <v>0</v>
      </c>
      <c r="E147" s="89">
        <v>1</v>
      </c>
      <c r="F147" s="89">
        <v>0</v>
      </c>
      <c r="G147" s="89" t="b">
        <v>0</v>
      </c>
      <c r="H147" s="89">
        <v>5</v>
      </c>
      <c r="I147" s="89">
        <v>2</v>
      </c>
      <c r="J147" s="90">
        <v>0.24</v>
      </c>
    </row>
    <row r="148" spans="1:10" ht="12.75">
      <c r="A148" s="87">
        <v>457</v>
      </c>
      <c r="B148" s="88">
        <v>40564</v>
      </c>
      <c r="C148" s="89">
        <v>1</v>
      </c>
      <c r="D148" s="89">
        <v>0</v>
      </c>
      <c r="E148" s="89">
        <v>1</v>
      </c>
      <c r="F148" s="89">
        <v>1</v>
      </c>
      <c r="G148" s="89" t="b">
        <v>0</v>
      </c>
      <c r="H148" s="89">
        <v>5</v>
      </c>
      <c r="I148" s="89">
        <v>2</v>
      </c>
      <c r="J148" s="90">
        <v>0.24</v>
      </c>
    </row>
    <row r="149" spans="1:10" ht="12.75">
      <c r="A149" s="87">
        <v>458</v>
      </c>
      <c r="B149" s="88">
        <v>40564</v>
      </c>
      <c r="C149" s="89">
        <v>1</v>
      </c>
      <c r="D149" s="89">
        <v>0</v>
      </c>
      <c r="E149" s="89">
        <v>1</v>
      </c>
      <c r="F149" s="89">
        <v>2</v>
      </c>
      <c r="G149" s="89" t="b">
        <v>0</v>
      </c>
      <c r="H149" s="89">
        <v>5</v>
      </c>
      <c r="I149" s="89">
        <v>3</v>
      </c>
      <c r="J149" s="90">
        <v>0.24</v>
      </c>
    </row>
    <row r="150" spans="1:10" ht="12.75">
      <c r="A150" s="87">
        <v>461</v>
      </c>
      <c r="B150" s="88">
        <v>40564</v>
      </c>
      <c r="C150" s="89">
        <v>1</v>
      </c>
      <c r="D150" s="89">
        <v>0</v>
      </c>
      <c r="E150" s="89">
        <v>1</v>
      </c>
      <c r="F150" s="89">
        <v>5</v>
      </c>
      <c r="G150" s="89" t="b">
        <v>0</v>
      </c>
      <c r="H150" s="89">
        <v>5</v>
      </c>
      <c r="I150" s="89">
        <v>1</v>
      </c>
      <c r="J150" s="90">
        <v>0.24</v>
      </c>
    </row>
    <row r="151" spans="1:10" ht="12.75">
      <c r="A151" s="87">
        <v>559</v>
      </c>
      <c r="B151" s="88">
        <v>40568</v>
      </c>
      <c r="C151" s="89">
        <v>1</v>
      </c>
      <c r="D151" s="89">
        <v>0</v>
      </c>
      <c r="E151" s="89">
        <v>1</v>
      </c>
      <c r="F151" s="89">
        <v>11</v>
      </c>
      <c r="G151" s="89" t="b">
        <v>0</v>
      </c>
      <c r="H151" s="89">
        <v>2</v>
      </c>
      <c r="I151" s="89">
        <v>2</v>
      </c>
      <c r="J151" s="90">
        <v>0.24</v>
      </c>
    </row>
    <row r="152" spans="1:10" ht="12.75">
      <c r="A152" s="87">
        <v>568</v>
      </c>
      <c r="B152" s="88">
        <v>40568</v>
      </c>
      <c r="C152" s="89">
        <v>1</v>
      </c>
      <c r="D152" s="89">
        <v>0</v>
      </c>
      <c r="E152" s="89">
        <v>1</v>
      </c>
      <c r="F152" s="89">
        <v>20</v>
      </c>
      <c r="G152" s="89" t="b">
        <v>0</v>
      </c>
      <c r="H152" s="89">
        <v>2</v>
      </c>
      <c r="I152" s="89">
        <v>1</v>
      </c>
      <c r="J152" s="90">
        <v>0.24</v>
      </c>
    </row>
    <row r="153" spans="1:10" ht="12.75">
      <c r="A153" s="87">
        <v>569</v>
      </c>
      <c r="B153" s="88">
        <v>40568</v>
      </c>
      <c r="C153" s="89">
        <v>1</v>
      </c>
      <c r="D153" s="89">
        <v>0</v>
      </c>
      <c r="E153" s="89">
        <v>1</v>
      </c>
      <c r="F153" s="89">
        <v>21</v>
      </c>
      <c r="G153" s="89" t="b">
        <v>0</v>
      </c>
      <c r="H153" s="89">
        <v>2</v>
      </c>
      <c r="I153" s="89">
        <v>1</v>
      </c>
      <c r="J153" s="90">
        <v>0.24</v>
      </c>
    </row>
    <row r="154" spans="1:10" ht="12.75">
      <c r="A154" s="87">
        <v>573</v>
      </c>
      <c r="B154" s="88">
        <v>40569</v>
      </c>
      <c r="C154" s="89">
        <v>1</v>
      </c>
      <c r="D154" s="89">
        <v>0</v>
      </c>
      <c r="E154" s="89">
        <v>1</v>
      </c>
      <c r="F154" s="89">
        <v>1</v>
      </c>
      <c r="G154" s="89" t="b">
        <v>0</v>
      </c>
      <c r="H154" s="89">
        <v>3</v>
      </c>
      <c r="I154" s="89">
        <v>2</v>
      </c>
      <c r="J154" s="90">
        <v>0.24</v>
      </c>
    </row>
    <row r="155" spans="1:10" ht="12.75">
      <c r="A155" s="87">
        <v>2</v>
      </c>
      <c r="B155" s="88">
        <v>40544</v>
      </c>
      <c r="C155" s="89">
        <v>1</v>
      </c>
      <c r="D155" s="89">
        <v>0</v>
      </c>
      <c r="E155" s="89">
        <v>1</v>
      </c>
      <c r="F155" s="89">
        <v>1</v>
      </c>
      <c r="G155" s="89" t="b">
        <v>0</v>
      </c>
      <c r="H155" s="89">
        <v>6</v>
      </c>
      <c r="I155" s="89">
        <v>1</v>
      </c>
      <c r="J155" s="90">
        <v>0.22</v>
      </c>
    </row>
    <row r="156" spans="1:10" ht="12.75">
      <c r="A156" s="87">
        <v>3</v>
      </c>
      <c r="B156" s="88">
        <v>40544</v>
      </c>
      <c r="C156" s="89">
        <v>1</v>
      </c>
      <c r="D156" s="89">
        <v>0</v>
      </c>
      <c r="E156" s="89">
        <v>1</v>
      </c>
      <c r="F156" s="89">
        <v>2</v>
      </c>
      <c r="G156" s="89" t="b">
        <v>0</v>
      </c>
      <c r="H156" s="89">
        <v>6</v>
      </c>
      <c r="I156" s="89">
        <v>1</v>
      </c>
      <c r="J156" s="90">
        <v>0.22</v>
      </c>
    </row>
    <row r="157" spans="1:10" ht="12.75">
      <c r="A157" s="87">
        <v>7</v>
      </c>
      <c r="B157" s="88">
        <v>40544</v>
      </c>
      <c r="C157" s="89">
        <v>1</v>
      </c>
      <c r="D157" s="89">
        <v>0</v>
      </c>
      <c r="E157" s="89">
        <v>1</v>
      </c>
      <c r="F157" s="89">
        <v>6</v>
      </c>
      <c r="G157" s="89" t="b">
        <v>0</v>
      </c>
      <c r="H157" s="89">
        <v>6</v>
      </c>
      <c r="I157" s="89">
        <v>1</v>
      </c>
      <c r="J157" s="90">
        <v>0.22</v>
      </c>
    </row>
    <row r="158" spans="1:10" ht="12.75">
      <c r="A158" s="87">
        <v>47</v>
      </c>
      <c r="B158" s="88">
        <v>40545</v>
      </c>
      <c r="C158" s="89">
        <v>1</v>
      </c>
      <c r="D158" s="89">
        <v>0</v>
      </c>
      <c r="E158" s="89">
        <v>1</v>
      </c>
      <c r="F158" s="89">
        <v>23</v>
      </c>
      <c r="G158" s="89" t="b">
        <v>0</v>
      </c>
      <c r="H158" s="89">
        <v>0</v>
      </c>
      <c r="I158" s="89">
        <v>1</v>
      </c>
      <c r="J158" s="90">
        <v>0.22</v>
      </c>
    </row>
    <row r="159" spans="1:10" ht="12.75">
      <c r="A159" s="87">
        <v>48</v>
      </c>
      <c r="B159" s="88">
        <v>40546</v>
      </c>
      <c r="C159" s="89">
        <v>1</v>
      </c>
      <c r="D159" s="89">
        <v>0</v>
      </c>
      <c r="E159" s="89">
        <v>1</v>
      </c>
      <c r="F159" s="89">
        <v>0</v>
      </c>
      <c r="G159" s="89" t="b">
        <v>0</v>
      </c>
      <c r="H159" s="89">
        <v>1</v>
      </c>
      <c r="I159" s="89">
        <v>1</v>
      </c>
      <c r="J159" s="90">
        <v>0.22</v>
      </c>
    </row>
    <row r="160" spans="1:10" ht="12.75">
      <c r="A160" s="87">
        <v>58</v>
      </c>
      <c r="B160" s="88">
        <v>40546</v>
      </c>
      <c r="C160" s="89">
        <v>1</v>
      </c>
      <c r="D160" s="89">
        <v>0</v>
      </c>
      <c r="E160" s="89">
        <v>1</v>
      </c>
      <c r="F160" s="89">
        <v>12</v>
      </c>
      <c r="G160" s="89" t="b">
        <v>0</v>
      </c>
      <c r="H160" s="89">
        <v>1</v>
      </c>
      <c r="I160" s="89">
        <v>1</v>
      </c>
      <c r="J160" s="90">
        <v>0.22</v>
      </c>
    </row>
    <row r="161" spans="1:10" ht="12.75">
      <c r="A161" s="87">
        <v>80</v>
      </c>
      <c r="B161" s="88">
        <v>40547</v>
      </c>
      <c r="C161" s="89">
        <v>1</v>
      </c>
      <c r="D161" s="89">
        <v>0</v>
      </c>
      <c r="E161" s="89">
        <v>1</v>
      </c>
      <c r="F161" s="89">
        <v>11</v>
      </c>
      <c r="G161" s="89" t="b">
        <v>0</v>
      </c>
      <c r="H161" s="89">
        <v>2</v>
      </c>
      <c r="I161" s="89">
        <v>1</v>
      </c>
      <c r="J161" s="90">
        <v>0.22</v>
      </c>
    </row>
    <row r="162" spans="1:10" ht="12.75">
      <c r="A162" s="87">
        <v>81</v>
      </c>
      <c r="B162" s="88">
        <v>40547</v>
      </c>
      <c r="C162" s="89">
        <v>1</v>
      </c>
      <c r="D162" s="89">
        <v>0</v>
      </c>
      <c r="E162" s="89">
        <v>1</v>
      </c>
      <c r="F162" s="89">
        <v>12</v>
      </c>
      <c r="G162" s="89" t="b">
        <v>0</v>
      </c>
      <c r="H162" s="89">
        <v>2</v>
      </c>
      <c r="I162" s="89">
        <v>1</v>
      </c>
      <c r="J162" s="90">
        <v>0.22</v>
      </c>
    </row>
    <row r="163" spans="1:10" ht="12.75">
      <c r="A163" s="87">
        <v>90</v>
      </c>
      <c r="B163" s="88">
        <v>40547</v>
      </c>
      <c r="C163" s="89">
        <v>1</v>
      </c>
      <c r="D163" s="89">
        <v>0</v>
      </c>
      <c r="E163" s="89">
        <v>1</v>
      </c>
      <c r="F163" s="89">
        <v>21</v>
      </c>
      <c r="G163" s="89" t="b">
        <v>0</v>
      </c>
      <c r="H163" s="89">
        <v>2</v>
      </c>
      <c r="I163" s="89">
        <v>1</v>
      </c>
      <c r="J163" s="90">
        <v>0.22</v>
      </c>
    </row>
    <row r="164" spans="1:10" ht="12.75">
      <c r="A164" s="87">
        <v>91</v>
      </c>
      <c r="B164" s="88">
        <v>40547</v>
      </c>
      <c r="C164" s="89">
        <v>1</v>
      </c>
      <c r="D164" s="89">
        <v>0</v>
      </c>
      <c r="E164" s="89">
        <v>1</v>
      </c>
      <c r="F164" s="89">
        <v>22</v>
      </c>
      <c r="G164" s="89" t="b">
        <v>0</v>
      </c>
      <c r="H164" s="89">
        <v>2</v>
      </c>
      <c r="I164" s="89">
        <v>1</v>
      </c>
      <c r="J164" s="90">
        <v>0.22</v>
      </c>
    </row>
    <row r="165" spans="1:10" ht="12.75">
      <c r="A165" s="87">
        <v>97</v>
      </c>
      <c r="B165" s="88">
        <v>40548</v>
      </c>
      <c r="C165" s="89">
        <v>1</v>
      </c>
      <c r="D165" s="89">
        <v>0</v>
      </c>
      <c r="E165" s="89">
        <v>1</v>
      </c>
      <c r="F165" s="89">
        <v>5</v>
      </c>
      <c r="G165" s="89" t="b">
        <v>0</v>
      </c>
      <c r="H165" s="89">
        <v>3</v>
      </c>
      <c r="I165" s="89">
        <v>1</v>
      </c>
      <c r="J165" s="90">
        <v>0.22</v>
      </c>
    </row>
    <row r="166" spans="1:10" ht="12.75">
      <c r="A166" s="87">
        <v>101</v>
      </c>
      <c r="B166" s="88">
        <v>40548</v>
      </c>
      <c r="C166" s="89">
        <v>1</v>
      </c>
      <c r="D166" s="89">
        <v>0</v>
      </c>
      <c r="E166" s="89">
        <v>1</v>
      </c>
      <c r="F166" s="89">
        <v>9</v>
      </c>
      <c r="G166" s="89" t="b">
        <v>0</v>
      </c>
      <c r="H166" s="89">
        <v>3</v>
      </c>
      <c r="I166" s="89">
        <v>1</v>
      </c>
      <c r="J166" s="90">
        <v>0.22</v>
      </c>
    </row>
    <row r="167" spans="1:10" ht="12.75">
      <c r="A167" s="87">
        <v>102</v>
      </c>
      <c r="B167" s="88">
        <v>40548</v>
      </c>
      <c r="C167" s="89">
        <v>1</v>
      </c>
      <c r="D167" s="89">
        <v>0</v>
      </c>
      <c r="E167" s="89">
        <v>1</v>
      </c>
      <c r="F167" s="89">
        <v>10</v>
      </c>
      <c r="G167" s="89" t="b">
        <v>0</v>
      </c>
      <c r="H167" s="89">
        <v>3</v>
      </c>
      <c r="I167" s="89">
        <v>1</v>
      </c>
      <c r="J167" s="90">
        <v>0.22</v>
      </c>
    </row>
    <row r="168" spans="1:10" ht="12.75">
      <c r="A168" s="87">
        <v>112</v>
      </c>
      <c r="B168" s="88">
        <v>40548</v>
      </c>
      <c r="C168" s="89">
        <v>1</v>
      </c>
      <c r="D168" s="89">
        <v>0</v>
      </c>
      <c r="E168" s="89">
        <v>1</v>
      </c>
      <c r="F168" s="89">
        <v>20</v>
      </c>
      <c r="G168" s="89" t="b">
        <v>0</v>
      </c>
      <c r="H168" s="89">
        <v>3</v>
      </c>
      <c r="I168" s="89">
        <v>1</v>
      </c>
      <c r="J168" s="90">
        <v>0.22</v>
      </c>
    </row>
    <row r="169" spans="1:10" ht="12.75">
      <c r="A169" s="87">
        <v>126</v>
      </c>
      <c r="B169" s="88">
        <v>40549</v>
      </c>
      <c r="C169" s="89">
        <v>1</v>
      </c>
      <c r="D169" s="89">
        <v>0</v>
      </c>
      <c r="E169" s="89">
        <v>1</v>
      </c>
      <c r="F169" s="89">
        <v>11</v>
      </c>
      <c r="G169" s="89" t="b">
        <v>0</v>
      </c>
      <c r="H169" s="89">
        <v>4</v>
      </c>
      <c r="I169" s="89">
        <v>1</v>
      </c>
      <c r="J169" s="90">
        <v>0.22</v>
      </c>
    </row>
    <row r="170" spans="1:10" ht="12.75">
      <c r="A170" s="87">
        <v>132</v>
      </c>
      <c r="B170" s="88">
        <v>40549</v>
      </c>
      <c r="C170" s="89">
        <v>1</v>
      </c>
      <c r="D170" s="89">
        <v>0</v>
      </c>
      <c r="E170" s="89">
        <v>1</v>
      </c>
      <c r="F170" s="89">
        <v>17</v>
      </c>
      <c r="G170" s="89" t="b">
        <v>0</v>
      </c>
      <c r="H170" s="89">
        <v>4</v>
      </c>
      <c r="I170" s="89">
        <v>1</v>
      </c>
      <c r="J170" s="90">
        <v>0.22</v>
      </c>
    </row>
    <row r="171" spans="1:10" ht="12.75">
      <c r="A171" s="87">
        <v>133</v>
      </c>
      <c r="B171" s="88">
        <v>40549</v>
      </c>
      <c r="C171" s="89">
        <v>1</v>
      </c>
      <c r="D171" s="89">
        <v>0</v>
      </c>
      <c r="E171" s="89">
        <v>1</v>
      </c>
      <c r="F171" s="89">
        <v>18</v>
      </c>
      <c r="G171" s="89" t="b">
        <v>0</v>
      </c>
      <c r="H171" s="89">
        <v>4</v>
      </c>
      <c r="I171" s="89">
        <v>1</v>
      </c>
      <c r="J171" s="90">
        <v>0.22</v>
      </c>
    </row>
    <row r="172" spans="1:10" ht="12.75">
      <c r="A172" s="87">
        <v>134</v>
      </c>
      <c r="B172" s="88">
        <v>40549</v>
      </c>
      <c r="C172" s="89">
        <v>1</v>
      </c>
      <c r="D172" s="89">
        <v>0</v>
      </c>
      <c r="E172" s="89">
        <v>1</v>
      </c>
      <c r="F172" s="89">
        <v>19</v>
      </c>
      <c r="G172" s="89" t="b">
        <v>0</v>
      </c>
      <c r="H172" s="89">
        <v>4</v>
      </c>
      <c r="I172" s="89">
        <v>1</v>
      </c>
      <c r="J172" s="90">
        <v>0.22</v>
      </c>
    </row>
    <row r="173" spans="1:10" ht="12.75">
      <c r="A173" s="87">
        <v>136</v>
      </c>
      <c r="B173" s="88">
        <v>40549</v>
      </c>
      <c r="C173" s="89">
        <v>1</v>
      </c>
      <c r="D173" s="89">
        <v>0</v>
      </c>
      <c r="E173" s="89">
        <v>1</v>
      </c>
      <c r="F173" s="89">
        <v>21</v>
      </c>
      <c r="G173" s="89" t="b">
        <v>0</v>
      </c>
      <c r="H173" s="89">
        <v>4</v>
      </c>
      <c r="I173" s="89">
        <v>2</v>
      </c>
      <c r="J173" s="90">
        <v>0.22</v>
      </c>
    </row>
    <row r="174" spans="1:10" ht="12.75">
      <c r="A174" s="87">
        <v>137</v>
      </c>
      <c r="B174" s="88">
        <v>40549</v>
      </c>
      <c r="C174" s="89">
        <v>1</v>
      </c>
      <c r="D174" s="89">
        <v>0</v>
      </c>
      <c r="E174" s="89">
        <v>1</v>
      </c>
      <c r="F174" s="89">
        <v>22</v>
      </c>
      <c r="G174" s="89" t="b">
        <v>0</v>
      </c>
      <c r="H174" s="89">
        <v>4</v>
      </c>
      <c r="I174" s="89">
        <v>2</v>
      </c>
      <c r="J174" s="90">
        <v>0.22</v>
      </c>
    </row>
    <row r="175" spans="1:10" ht="12.75">
      <c r="A175" s="87">
        <v>143</v>
      </c>
      <c r="B175" s="88">
        <v>40550</v>
      </c>
      <c r="C175" s="89">
        <v>1</v>
      </c>
      <c r="D175" s="89">
        <v>0</v>
      </c>
      <c r="E175" s="89">
        <v>1</v>
      </c>
      <c r="F175" s="89">
        <v>5</v>
      </c>
      <c r="G175" s="89" t="b">
        <v>0</v>
      </c>
      <c r="H175" s="89">
        <v>5</v>
      </c>
      <c r="I175" s="89">
        <v>3</v>
      </c>
      <c r="J175" s="90">
        <v>0.22</v>
      </c>
    </row>
    <row r="176" spans="1:10" ht="12.75">
      <c r="A176" s="87">
        <v>148</v>
      </c>
      <c r="B176" s="88">
        <v>40550</v>
      </c>
      <c r="C176" s="89">
        <v>1</v>
      </c>
      <c r="D176" s="89">
        <v>0</v>
      </c>
      <c r="E176" s="89">
        <v>1</v>
      </c>
      <c r="F176" s="89">
        <v>10</v>
      </c>
      <c r="G176" s="89" t="b">
        <v>0</v>
      </c>
      <c r="H176" s="89">
        <v>5</v>
      </c>
      <c r="I176" s="89">
        <v>1</v>
      </c>
      <c r="J176" s="90">
        <v>0.22</v>
      </c>
    </row>
    <row r="177" spans="1:10" ht="12.75">
      <c r="A177" s="87">
        <v>200</v>
      </c>
      <c r="B177" s="88">
        <v>40552</v>
      </c>
      <c r="C177" s="89">
        <v>1</v>
      </c>
      <c r="D177" s="89">
        <v>0</v>
      </c>
      <c r="E177" s="89">
        <v>1</v>
      </c>
      <c r="F177" s="89">
        <v>14</v>
      </c>
      <c r="G177" s="89" t="b">
        <v>0</v>
      </c>
      <c r="H177" s="89">
        <v>0</v>
      </c>
      <c r="I177" s="89">
        <v>1</v>
      </c>
      <c r="J177" s="90">
        <v>0.22</v>
      </c>
    </row>
    <row r="178" spans="1:10" ht="12.75">
      <c r="A178" s="87">
        <v>201</v>
      </c>
      <c r="B178" s="88">
        <v>40552</v>
      </c>
      <c r="C178" s="89">
        <v>1</v>
      </c>
      <c r="D178" s="89">
        <v>0</v>
      </c>
      <c r="E178" s="89">
        <v>1</v>
      </c>
      <c r="F178" s="89">
        <v>15</v>
      </c>
      <c r="G178" s="89" t="b">
        <v>0</v>
      </c>
      <c r="H178" s="89">
        <v>0</v>
      </c>
      <c r="I178" s="89">
        <v>1</v>
      </c>
      <c r="J178" s="90">
        <v>0.22</v>
      </c>
    </row>
    <row r="179" spans="1:10" ht="12.75">
      <c r="A179" s="87">
        <v>267</v>
      </c>
      <c r="B179" s="88">
        <v>40555</v>
      </c>
      <c r="C179" s="89">
        <v>1</v>
      </c>
      <c r="D179" s="89">
        <v>0</v>
      </c>
      <c r="E179" s="89">
        <v>1</v>
      </c>
      <c r="F179" s="89">
        <v>13</v>
      </c>
      <c r="G179" s="89" t="b">
        <v>0</v>
      </c>
      <c r="H179" s="89">
        <v>3</v>
      </c>
      <c r="I179" s="89">
        <v>1</v>
      </c>
      <c r="J179" s="90">
        <v>0.22</v>
      </c>
    </row>
    <row r="180" spans="1:10" ht="12.75">
      <c r="A180" s="87">
        <v>270</v>
      </c>
      <c r="B180" s="88">
        <v>40555</v>
      </c>
      <c r="C180" s="89">
        <v>1</v>
      </c>
      <c r="D180" s="89">
        <v>0</v>
      </c>
      <c r="E180" s="89">
        <v>1</v>
      </c>
      <c r="F180" s="89">
        <v>16</v>
      </c>
      <c r="G180" s="89" t="b">
        <v>0</v>
      </c>
      <c r="H180" s="89">
        <v>3</v>
      </c>
      <c r="I180" s="89">
        <v>1</v>
      </c>
      <c r="J180" s="90">
        <v>0.22</v>
      </c>
    </row>
    <row r="181" spans="1:10" ht="12.75">
      <c r="A181" s="87">
        <v>291</v>
      </c>
      <c r="B181" s="88">
        <v>40556</v>
      </c>
      <c r="C181" s="89">
        <v>1</v>
      </c>
      <c r="D181" s="89">
        <v>0</v>
      </c>
      <c r="E181" s="89">
        <v>1</v>
      </c>
      <c r="F181" s="89">
        <v>13</v>
      </c>
      <c r="G181" s="89" t="b">
        <v>0</v>
      </c>
      <c r="H181" s="89">
        <v>4</v>
      </c>
      <c r="I181" s="89">
        <v>1</v>
      </c>
      <c r="J181" s="90">
        <v>0.22</v>
      </c>
    </row>
    <row r="182" spans="1:10" ht="12.75">
      <c r="A182" s="87">
        <v>292</v>
      </c>
      <c r="B182" s="88">
        <v>40556</v>
      </c>
      <c r="C182" s="89">
        <v>1</v>
      </c>
      <c r="D182" s="89">
        <v>0</v>
      </c>
      <c r="E182" s="89">
        <v>1</v>
      </c>
      <c r="F182" s="89">
        <v>14</v>
      </c>
      <c r="G182" s="89" t="b">
        <v>0</v>
      </c>
      <c r="H182" s="89">
        <v>4</v>
      </c>
      <c r="I182" s="89">
        <v>1</v>
      </c>
      <c r="J182" s="90">
        <v>0.22</v>
      </c>
    </row>
    <row r="183" spans="1:10" ht="12.75">
      <c r="A183" s="87">
        <v>314</v>
      </c>
      <c r="B183" s="88">
        <v>40557</v>
      </c>
      <c r="C183" s="89">
        <v>1</v>
      </c>
      <c r="D183" s="89">
        <v>0</v>
      </c>
      <c r="E183" s="89">
        <v>1</v>
      </c>
      <c r="F183" s="89">
        <v>13</v>
      </c>
      <c r="G183" s="89" t="b">
        <v>0</v>
      </c>
      <c r="H183" s="89">
        <v>5</v>
      </c>
      <c r="I183" s="89">
        <v>1</v>
      </c>
      <c r="J183" s="90">
        <v>0.22</v>
      </c>
    </row>
    <row r="184" spans="1:10" ht="12.75">
      <c r="A184" s="87">
        <v>315</v>
      </c>
      <c r="B184" s="88">
        <v>40557</v>
      </c>
      <c r="C184" s="89">
        <v>1</v>
      </c>
      <c r="D184" s="89">
        <v>0</v>
      </c>
      <c r="E184" s="89">
        <v>1</v>
      </c>
      <c r="F184" s="89">
        <v>14</v>
      </c>
      <c r="G184" s="89" t="b">
        <v>0</v>
      </c>
      <c r="H184" s="89">
        <v>5</v>
      </c>
      <c r="I184" s="89">
        <v>1</v>
      </c>
      <c r="J184" s="90">
        <v>0.22</v>
      </c>
    </row>
    <row r="185" spans="1:10" ht="12.75">
      <c r="A185" s="87">
        <v>317</v>
      </c>
      <c r="B185" s="88">
        <v>40557</v>
      </c>
      <c r="C185" s="89">
        <v>1</v>
      </c>
      <c r="D185" s="89">
        <v>0</v>
      </c>
      <c r="E185" s="89">
        <v>1</v>
      </c>
      <c r="F185" s="89">
        <v>16</v>
      </c>
      <c r="G185" s="89" t="b">
        <v>0</v>
      </c>
      <c r="H185" s="89">
        <v>5</v>
      </c>
      <c r="I185" s="89">
        <v>1</v>
      </c>
      <c r="J185" s="90">
        <v>0.22</v>
      </c>
    </row>
    <row r="186" spans="1:10" ht="12.75">
      <c r="A186" s="87">
        <v>318</v>
      </c>
      <c r="B186" s="88">
        <v>40557</v>
      </c>
      <c r="C186" s="89">
        <v>1</v>
      </c>
      <c r="D186" s="89">
        <v>0</v>
      </c>
      <c r="E186" s="89">
        <v>1</v>
      </c>
      <c r="F186" s="89">
        <v>17</v>
      </c>
      <c r="G186" s="89" t="b">
        <v>0</v>
      </c>
      <c r="H186" s="89">
        <v>5</v>
      </c>
      <c r="I186" s="89">
        <v>1</v>
      </c>
      <c r="J186" s="90">
        <v>0.22</v>
      </c>
    </row>
    <row r="187" spans="1:10" ht="12.75">
      <c r="A187" s="87">
        <v>352</v>
      </c>
      <c r="B187" s="88">
        <v>40559</v>
      </c>
      <c r="C187" s="89">
        <v>1</v>
      </c>
      <c r="D187" s="89">
        <v>0</v>
      </c>
      <c r="E187" s="89">
        <v>1</v>
      </c>
      <c r="F187" s="89">
        <v>3</v>
      </c>
      <c r="G187" s="89" t="b">
        <v>0</v>
      </c>
      <c r="H187" s="89">
        <v>0</v>
      </c>
      <c r="I187" s="89">
        <v>1</v>
      </c>
      <c r="J187" s="90">
        <v>0.22</v>
      </c>
    </row>
    <row r="188" spans="1:10" ht="12.75">
      <c r="A188" s="87">
        <v>357</v>
      </c>
      <c r="B188" s="88">
        <v>40559</v>
      </c>
      <c r="C188" s="89">
        <v>1</v>
      </c>
      <c r="D188" s="89">
        <v>0</v>
      </c>
      <c r="E188" s="89">
        <v>1</v>
      </c>
      <c r="F188" s="89">
        <v>8</v>
      </c>
      <c r="G188" s="89" t="b">
        <v>0</v>
      </c>
      <c r="H188" s="89">
        <v>0</v>
      </c>
      <c r="I188" s="89">
        <v>1</v>
      </c>
      <c r="J188" s="90">
        <v>0.22</v>
      </c>
    </row>
    <row r="189" spans="1:10" ht="12.75">
      <c r="A189" s="87">
        <v>358</v>
      </c>
      <c r="B189" s="88">
        <v>40559</v>
      </c>
      <c r="C189" s="89">
        <v>1</v>
      </c>
      <c r="D189" s="89">
        <v>0</v>
      </c>
      <c r="E189" s="89">
        <v>1</v>
      </c>
      <c r="F189" s="89">
        <v>9</v>
      </c>
      <c r="G189" s="89" t="b">
        <v>0</v>
      </c>
      <c r="H189" s="89">
        <v>0</v>
      </c>
      <c r="I189" s="89">
        <v>1</v>
      </c>
      <c r="J189" s="90">
        <v>0.22</v>
      </c>
    </row>
    <row r="190" spans="1:10" ht="12.75">
      <c r="A190" s="87">
        <v>359</v>
      </c>
      <c r="B190" s="88">
        <v>40559</v>
      </c>
      <c r="C190" s="89">
        <v>1</v>
      </c>
      <c r="D190" s="89">
        <v>0</v>
      </c>
      <c r="E190" s="89">
        <v>1</v>
      </c>
      <c r="F190" s="89">
        <v>10</v>
      </c>
      <c r="G190" s="89" t="b">
        <v>0</v>
      </c>
      <c r="H190" s="89">
        <v>0</v>
      </c>
      <c r="I190" s="89">
        <v>1</v>
      </c>
      <c r="J190" s="90">
        <v>0.22</v>
      </c>
    </row>
    <row r="191" spans="1:10" ht="12.75">
      <c r="A191" s="87">
        <v>366</v>
      </c>
      <c r="B191" s="88">
        <v>40559</v>
      </c>
      <c r="C191" s="89">
        <v>1</v>
      </c>
      <c r="D191" s="89">
        <v>0</v>
      </c>
      <c r="E191" s="89">
        <v>1</v>
      </c>
      <c r="F191" s="89">
        <v>17</v>
      </c>
      <c r="G191" s="89" t="b">
        <v>0</v>
      </c>
      <c r="H191" s="89">
        <v>0</v>
      </c>
      <c r="I191" s="89">
        <v>1</v>
      </c>
      <c r="J191" s="90">
        <v>0.22</v>
      </c>
    </row>
    <row r="192" spans="1:10" ht="12.75">
      <c r="A192" s="87">
        <v>399</v>
      </c>
      <c r="B192" s="88">
        <v>40561</v>
      </c>
      <c r="C192" s="89">
        <v>1</v>
      </c>
      <c r="D192" s="89">
        <v>0</v>
      </c>
      <c r="E192" s="89">
        <v>1</v>
      </c>
      <c r="F192" s="89">
        <v>14</v>
      </c>
      <c r="G192" s="89" t="b">
        <v>0</v>
      </c>
      <c r="H192" s="89">
        <v>2</v>
      </c>
      <c r="I192" s="89">
        <v>2</v>
      </c>
      <c r="J192" s="90">
        <v>0.22</v>
      </c>
    </row>
    <row r="193" spans="1:10" ht="12.75">
      <c r="A193" s="87">
        <v>400</v>
      </c>
      <c r="B193" s="88">
        <v>40561</v>
      </c>
      <c r="C193" s="89">
        <v>1</v>
      </c>
      <c r="D193" s="89">
        <v>0</v>
      </c>
      <c r="E193" s="89">
        <v>1</v>
      </c>
      <c r="F193" s="89">
        <v>15</v>
      </c>
      <c r="G193" s="89" t="b">
        <v>0</v>
      </c>
      <c r="H193" s="89">
        <v>2</v>
      </c>
      <c r="I193" s="89">
        <v>2</v>
      </c>
      <c r="J193" s="90">
        <v>0.22</v>
      </c>
    </row>
    <row r="194" spans="1:10" ht="12.75">
      <c r="A194" s="87">
        <v>401</v>
      </c>
      <c r="B194" s="88">
        <v>40561</v>
      </c>
      <c r="C194" s="89">
        <v>1</v>
      </c>
      <c r="D194" s="89">
        <v>0</v>
      </c>
      <c r="E194" s="89">
        <v>1</v>
      </c>
      <c r="F194" s="89">
        <v>16</v>
      </c>
      <c r="G194" s="89" t="b">
        <v>0</v>
      </c>
      <c r="H194" s="89">
        <v>2</v>
      </c>
      <c r="I194" s="89">
        <v>2</v>
      </c>
      <c r="J194" s="90">
        <v>0.22</v>
      </c>
    </row>
    <row r="195" spans="1:10" ht="12.75">
      <c r="A195" s="87">
        <v>402</v>
      </c>
      <c r="B195" s="88">
        <v>40561</v>
      </c>
      <c r="C195" s="89">
        <v>1</v>
      </c>
      <c r="D195" s="89">
        <v>0</v>
      </c>
      <c r="E195" s="89">
        <v>1</v>
      </c>
      <c r="F195" s="89">
        <v>17</v>
      </c>
      <c r="G195" s="89" t="b">
        <v>0</v>
      </c>
      <c r="H195" s="89">
        <v>2</v>
      </c>
      <c r="I195" s="89">
        <v>2</v>
      </c>
      <c r="J195" s="90">
        <v>0.22</v>
      </c>
    </row>
    <row r="196" spans="1:10" ht="12.75">
      <c r="A196" s="87">
        <v>403</v>
      </c>
      <c r="B196" s="88">
        <v>40561</v>
      </c>
      <c r="C196" s="89">
        <v>1</v>
      </c>
      <c r="D196" s="89">
        <v>0</v>
      </c>
      <c r="E196" s="89">
        <v>1</v>
      </c>
      <c r="F196" s="89">
        <v>18</v>
      </c>
      <c r="G196" s="89" t="b">
        <v>0</v>
      </c>
      <c r="H196" s="89">
        <v>2</v>
      </c>
      <c r="I196" s="89">
        <v>2</v>
      </c>
      <c r="J196" s="90">
        <v>0.22</v>
      </c>
    </row>
    <row r="197" spans="1:10" ht="12.75">
      <c r="A197" s="87">
        <v>404</v>
      </c>
      <c r="B197" s="88">
        <v>40561</v>
      </c>
      <c r="C197" s="89">
        <v>1</v>
      </c>
      <c r="D197" s="89">
        <v>0</v>
      </c>
      <c r="E197" s="89">
        <v>1</v>
      </c>
      <c r="F197" s="89">
        <v>19</v>
      </c>
      <c r="G197" s="89" t="b">
        <v>0</v>
      </c>
      <c r="H197" s="89">
        <v>2</v>
      </c>
      <c r="I197" s="89">
        <v>2</v>
      </c>
      <c r="J197" s="90">
        <v>0.22</v>
      </c>
    </row>
    <row r="198" spans="1:10" ht="12.75">
      <c r="A198" s="87">
        <v>405</v>
      </c>
      <c r="B198" s="88">
        <v>40561</v>
      </c>
      <c r="C198" s="89">
        <v>1</v>
      </c>
      <c r="D198" s="89">
        <v>0</v>
      </c>
      <c r="E198" s="89">
        <v>1</v>
      </c>
      <c r="F198" s="89">
        <v>20</v>
      </c>
      <c r="G198" s="89" t="b">
        <v>0</v>
      </c>
      <c r="H198" s="89">
        <v>2</v>
      </c>
      <c r="I198" s="89">
        <v>2</v>
      </c>
      <c r="J198" s="90">
        <v>0.22</v>
      </c>
    </row>
    <row r="199" spans="1:10" ht="12.75">
      <c r="A199" s="87">
        <v>406</v>
      </c>
      <c r="B199" s="88">
        <v>40561</v>
      </c>
      <c r="C199" s="89">
        <v>1</v>
      </c>
      <c r="D199" s="89">
        <v>0</v>
      </c>
      <c r="E199" s="89">
        <v>1</v>
      </c>
      <c r="F199" s="89">
        <v>21</v>
      </c>
      <c r="G199" s="89" t="b">
        <v>0</v>
      </c>
      <c r="H199" s="89">
        <v>2</v>
      </c>
      <c r="I199" s="89">
        <v>2</v>
      </c>
      <c r="J199" s="90">
        <v>0.22</v>
      </c>
    </row>
    <row r="200" spans="1:10" ht="12.75">
      <c r="A200" s="87">
        <v>407</v>
      </c>
      <c r="B200" s="88">
        <v>40561</v>
      </c>
      <c r="C200" s="89">
        <v>1</v>
      </c>
      <c r="D200" s="89">
        <v>0</v>
      </c>
      <c r="E200" s="89">
        <v>1</v>
      </c>
      <c r="F200" s="89">
        <v>22</v>
      </c>
      <c r="G200" s="89" t="b">
        <v>0</v>
      </c>
      <c r="H200" s="89">
        <v>2</v>
      </c>
      <c r="I200" s="89">
        <v>2</v>
      </c>
      <c r="J200" s="90">
        <v>0.22</v>
      </c>
    </row>
    <row r="201" spans="1:10" ht="12.75">
      <c r="A201" s="87">
        <v>408</v>
      </c>
      <c r="B201" s="88">
        <v>40561</v>
      </c>
      <c r="C201" s="89">
        <v>1</v>
      </c>
      <c r="D201" s="89">
        <v>0</v>
      </c>
      <c r="E201" s="89">
        <v>1</v>
      </c>
      <c r="F201" s="89">
        <v>23</v>
      </c>
      <c r="G201" s="89" t="b">
        <v>0</v>
      </c>
      <c r="H201" s="89">
        <v>2</v>
      </c>
      <c r="I201" s="89">
        <v>2</v>
      </c>
      <c r="J201" s="90">
        <v>0.22</v>
      </c>
    </row>
    <row r="202" spans="1:10" ht="12.75">
      <c r="A202" s="87">
        <v>409</v>
      </c>
      <c r="B202" s="88">
        <v>40562</v>
      </c>
      <c r="C202" s="89">
        <v>1</v>
      </c>
      <c r="D202" s="89">
        <v>0</v>
      </c>
      <c r="E202" s="89">
        <v>1</v>
      </c>
      <c r="F202" s="89">
        <v>0</v>
      </c>
      <c r="G202" s="89" t="b">
        <v>0</v>
      </c>
      <c r="H202" s="89">
        <v>3</v>
      </c>
      <c r="I202" s="89">
        <v>2</v>
      </c>
      <c r="J202" s="90">
        <v>0.22</v>
      </c>
    </row>
    <row r="203" spans="1:10" ht="12.75">
      <c r="A203" s="87">
        <v>410</v>
      </c>
      <c r="B203" s="88">
        <v>40562</v>
      </c>
      <c r="C203" s="89">
        <v>1</v>
      </c>
      <c r="D203" s="89">
        <v>0</v>
      </c>
      <c r="E203" s="89">
        <v>1</v>
      </c>
      <c r="F203" s="89">
        <v>1</v>
      </c>
      <c r="G203" s="89" t="b">
        <v>0</v>
      </c>
      <c r="H203" s="89">
        <v>3</v>
      </c>
      <c r="I203" s="89">
        <v>3</v>
      </c>
      <c r="J203" s="90">
        <v>0.22</v>
      </c>
    </row>
    <row r="204" spans="1:10" ht="12.75">
      <c r="A204" s="87">
        <v>411</v>
      </c>
      <c r="B204" s="88">
        <v>40562</v>
      </c>
      <c r="C204" s="89">
        <v>1</v>
      </c>
      <c r="D204" s="89">
        <v>0</v>
      </c>
      <c r="E204" s="89">
        <v>1</v>
      </c>
      <c r="F204" s="89">
        <v>2</v>
      </c>
      <c r="G204" s="89" t="b">
        <v>0</v>
      </c>
      <c r="H204" s="89">
        <v>3</v>
      </c>
      <c r="I204" s="89">
        <v>3</v>
      </c>
      <c r="J204" s="90">
        <v>0.22</v>
      </c>
    </row>
    <row r="205" spans="1:10" ht="12.75">
      <c r="A205" s="87">
        <v>412</v>
      </c>
      <c r="B205" s="88">
        <v>40562</v>
      </c>
      <c r="C205" s="89">
        <v>1</v>
      </c>
      <c r="D205" s="89">
        <v>0</v>
      </c>
      <c r="E205" s="89">
        <v>1</v>
      </c>
      <c r="F205" s="89">
        <v>4</v>
      </c>
      <c r="G205" s="89" t="b">
        <v>0</v>
      </c>
      <c r="H205" s="89">
        <v>3</v>
      </c>
      <c r="I205" s="89">
        <v>3</v>
      </c>
      <c r="J205" s="90">
        <v>0.22</v>
      </c>
    </row>
    <row r="206" spans="1:10" ht="12.75">
      <c r="A206" s="87">
        <v>413</v>
      </c>
      <c r="B206" s="88">
        <v>40562</v>
      </c>
      <c r="C206" s="89">
        <v>1</v>
      </c>
      <c r="D206" s="89">
        <v>0</v>
      </c>
      <c r="E206" s="89">
        <v>1</v>
      </c>
      <c r="F206" s="89">
        <v>5</v>
      </c>
      <c r="G206" s="89" t="b">
        <v>0</v>
      </c>
      <c r="H206" s="89">
        <v>3</v>
      </c>
      <c r="I206" s="89">
        <v>2</v>
      </c>
      <c r="J206" s="90">
        <v>0.22</v>
      </c>
    </row>
    <row r="207" spans="1:10" ht="12.75">
      <c r="A207" s="87">
        <v>414</v>
      </c>
      <c r="B207" s="88">
        <v>40562</v>
      </c>
      <c r="C207" s="89">
        <v>1</v>
      </c>
      <c r="D207" s="89">
        <v>0</v>
      </c>
      <c r="E207" s="89">
        <v>1</v>
      </c>
      <c r="F207" s="89">
        <v>6</v>
      </c>
      <c r="G207" s="89" t="b">
        <v>0</v>
      </c>
      <c r="H207" s="89">
        <v>3</v>
      </c>
      <c r="I207" s="89">
        <v>2</v>
      </c>
      <c r="J207" s="90">
        <v>0.22</v>
      </c>
    </row>
    <row r="208" spans="1:10" ht="12.75">
      <c r="A208" s="87">
        <v>438</v>
      </c>
      <c r="B208" s="88">
        <v>40563</v>
      </c>
      <c r="C208" s="89">
        <v>1</v>
      </c>
      <c r="D208" s="89">
        <v>0</v>
      </c>
      <c r="E208" s="89">
        <v>1</v>
      </c>
      <c r="F208" s="89">
        <v>6</v>
      </c>
      <c r="G208" s="89" t="b">
        <v>0</v>
      </c>
      <c r="H208" s="89">
        <v>4</v>
      </c>
      <c r="I208" s="89">
        <v>1</v>
      </c>
      <c r="J208" s="90">
        <v>0.22</v>
      </c>
    </row>
    <row r="209" spans="1:10" ht="12.75">
      <c r="A209" s="87">
        <v>439</v>
      </c>
      <c r="B209" s="88">
        <v>40563</v>
      </c>
      <c r="C209" s="89">
        <v>1</v>
      </c>
      <c r="D209" s="89">
        <v>0</v>
      </c>
      <c r="E209" s="89">
        <v>1</v>
      </c>
      <c r="F209" s="89">
        <v>7</v>
      </c>
      <c r="G209" s="89" t="b">
        <v>0</v>
      </c>
      <c r="H209" s="89">
        <v>4</v>
      </c>
      <c r="I209" s="89">
        <v>1</v>
      </c>
      <c r="J209" s="90">
        <v>0.22</v>
      </c>
    </row>
    <row r="210" spans="1:10" ht="12.75">
      <c r="A210" s="87">
        <v>440</v>
      </c>
      <c r="B210" s="88">
        <v>40563</v>
      </c>
      <c r="C210" s="89">
        <v>1</v>
      </c>
      <c r="D210" s="89">
        <v>0</v>
      </c>
      <c r="E210" s="89">
        <v>1</v>
      </c>
      <c r="F210" s="89">
        <v>8</v>
      </c>
      <c r="G210" s="89" t="b">
        <v>0</v>
      </c>
      <c r="H210" s="89">
        <v>4</v>
      </c>
      <c r="I210" s="89">
        <v>1</v>
      </c>
      <c r="J210" s="90">
        <v>0.22</v>
      </c>
    </row>
    <row r="211" spans="1:10" ht="12.75">
      <c r="A211" s="87">
        <v>459</v>
      </c>
      <c r="B211" s="88">
        <v>40564</v>
      </c>
      <c r="C211" s="89">
        <v>1</v>
      </c>
      <c r="D211" s="89">
        <v>0</v>
      </c>
      <c r="E211" s="89">
        <v>1</v>
      </c>
      <c r="F211" s="89">
        <v>3</v>
      </c>
      <c r="G211" s="89" t="b">
        <v>0</v>
      </c>
      <c r="H211" s="89">
        <v>5</v>
      </c>
      <c r="I211" s="89">
        <v>3</v>
      </c>
      <c r="J211" s="90">
        <v>0.22</v>
      </c>
    </row>
    <row r="212" spans="1:10" ht="12.75">
      <c r="A212" s="87">
        <v>460</v>
      </c>
      <c r="B212" s="88">
        <v>40564</v>
      </c>
      <c r="C212" s="89">
        <v>1</v>
      </c>
      <c r="D212" s="89">
        <v>0</v>
      </c>
      <c r="E212" s="89">
        <v>1</v>
      </c>
      <c r="F212" s="89">
        <v>4</v>
      </c>
      <c r="G212" s="89" t="b">
        <v>0</v>
      </c>
      <c r="H212" s="89">
        <v>5</v>
      </c>
      <c r="I212" s="89">
        <v>2</v>
      </c>
      <c r="J212" s="90">
        <v>0.22</v>
      </c>
    </row>
    <row r="213" spans="1:10" ht="12.75">
      <c r="A213" s="87">
        <v>462</v>
      </c>
      <c r="B213" s="88">
        <v>40564</v>
      </c>
      <c r="C213" s="89">
        <v>1</v>
      </c>
      <c r="D213" s="89">
        <v>0</v>
      </c>
      <c r="E213" s="89">
        <v>1</v>
      </c>
      <c r="F213" s="89">
        <v>6</v>
      </c>
      <c r="G213" s="89" t="b">
        <v>0</v>
      </c>
      <c r="H213" s="89">
        <v>5</v>
      </c>
      <c r="I213" s="89">
        <v>1</v>
      </c>
      <c r="J213" s="90">
        <v>0.22</v>
      </c>
    </row>
    <row r="214" spans="1:10" ht="12.75">
      <c r="A214" s="87">
        <v>467</v>
      </c>
      <c r="B214" s="88">
        <v>40564</v>
      </c>
      <c r="C214" s="89">
        <v>1</v>
      </c>
      <c r="D214" s="89">
        <v>0</v>
      </c>
      <c r="E214" s="89">
        <v>1</v>
      </c>
      <c r="F214" s="89">
        <v>11</v>
      </c>
      <c r="G214" s="89" t="b">
        <v>0</v>
      </c>
      <c r="H214" s="89">
        <v>5</v>
      </c>
      <c r="I214" s="89">
        <v>1</v>
      </c>
      <c r="J214" s="90">
        <v>0.22</v>
      </c>
    </row>
    <row r="215" spans="1:10" ht="12.75">
      <c r="A215" s="87">
        <v>468</v>
      </c>
      <c r="B215" s="88">
        <v>40564</v>
      </c>
      <c r="C215" s="89">
        <v>1</v>
      </c>
      <c r="D215" s="89">
        <v>0</v>
      </c>
      <c r="E215" s="89">
        <v>1</v>
      </c>
      <c r="F215" s="89">
        <v>12</v>
      </c>
      <c r="G215" s="89" t="b">
        <v>0</v>
      </c>
      <c r="H215" s="89">
        <v>5</v>
      </c>
      <c r="I215" s="89">
        <v>1</v>
      </c>
      <c r="J215" s="90">
        <v>0.22</v>
      </c>
    </row>
    <row r="216" spans="1:10" ht="12.75">
      <c r="A216" s="87">
        <v>558</v>
      </c>
      <c r="B216" s="88">
        <v>40568</v>
      </c>
      <c r="C216" s="89">
        <v>1</v>
      </c>
      <c r="D216" s="89">
        <v>0</v>
      </c>
      <c r="E216" s="89">
        <v>1</v>
      </c>
      <c r="F216" s="89">
        <v>10</v>
      </c>
      <c r="G216" s="89" t="b">
        <v>0</v>
      </c>
      <c r="H216" s="89">
        <v>2</v>
      </c>
      <c r="I216" s="89">
        <v>2</v>
      </c>
      <c r="J216" s="90">
        <v>0.22</v>
      </c>
    </row>
    <row r="217" spans="1:10" ht="12.75">
      <c r="A217" s="87">
        <v>570</v>
      </c>
      <c r="B217" s="88">
        <v>40568</v>
      </c>
      <c r="C217" s="89">
        <v>1</v>
      </c>
      <c r="D217" s="89">
        <v>0</v>
      </c>
      <c r="E217" s="89">
        <v>1</v>
      </c>
      <c r="F217" s="89">
        <v>22</v>
      </c>
      <c r="G217" s="89" t="b">
        <v>0</v>
      </c>
      <c r="H217" s="89">
        <v>2</v>
      </c>
      <c r="I217" s="89">
        <v>1</v>
      </c>
      <c r="J217" s="90">
        <v>0.22</v>
      </c>
    </row>
    <row r="218" spans="1:10" ht="12.75">
      <c r="A218" s="87">
        <v>571</v>
      </c>
      <c r="B218" s="88">
        <v>40568</v>
      </c>
      <c r="C218" s="89">
        <v>1</v>
      </c>
      <c r="D218" s="89">
        <v>0</v>
      </c>
      <c r="E218" s="89">
        <v>1</v>
      </c>
      <c r="F218" s="89">
        <v>23</v>
      </c>
      <c r="G218" s="89" t="b">
        <v>0</v>
      </c>
      <c r="H218" s="89">
        <v>2</v>
      </c>
      <c r="I218" s="89">
        <v>2</v>
      </c>
      <c r="J218" s="90">
        <v>0.22</v>
      </c>
    </row>
    <row r="219" spans="1:10" ht="12.75">
      <c r="A219" s="87">
        <v>572</v>
      </c>
      <c r="B219" s="88">
        <v>40569</v>
      </c>
      <c r="C219" s="89">
        <v>1</v>
      </c>
      <c r="D219" s="89">
        <v>0</v>
      </c>
      <c r="E219" s="89">
        <v>1</v>
      </c>
      <c r="F219" s="89">
        <v>0</v>
      </c>
      <c r="G219" s="89" t="b">
        <v>0</v>
      </c>
      <c r="H219" s="89">
        <v>3</v>
      </c>
      <c r="I219" s="89">
        <v>2</v>
      </c>
      <c r="J219" s="90">
        <v>0.22</v>
      </c>
    </row>
    <row r="220" spans="1:10" ht="12.75">
      <c r="A220" s="87">
        <v>574</v>
      </c>
      <c r="B220" s="88">
        <v>40569</v>
      </c>
      <c r="C220" s="89">
        <v>1</v>
      </c>
      <c r="D220" s="89">
        <v>0</v>
      </c>
      <c r="E220" s="89">
        <v>1</v>
      </c>
      <c r="F220" s="89">
        <v>2</v>
      </c>
      <c r="G220" s="89" t="b">
        <v>0</v>
      </c>
      <c r="H220" s="89">
        <v>3</v>
      </c>
      <c r="I220" s="89">
        <v>3</v>
      </c>
      <c r="J220" s="90">
        <v>0.22</v>
      </c>
    </row>
    <row r="221" spans="1:10" ht="12.75">
      <c r="A221" s="87">
        <v>577</v>
      </c>
      <c r="B221" s="88">
        <v>40569</v>
      </c>
      <c r="C221" s="89">
        <v>1</v>
      </c>
      <c r="D221" s="89">
        <v>0</v>
      </c>
      <c r="E221" s="89">
        <v>1</v>
      </c>
      <c r="F221" s="89">
        <v>7</v>
      </c>
      <c r="G221" s="89" t="b">
        <v>0</v>
      </c>
      <c r="H221" s="89">
        <v>3</v>
      </c>
      <c r="I221" s="89">
        <v>3</v>
      </c>
      <c r="J221" s="90">
        <v>0.22</v>
      </c>
    </row>
    <row r="222" spans="1:10" ht="12.75">
      <c r="A222" s="87">
        <v>578</v>
      </c>
      <c r="B222" s="88">
        <v>40569</v>
      </c>
      <c r="C222" s="89">
        <v>1</v>
      </c>
      <c r="D222" s="89">
        <v>0</v>
      </c>
      <c r="E222" s="89">
        <v>1</v>
      </c>
      <c r="F222" s="89">
        <v>8</v>
      </c>
      <c r="G222" s="89" t="b">
        <v>0</v>
      </c>
      <c r="H222" s="89">
        <v>3</v>
      </c>
      <c r="I222" s="89">
        <v>3</v>
      </c>
      <c r="J222" s="90">
        <v>0.22</v>
      </c>
    </row>
    <row r="223" spans="1:10" ht="12.75">
      <c r="A223" s="87">
        <v>579</v>
      </c>
      <c r="B223" s="88">
        <v>40569</v>
      </c>
      <c r="C223" s="89">
        <v>1</v>
      </c>
      <c r="D223" s="89">
        <v>0</v>
      </c>
      <c r="E223" s="89">
        <v>1</v>
      </c>
      <c r="F223" s="89">
        <v>9</v>
      </c>
      <c r="G223" s="89" t="b">
        <v>0</v>
      </c>
      <c r="H223" s="89">
        <v>3</v>
      </c>
      <c r="I223" s="89">
        <v>3</v>
      </c>
      <c r="J223" s="90">
        <v>0.22</v>
      </c>
    </row>
    <row r="224" spans="1:10" ht="12.75">
      <c r="A224" s="87">
        <v>580</v>
      </c>
      <c r="B224" s="88">
        <v>40569</v>
      </c>
      <c r="C224" s="89">
        <v>1</v>
      </c>
      <c r="D224" s="89">
        <v>0</v>
      </c>
      <c r="E224" s="89">
        <v>1</v>
      </c>
      <c r="F224" s="89">
        <v>10</v>
      </c>
      <c r="G224" s="89" t="b">
        <v>0</v>
      </c>
      <c r="H224" s="89">
        <v>3</v>
      </c>
      <c r="I224" s="89">
        <v>3</v>
      </c>
      <c r="J224" s="90">
        <v>0.22</v>
      </c>
    </row>
    <row r="225" spans="1:10" ht="12.75">
      <c r="A225" s="87">
        <v>581</v>
      </c>
      <c r="B225" s="88">
        <v>40569</v>
      </c>
      <c r="C225" s="89">
        <v>1</v>
      </c>
      <c r="D225" s="89">
        <v>0</v>
      </c>
      <c r="E225" s="89">
        <v>1</v>
      </c>
      <c r="F225" s="89">
        <v>11</v>
      </c>
      <c r="G225" s="89" t="b">
        <v>0</v>
      </c>
      <c r="H225" s="89">
        <v>3</v>
      </c>
      <c r="I225" s="89">
        <v>3</v>
      </c>
      <c r="J225" s="90">
        <v>0.22</v>
      </c>
    </row>
    <row r="226" spans="1:10" ht="12.75">
      <c r="A226" s="87">
        <v>582</v>
      </c>
      <c r="B226" s="88">
        <v>40569</v>
      </c>
      <c r="C226" s="89">
        <v>1</v>
      </c>
      <c r="D226" s="89">
        <v>0</v>
      </c>
      <c r="E226" s="89">
        <v>1</v>
      </c>
      <c r="F226" s="89">
        <v>12</v>
      </c>
      <c r="G226" s="89" t="b">
        <v>0</v>
      </c>
      <c r="H226" s="89">
        <v>3</v>
      </c>
      <c r="I226" s="89">
        <v>3</v>
      </c>
      <c r="J226" s="90">
        <v>0.22</v>
      </c>
    </row>
    <row r="227" spans="1:10" ht="12.75">
      <c r="A227" s="87">
        <v>583</v>
      </c>
      <c r="B227" s="88">
        <v>40569</v>
      </c>
      <c r="C227" s="89">
        <v>1</v>
      </c>
      <c r="D227" s="89">
        <v>0</v>
      </c>
      <c r="E227" s="89">
        <v>1</v>
      </c>
      <c r="F227" s="89">
        <v>13</v>
      </c>
      <c r="G227" s="89" t="b">
        <v>0</v>
      </c>
      <c r="H227" s="89">
        <v>3</v>
      </c>
      <c r="I227" s="89">
        <v>3</v>
      </c>
      <c r="J227" s="90">
        <v>0.22</v>
      </c>
    </row>
    <row r="228" spans="1:10" ht="12.75">
      <c r="A228" s="87">
        <v>584</v>
      </c>
      <c r="B228" s="88">
        <v>40569</v>
      </c>
      <c r="C228" s="89">
        <v>1</v>
      </c>
      <c r="D228" s="89">
        <v>0</v>
      </c>
      <c r="E228" s="89">
        <v>1</v>
      </c>
      <c r="F228" s="89">
        <v>14</v>
      </c>
      <c r="G228" s="89" t="b">
        <v>0</v>
      </c>
      <c r="H228" s="89">
        <v>3</v>
      </c>
      <c r="I228" s="89">
        <v>3</v>
      </c>
      <c r="J228" s="90">
        <v>0.22</v>
      </c>
    </row>
    <row r="229" spans="1:10" ht="12.75">
      <c r="A229" s="87">
        <v>585</v>
      </c>
      <c r="B229" s="88">
        <v>40569</v>
      </c>
      <c r="C229" s="89">
        <v>1</v>
      </c>
      <c r="D229" s="89">
        <v>0</v>
      </c>
      <c r="E229" s="89">
        <v>1</v>
      </c>
      <c r="F229" s="89">
        <v>15</v>
      </c>
      <c r="G229" s="89" t="b">
        <v>0</v>
      </c>
      <c r="H229" s="89">
        <v>3</v>
      </c>
      <c r="I229" s="89">
        <v>3</v>
      </c>
      <c r="J229" s="90">
        <v>0.22</v>
      </c>
    </row>
    <row r="230" spans="1:10" ht="12.75">
      <c r="A230" s="87">
        <v>586</v>
      </c>
      <c r="B230" s="88">
        <v>40569</v>
      </c>
      <c r="C230" s="89">
        <v>1</v>
      </c>
      <c r="D230" s="89">
        <v>0</v>
      </c>
      <c r="E230" s="89">
        <v>1</v>
      </c>
      <c r="F230" s="89">
        <v>16</v>
      </c>
      <c r="G230" s="89" t="b">
        <v>0</v>
      </c>
      <c r="H230" s="89">
        <v>3</v>
      </c>
      <c r="I230" s="89">
        <v>4</v>
      </c>
      <c r="J230" s="90">
        <v>0.22</v>
      </c>
    </row>
    <row r="231" spans="1:10" ht="12.75">
      <c r="A231" s="87">
        <v>588</v>
      </c>
      <c r="B231" s="88">
        <v>40570</v>
      </c>
      <c r="C231" s="89">
        <v>1</v>
      </c>
      <c r="D231" s="89">
        <v>0</v>
      </c>
      <c r="E231" s="89">
        <v>1</v>
      </c>
      <c r="F231" s="89">
        <v>16</v>
      </c>
      <c r="G231" s="89" t="b">
        <v>0</v>
      </c>
      <c r="H231" s="89">
        <v>4</v>
      </c>
      <c r="I231" s="89">
        <v>1</v>
      </c>
      <c r="J231" s="90">
        <v>0.22</v>
      </c>
    </row>
    <row r="232" spans="1:10" ht="12.75">
      <c r="A232" s="87">
        <v>589</v>
      </c>
      <c r="B232" s="88">
        <v>40570</v>
      </c>
      <c r="C232" s="89">
        <v>1</v>
      </c>
      <c r="D232" s="89">
        <v>0</v>
      </c>
      <c r="E232" s="89">
        <v>1</v>
      </c>
      <c r="F232" s="89">
        <v>17</v>
      </c>
      <c r="G232" s="89" t="b">
        <v>0</v>
      </c>
      <c r="H232" s="89">
        <v>4</v>
      </c>
      <c r="I232" s="89">
        <v>1</v>
      </c>
      <c r="J232" s="90">
        <v>0.22</v>
      </c>
    </row>
    <row r="233" spans="1:10" ht="12.75">
      <c r="A233" s="87">
        <v>609</v>
      </c>
      <c r="B233" s="88">
        <v>40571</v>
      </c>
      <c r="C233" s="89">
        <v>1</v>
      </c>
      <c r="D233" s="89">
        <v>0</v>
      </c>
      <c r="E233" s="89">
        <v>1</v>
      </c>
      <c r="F233" s="89">
        <v>14</v>
      </c>
      <c r="G233" s="89" t="b">
        <v>0</v>
      </c>
      <c r="H233" s="89">
        <v>5</v>
      </c>
      <c r="I233" s="89">
        <v>3</v>
      </c>
      <c r="J233" s="90">
        <v>0.22</v>
      </c>
    </row>
    <row r="234" spans="1:10" ht="12.75">
      <c r="A234" s="87">
        <v>8</v>
      </c>
      <c r="B234" s="88">
        <v>40544</v>
      </c>
      <c r="C234" s="89">
        <v>1</v>
      </c>
      <c r="D234" s="89">
        <v>0</v>
      </c>
      <c r="E234" s="89">
        <v>1</v>
      </c>
      <c r="F234" s="89">
        <v>7</v>
      </c>
      <c r="G234" s="89" t="b">
        <v>0</v>
      </c>
      <c r="H234" s="89">
        <v>6</v>
      </c>
      <c r="I234" s="89">
        <v>1</v>
      </c>
      <c r="J234" s="90">
        <v>0.2</v>
      </c>
    </row>
    <row r="235" spans="1:10" ht="12.75">
      <c r="A235" s="87">
        <v>49</v>
      </c>
      <c r="B235" s="88">
        <v>40546</v>
      </c>
      <c r="C235" s="89">
        <v>1</v>
      </c>
      <c r="D235" s="89">
        <v>0</v>
      </c>
      <c r="E235" s="89">
        <v>1</v>
      </c>
      <c r="F235" s="89">
        <v>1</v>
      </c>
      <c r="G235" s="89" t="b">
        <v>0</v>
      </c>
      <c r="H235" s="89">
        <v>1</v>
      </c>
      <c r="I235" s="89">
        <v>1</v>
      </c>
      <c r="J235" s="90">
        <v>0.2</v>
      </c>
    </row>
    <row r="236" spans="1:10" ht="12.75">
      <c r="A236" s="87">
        <v>57</v>
      </c>
      <c r="B236" s="88">
        <v>40546</v>
      </c>
      <c r="C236" s="89">
        <v>1</v>
      </c>
      <c r="D236" s="89">
        <v>0</v>
      </c>
      <c r="E236" s="89">
        <v>1</v>
      </c>
      <c r="F236" s="89">
        <v>11</v>
      </c>
      <c r="G236" s="89" t="b">
        <v>0</v>
      </c>
      <c r="H236" s="89">
        <v>1</v>
      </c>
      <c r="I236" s="89">
        <v>1</v>
      </c>
      <c r="J236" s="90">
        <v>0.2</v>
      </c>
    </row>
    <row r="237" spans="1:10" ht="12.75">
      <c r="A237" s="87">
        <v>65</v>
      </c>
      <c r="B237" s="88">
        <v>40546</v>
      </c>
      <c r="C237" s="89">
        <v>1</v>
      </c>
      <c r="D237" s="89">
        <v>0</v>
      </c>
      <c r="E237" s="89">
        <v>1</v>
      </c>
      <c r="F237" s="89">
        <v>19</v>
      </c>
      <c r="G237" s="89" t="b">
        <v>0</v>
      </c>
      <c r="H237" s="89">
        <v>1</v>
      </c>
      <c r="I237" s="89">
        <v>1</v>
      </c>
      <c r="J237" s="90">
        <v>0.2</v>
      </c>
    </row>
    <row r="238" spans="1:10" ht="12.75">
      <c r="A238" s="87">
        <v>66</v>
      </c>
      <c r="B238" s="88">
        <v>40546</v>
      </c>
      <c r="C238" s="89">
        <v>1</v>
      </c>
      <c r="D238" s="89">
        <v>0</v>
      </c>
      <c r="E238" s="89">
        <v>1</v>
      </c>
      <c r="F238" s="89">
        <v>20</v>
      </c>
      <c r="G238" s="89" t="b">
        <v>0</v>
      </c>
      <c r="H238" s="89">
        <v>1</v>
      </c>
      <c r="I238" s="89">
        <v>1</v>
      </c>
      <c r="J238" s="90">
        <v>0.2</v>
      </c>
    </row>
    <row r="239" spans="1:10" ht="12.75">
      <c r="A239" s="87">
        <v>92</v>
      </c>
      <c r="B239" s="88">
        <v>40547</v>
      </c>
      <c r="C239" s="89">
        <v>1</v>
      </c>
      <c r="D239" s="89">
        <v>0</v>
      </c>
      <c r="E239" s="89">
        <v>1</v>
      </c>
      <c r="F239" s="89">
        <v>23</v>
      </c>
      <c r="G239" s="89" t="b">
        <v>0</v>
      </c>
      <c r="H239" s="89">
        <v>2</v>
      </c>
      <c r="I239" s="89">
        <v>1</v>
      </c>
      <c r="J239" s="90">
        <v>0.2</v>
      </c>
    </row>
    <row r="240" spans="1:10" ht="12.75">
      <c r="A240" s="87">
        <v>93</v>
      </c>
      <c r="B240" s="88">
        <v>40548</v>
      </c>
      <c r="C240" s="89">
        <v>1</v>
      </c>
      <c r="D240" s="89">
        <v>0</v>
      </c>
      <c r="E240" s="89">
        <v>1</v>
      </c>
      <c r="F240" s="89">
        <v>0</v>
      </c>
      <c r="G240" s="89" t="b">
        <v>0</v>
      </c>
      <c r="H240" s="89">
        <v>3</v>
      </c>
      <c r="I240" s="89">
        <v>1</v>
      </c>
      <c r="J240" s="90">
        <v>0.2</v>
      </c>
    </row>
    <row r="241" spans="1:10" ht="12.75">
      <c r="A241" s="87">
        <v>98</v>
      </c>
      <c r="B241" s="88">
        <v>40548</v>
      </c>
      <c r="C241" s="89">
        <v>1</v>
      </c>
      <c r="D241" s="89">
        <v>0</v>
      </c>
      <c r="E241" s="89">
        <v>1</v>
      </c>
      <c r="F241" s="89">
        <v>6</v>
      </c>
      <c r="G241" s="89" t="b">
        <v>0</v>
      </c>
      <c r="H241" s="89">
        <v>3</v>
      </c>
      <c r="I241" s="89">
        <v>1</v>
      </c>
      <c r="J241" s="90">
        <v>0.2</v>
      </c>
    </row>
    <row r="242" spans="1:10" ht="12.75">
      <c r="A242" s="87">
        <v>100</v>
      </c>
      <c r="B242" s="88">
        <v>40548</v>
      </c>
      <c r="C242" s="89">
        <v>1</v>
      </c>
      <c r="D242" s="89">
        <v>0</v>
      </c>
      <c r="E242" s="89">
        <v>1</v>
      </c>
      <c r="F242" s="89">
        <v>8</v>
      </c>
      <c r="G242" s="89" t="b">
        <v>0</v>
      </c>
      <c r="H242" s="89">
        <v>3</v>
      </c>
      <c r="I242" s="89">
        <v>1</v>
      </c>
      <c r="J242" s="90">
        <v>0.2</v>
      </c>
    </row>
    <row r="243" spans="1:10" ht="12.75">
      <c r="A243" s="87">
        <v>113</v>
      </c>
      <c r="B243" s="88">
        <v>40548</v>
      </c>
      <c r="C243" s="89">
        <v>1</v>
      </c>
      <c r="D243" s="89">
        <v>0</v>
      </c>
      <c r="E243" s="89">
        <v>1</v>
      </c>
      <c r="F243" s="89">
        <v>21</v>
      </c>
      <c r="G243" s="89" t="b">
        <v>0</v>
      </c>
      <c r="H243" s="89">
        <v>3</v>
      </c>
      <c r="I243" s="89">
        <v>1</v>
      </c>
      <c r="J243" s="90">
        <v>0.2</v>
      </c>
    </row>
    <row r="244" spans="1:10" ht="12.75">
      <c r="A244" s="87">
        <v>115</v>
      </c>
      <c r="B244" s="88">
        <v>40548</v>
      </c>
      <c r="C244" s="89">
        <v>1</v>
      </c>
      <c r="D244" s="89">
        <v>0</v>
      </c>
      <c r="E244" s="89">
        <v>1</v>
      </c>
      <c r="F244" s="89">
        <v>23</v>
      </c>
      <c r="G244" s="89" t="b">
        <v>0</v>
      </c>
      <c r="H244" s="89">
        <v>3</v>
      </c>
      <c r="I244" s="89">
        <v>1</v>
      </c>
      <c r="J244" s="90">
        <v>0.2</v>
      </c>
    </row>
    <row r="245" spans="1:10" ht="12.75">
      <c r="A245" s="87">
        <v>125</v>
      </c>
      <c r="B245" s="88">
        <v>40549</v>
      </c>
      <c r="C245" s="89">
        <v>1</v>
      </c>
      <c r="D245" s="89">
        <v>0</v>
      </c>
      <c r="E245" s="89">
        <v>1</v>
      </c>
      <c r="F245" s="89">
        <v>10</v>
      </c>
      <c r="G245" s="89" t="b">
        <v>0</v>
      </c>
      <c r="H245" s="89">
        <v>4</v>
      </c>
      <c r="I245" s="89">
        <v>1</v>
      </c>
      <c r="J245" s="90">
        <v>0.2</v>
      </c>
    </row>
    <row r="246" spans="1:10" ht="12.75">
      <c r="A246" s="87">
        <v>135</v>
      </c>
      <c r="B246" s="88">
        <v>40549</v>
      </c>
      <c r="C246" s="89">
        <v>1</v>
      </c>
      <c r="D246" s="89">
        <v>0</v>
      </c>
      <c r="E246" s="89">
        <v>1</v>
      </c>
      <c r="F246" s="89">
        <v>20</v>
      </c>
      <c r="G246" s="89" t="b">
        <v>0</v>
      </c>
      <c r="H246" s="89">
        <v>4</v>
      </c>
      <c r="I246" s="89">
        <v>1</v>
      </c>
      <c r="J246" s="90">
        <v>0.2</v>
      </c>
    </row>
    <row r="247" spans="1:10" ht="12.75">
      <c r="A247" s="87">
        <v>138</v>
      </c>
      <c r="B247" s="88">
        <v>40549</v>
      </c>
      <c r="C247" s="89">
        <v>1</v>
      </c>
      <c r="D247" s="89">
        <v>0</v>
      </c>
      <c r="E247" s="89">
        <v>1</v>
      </c>
      <c r="F247" s="89">
        <v>23</v>
      </c>
      <c r="G247" s="89" t="b">
        <v>0</v>
      </c>
      <c r="H247" s="89">
        <v>4</v>
      </c>
      <c r="I247" s="89">
        <v>2</v>
      </c>
      <c r="J247" s="90">
        <v>0.2</v>
      </c>
    </row>
    <row r="248" spans="1:10" ht="12.75">
      <c r="A248" s="87">
        <v>139</v>
      </c>
      <c r="B248" s="88">
        <v>40550</v>
      </c>
      <c r="C248" s="89">
        <v>1</v>
      </c>
      <c r="D248" s="89">
        <v>0</v>
      </c>
      <c r="E248" s="89">
        <v>1</v>
      </c>
      <c r="F248" s="89">
        <v>0</v>
      </c>
      <c r="G248" s="89" t="b">
        <v>0</v>
      </c>
      <c r="H248" s="89">
        <v>5</v>
      </c>
      <c r="I248" s="89">
        <v>2</v>
      </c>
      <c r="J248" s="90">
        <v>0.2</v>
      </c>
    </row>
    <row r="249" spans="1:10" ht="12.75">
      <c r="A249" s="87">
        <v>140</v>
      </c>
      <c r="B249" s="88">
        <v>40550</v>
      </c>
      <c r="C249" s="89">
        <v>1</v>
      </c>
      <c r="D249" s="89">
        <v>0</v>
      </c>
      <c r="E249" s="89">
        <v>1</v>
      </c>
      <c r="F249" s="89">
        <v>1</v>
      </c>
      <c r="G249" s="89" t="b">
        <v>0</v>
      </c>
      <c r="H249" s="89">
        <v>5</v>
      </c>
      <c r="I249" s="89">
        <v>2</v>
      </c>
      <c r="J249" s="90">
        <v>0.2</v>
      </c>
    </row>
    <row r="250" spans="1:10" ht="12.75">
      <c r="A250" s="87">
        <v>141</v>
      </c>
      <c r="B250" s="88">
        <v>40550</v>
      </c>
      <c r="C250" s="89">
        <v>1</v>
      </c>
      <c r="D250" s="89">
        <v>0</v>
      </c>
      <c r="E250" s="89">
        <v>1</v>
      </c>
      <c r="F250" s="89">
        <v>2</v>
      </c>
      <c r="G250" s="89" t="b">
        <v>0</v>
      </c>
      <c r="H250" s="89">
        <v>5</v>
      </c>
      <c r="I250" s="89">
        <v>2</v>
      </c>
      <c r="J250" s="90">
        <v>0.2</v>
      </c>
    </row>
    <row r="251" spans="1:10" ht="12.75">
      <c r="A251" s="87">
        <v>142</v>
      </c>
      <c r="B251" s="88">
        <v>40550</v>
      </c>
      <c r="C251" s="89">
        <v>1</v>
      </c>
      <c r="D251" s="89">
        <v>0</v>
      </c>
      <c r="E251" s="89">
        <v>1</v>
      </c>
      <c r="F251" s="89">
        <v>4</v>
      </c>
      <c r="G251" s="89" t="b">
        <v>0</v>
      </c>
      <c r="H251" s="89">
        <v>5</v>
      </c>
      <c r="I251" s="89">
        <v>2</v>
      </c>
      <c r="J251" s="90">
        <v>0.2</v>
      </c>
    </row>
    <row r="252" spans="1:10" ht="12.75">
      <c r="A252" s="87">
        <v>144</v>
      </c>
      <c r="B252" s="88">
        <v>40550</v>
      </c>
      <c r="C252" s="89">
        <v>1</v>
      </c>
      <c r="D252" s="89">
        <v>0</v>
      </c>
      <c r="E252" s="89">
        <v>1</v>
      </c>
      <c r="F252" s="89">
        <v>6</v>
      </c>
      <c r="G252" s="89" t="b">
        <v>0</v>
      </c>
      <c r="H252" s="89">
        <v>5</v>
      </c>
      <c r="I252" s="89">
        <v>2</v>
      </c>
      <c r="J252" s="90">
        <v>0.2</v>
      </c>
    </row>
    <row r="253" spans="1:10" ht="12.75">
      <c r="A253" s="87">
        <v>145</v>
      </c>
      <c r="B253" s="88">
        <v>40550</v>
      </c>
      <c r="C253" s="89">
        <v>1</v>
      </c>
      <c r="D253" s="89">
        <v>0</v>
      </c>
      <c r="E253" s="89">
        <v>1</v>
      </c>
      <c r="F253" s="89">
        <v>7</v>
      </c>
      <c r="G253" s="89" t="b">
        <v>0</v>
      </c>
      <c r="H253" s="89">
        <v>5</v>
      </c>
      <c r="I253" s="89">
        <v>1</v>
      </c>
      <c r="J253" s="90">
        <v>0.2</v>
      </c>
    </row>
    <row r="254" spans="1:10" ht="12.75">
      <c r="A254" s="87">
        <v>146</v>
      </c>
      <c r="B254" s="88">
        <v>40550</v>
      </c>
      <c r="C254" s="89">
        <v>1</v>
      </c>
      <c r="D254" s="89">
        <v>0</v>
      </c>
      <c r="E254" s="89">
        <v>1</v>
      </c>
      <c r="F254" s="89">
        <v>8</v>
      </c>
      <c r="G254" s="89" t="b">
        <v>0</v>
      </c>
      <c r="H254" s="89">
        <v>5</v>
      </c>
      <c r="I254" s="89">
        <v>1</v>
      </c>
      <c r="J254" s="90">
        <v>0.2</v>
      </c>
    </row>
    <row r="255" spans="1:10" ht="12.75">
      <c r="A255" s="87">
        <v>147</v>
      </c>
      <c r="B255" s="88">
        <v>40550</v>
      </c>
      <c r="C255" s="89">
        <v>1</v>
      </c>
      <c r="D255" s="89">
        <v>0</v>
      </c>
      <c r="E255" s="89">
        <v>1</v>
      </c>
      <c r="F255" s="89">
        <v>9</v>
      </c>
      <c r="G255" s="89" t="b">
        <v>0</v>
      </c>
      <c r="H255" s="89">
        <v>5</v>
      </c>
      <c r="I255" s="89">
        <v>1</v>
      </c>
      <c r="J255" s="90">
        <v>0.2</v>
      </c>
    </row>
    <row r="256" spans="1:10" ht="12.75">
      <c r="A256" s="87">
        <v>149</v>
      </c>
      <c r="B256" s="88">
        <v>40550</v>
      </c>
      <c r="C256" s="89">
        <v>1</v>
      </c>
      <c r="D256" s="89">
        <v>0</v>
      </c>
      <c r="E256" s="89">
        <v>1</v>
      </c>
      <c r="F256" s="89">
        <v>11</v>
      </c>
      <c r="G256" s="89" t="b">
        <v>0</v>
      </c>
      <c r="H256" s="89">
        <v>5</v>
      </c>
      <c r="I256" s="89">
        <v>2</v>
      </c>
      <c r="J256" s="90">
        <v>0.2</v>
      </c>
    </row>
    <row r="257" spans="1:10" ht="12.75">
      <c r="A257" s="87">
        <v>150</v>
      </c>
      <c r="B257" s="88">
        <v>40550</v>
      </c>
      <c r="C257" s="89">
        <v>1</v>
      </c>
      <c r="D257" s="89">
        <v>0</v>
      </c>
      <c r="E257" s="89">
        <v>1</v>
      </c>
      <c r="F257" s="89">
        <v>12</v>
      </c>
      <c r="G257" s="89" t="b">
        <v>0</v>
      </c>
      <c r="H257" s="89">
        <v>5</v>
      </c>
      <c r="I257" s="89">
        <v>2</v>
      </c>
      <c r="J257" s="90">
        <v>0.2</v>
      </c>
    </row>
    <row r="258" spans="1:10" ht="12.75">
      <c r="A258" s="87">
        <v>151</v>
      </c>
      <c r="B258" s="88">
        <v>40550</v>
      </c>
      <c r="C258" s="89">
        <v>1</v>
      </c>
      <c r="D258" s="89">
        <v>0</v>
      </c>
      <c r="E258" s="89">
        <v>1</v>
      </c>
      <c r="F258" s="89">
        <v>13</v>
      </c>
      <c r="G258" s="89" t="b">
        <v>0</v>
      </c>
      <c r="H258" s="89">
        <v>5</v>
      </c>
      <c r="I258" s="89">
        <v>2</v>
      </c>
      <c r="J258" s="90">
        <v>0.2</v>
      </c>
    </row>
    <row r="259" spans="1:10" ht="12.75">
      <c r="A259" s="87">
        <v>152</v>
      </c>
      <c r="B259" s="88">
        <v>40550</v>
      </c>
      <c r="C259" s="89">
        <v>1</v>
      </c>
      <c r="D259" s="89">
        <v>0</v>
      </c>
      <c r="E259" s="89">
        <v>1</v>
      </c>
      <c r="F259" s="89">
        <v>14</v>
      </c>
      <c r="G259" s="89" t="b">
        <v>0</v>
      </c>
      <c r="H259" s="89">
        <v>5</v>
      </c>
      <c r="I259" s="89">
        <v>2</v>
      </c>
      <c r="J259" s="90">
        <v>0.2</v>
      </c>
    </row>
    <row r="260" spans="1:10" ht="12.75">
      <c r="A260" s="87">
        <v>153</v>
      </c>
      <c r="B260" s="88">
        <v>40550</v>
      </c>
      <c r="C260" s="89">
        <v>1</v>
      </c>
      <c r="D260" s="89">
        <v>0</v>
      </c>
      <c r="E260" s="89">
        <v>1</v>
      </c>
      <c r="F260" s="89">
        <v>15</v>
      </c>
      <c r="G260" s="89" t="b">
        <v>0</v>
      </c>
      <c r="H260" s="89">
        <v>5</v>
      </c>
      <c r="I260" s="89">
        <v>2</v>
      </c>
      <c r="J260" s="90">
        <v>0.2</v>
      </c>
    </row>
    <row r="261" spans="1:10" ht="12.75">
      <c r="A261" s="87">
        <v>154</v>
      </c>
      <c r="B261" s="88">
        <v>40550</v>
      </c>
      <c r="C261" s="89">
        <v>1</v>
      </c>
      <c r="D261" s="89">
        <v>0</v>
      </c>
      <c r="E261" s="89">
        <v>1</v>
      </c>
      <c r="F261" s="89">
        <v>16</v>
      </c>
      <c r="G261" s="89" t="b">
        <v>0</v>
      </c>
      <c r="H261" s="89">
        <v>5</v>
      </c>
      <c r="I261" s="89">
        <v>2</v>
      </c>
      <c r="J261" s="90">
        <v>0.2</v>
      </c>
    </row>
    <row r="262" spans="1:10" ht="12.75">
      <c r="A262" s="87">
        <v>155</v>
      </c>
      <c r="B262" s="88">
        <v>40550</v>
      </c>
      <c r="C262" s="89">
        <v>1</v>
      </c>
      <c r="D262" s="89">
        <v>0</v>
      </c>
      <c r="E262" s="89">
        <v>1</v>
      </c>
      <c r="F262" s="89">
        <v>17</v>
      </c>
      <c r="G262" s="89" t="b">
        <v>0</v>
      </c>
      <c r="H262" s="89">
        <v>5</v>
      </c>
      <c r="I262" s="89">
        <v>2</v>
      </c>
      <c r="J262" s="90">
        <v>0.2</v>
      </c>
    </row>
    <row r="263" spans="1:10" ht="12.75">
      <c r="A263" s="87">
        <v>156</v>
      </c>
      <c r="B263" s="88">
        <v>40550</v>
      </c>
      <c r="C263" s="89">
        <v>1</v>
      </c>
      <c r="D263" s="89">
        <v>0</v>
      </c>
      <c r="E263" s="89">
        <v>1</v>
      </c>
      <c r="F263" s="89">
        <v>18</v>
      </c>
      <c r="G263" s="89" t="b">
        <v>0</v>
      </c>
      <c r="H263" s="89">
        <v>5</v>
      </c>
      <c r="I263" s="89">
        <v>1</v>
      </c>
      <c r="J263" s="90">
        <v>0.2</v>
      </c>
    </row>
    <row r="264" spans="1:10" ht="12.75">
      <c r="A264" s="87">
        <v>173</v>
      </c>
      <c r="B264" s="88">
        <v>40551</v>
      </c>
      <c r="C264" s="89">
        <v>1</v>
      </c>
      <c r="D264" s="89">
        <v>0</v>
      </c>
      <c r="E264" s="89">
        <v>1</v>
      </c>
      <c r="F264" s="89">
        <v>11</v>
      </c>
      <c r="G264" s="89" t="b">
        <v>0</v>
      </c>
      <c r="H264" s="89">
        <v>6</v>
      </c>
      <c r="I264" s="89">
        <v>2</v>
      </c>
      <c r="J264" s="90">
        <v>0.2</v>
      </c>
    </row>
    <row r="265" spans="1:10" ht="12.75">
      <c r="A265" s="87">
        <v>174</v>
      </c>
      <c r="B265" s="88">
        <v>40551</v>
      </c>
      <c r="C265" s="89">
        <v>1</v>
      </c>
      <c r="D265" s="89">
        <v>0</v>
      </c>
      <c r="E265" s="89">
        <v>1</v>
      </c>
      <c r="F265" s="89">
        <v>12</v>
      </c>
      <c r="G265" s="89" t="b">
        <v>0</v>
      </c>
      <c r="H265" s="89">
        <v>6</v>
      </c>
      <c r="I265" s="89">
        <v>2</v>
      </c>
      <c r="J265" s="90">
        <v>0.2</v>
      </c>
    </row>
    <row r="266" spans="1:10" ht="12.75">
      <c r="A266" s="87">
        <v>175</v>
      </c>
      <c r="B266" s="88">
        <v>40551</v>
      </c>
      <c r="C266" s="89">
        <v>1</v>
      </c>
      <c r="D266" s="89">
        <v>0</v>
      </c>
      <c r="E266" s="89">
        <v>1</v>
      </c>
      <c r="F266" s="89">
        <v>13</v>
      </c>
      <c r="G266" s="89" t="b">
        <v>0</v>
      </c>
      <c r="H266" s="89">
        <v>6</v>
      </c>
      <c r="I266" s="89">
        <v>1</v>
      </c>
      <c r="J266" s="90">
        <v>0.2</v>
      </c>
    </row>
    <row r="267" spans="1:10" ht="12.75">
      <c r="A267" s="87">
        <v>176</v>
      </c>
      <c r="B267" s="88">
        <v>40551</v>
      </c>
      <c r="C267" s="89">
        <v>1</v>
      </c>
      <c r="D267" s="89">
        <v>0</v>
      </c>
      <c r="E267" s="89">
        <v>1</v>
      </c>
      <c r="F267" s="89">
        <v>14</v>
      </c>
      <c r="G267" s="89" t="b">
        <v>0</v>
      </c>
      <c r="H267" s="89">
        <v>6</v>
      </c>
      <c r="I267" s="89">
        <v>1</v>
      </c>
      <c r="J267" s="90">
        <v>0.2</v>
      </c>
    </row>
    <row r="268" spans="1:10" ht="12.75">
      <c r="A268" s="87">
        <v>177</v>
      </c>
      <c r="B268" s="88">
        <v>40551</v>
      </c>
      <c r="C268" s="89">
        <v>1</v>
      </c>
      <c r="D268" s="89">
        <v>0</v>
      </c>
      <c r="E268" s="89">
        <v>1</v>
      </c>
      <c r="F268" s="89">
        <v>15</v>
      </c>
      <c r="G268" s="89" t="b">
        <v>0</v>
      </c>
      <c r="H268" s="89">
        <v>6</v>
      </c>
      <c r="I268" s="89">
        <v>1</v>
      </c>
      <c r="J268" s="90">
        <v>0.2</v>
      </c>
    </row>
    <row r="269" spans="1:10" ht="12.75">
      <c r="A269" s="87">
        <v>199</v>
      </c>
      <c r="B269" s="88">
        <v>40552</v>
      </c>
      <c r="C269" s="89">
        <v>1</v>
      </c>
      <c r="D269" s="89">
        <v>0</v>
      </c>
      <c r="E269" s="89">
        <v>1</v>
      </c>
      <c r="F269" s="89">
        <v>13</v>
      </c>
      <c r="G269" s="89" t="b">
        <v>0</v>
      </c>
      <c r="H269" s="89">
        <v>0</v>
      </c>
      <c r="I269" s="89">
        <v>1</v>
      </c>
      <c r="J269" s="90">
        <v>0.2</v>
      </c>
    </row>
    <row r="270" spans="1:10" ht="12.75">
      <c r="A270" s="87">
        <v>202</v>
      </c>
      <c r="B270" s="88">
        <v>40552</v>
      </c>
      <c r="C270" s="89">
        <v>1</v>
      </c>
      <c r="D270" s="89">
        <v>0</v>
      </c>
      <c r="E270" s="89">
        <v>1</v>
      </c>
      <c r="F270" s="89">
        <v>16</v>
      </c>
      <c r="G270" s="89" t="b">
        <v>0</v>
      </c>
      <c r="H270" s="89">
        <v>0</v>
      </c>
      <c r="I270" s="89">
        <v>1</v>
      </c>
      <c r="J270" s="90">
        <v>0.2</v>
      </c>
    </row>
    <row r="271" spans="1:10" ht="12.75">
      <c r="A271" s="87">
        <v>222</v>
      </c>
      <c r="B271" s="88">
        <v>40553</v>
      </c>
      <c r="C271" s="89">
        <v>1</v>
      </c>
      <c r="D271" s="89">
        <v>0</v>
      </c>
      <c r="E271" s="89">
        <v>1</v>
      </c>
      <c r="F271" s="89">
        <v>12</v>
      </c>
      <c r="G271" s="89" t="b">
        <v>0</v>
      </c>
      <c r="H271" s="89">
        <v>1</v>
      </c>
      <c r="I271" s="89">
        <v>2</v>
      </c>
      <c r="J271" s="90">
        <v>0.2</v>
      </c>
    </row>
    <row r="272" spans="1:10" ht="12.75">
      <c r="A272" s="87">
        <v>223</v>
      </c>
      <c r="B272" s="88">
        <v>40553</v>
      </c>
      <c r="C272" s="89">
        <v>1</v>
      </c>
      <c r="D272" s="89">
        <v>0</v>
      </c>
      <c r="E272" s="89">
        <v>1</v>
      </c>
      <c r="F272" s="89">
        <v>13</v>
      </c>
      <c r="G272" s="89" t="b">
        <v>0</v>
      </c>
      <c r="H272" s="89">
        <v>1</v>
      </c>
      <c r="I272" s="89">
        <v>2</v>
      </c>
      <c r="J272" s="90">
        <v>0.2</v>
      </c>
    </row>
    <row r="273" spans="1:10" ht="12.75">
      <c r="A273" s="87">
        <v>224</v>
      </c>
      <c r="B273" s="88">
        <v>40553</v>
      </c>
      <c r="C273" s="89">
        <v>1</v>
      </c>
      <c r="D273" s="89">
        <v>0</v>
      </c>
      <c r="E273" s="89">
        <v>1</v>
      </c>
      <c r="F273" s="89">
        <v>14</v>
      </c>
      <c r="G273" s="89" t="b">
        <v>0</v>
      </c>
      <c r="H273" s="89">
        <v>1</v>
      </c>
      <c r="I273" s="89">
        <v>2</v>
      </c>
      <c r="J273" s="90">
        <v>0.2</v>
      </c>
    </row>
    <row r="274" spans="1:10" ht="12.75">
      <c r="A274" s="87">
        <v>225</v>
      </c>
      <c r="B274" s="88">
        <v>40553</v>
      </c>
      <c r="C274" s="89">
        <v>1</v>
      </c>
      <c r="D274" s="89">
        <v>0</v>
      </c>
      <c r="E274" s="89">
        <v>1</v>
      </c>
      <c r="F274" s="89">
        <v>15</v>
      </c>
      <c r="G274" s="89" t="b">
        <v>0</v>
      </c>
      <c r="H274" s="89">
        <v>1</v>
      </c>
      <c r="I274" s="89">
        <v>2</v>
      </c>
      <c r="J274" s="90">
        <v>0.2</v>
      </c>
    </row>
    <row r="275" spans="1:10" ht="12.75">
      <c r="A275" s="87">
        <v>226</v>
      </c>
      <c r="B275" s="88">
        <v>40553</v>
      </c>
      <c r="C275" s="89">
        <v>1</v>
      </c>
      <c r="D275" s="89">
        <v>0</v>
      </c>
      <c r="E275" s="89">
        <v>1</v>
      </c>
      <c r="F275" s="89">
        <v>16</v>
      </c>
      <c r="G275" s="89" t="b">
        <v>0</v>
      </c>
      <c r="H275" s="89">
        <v>1</v>
      </c>
      <c r="I275" s="89">
        <v>1</v>
      </c>
      <c r="J275" s="90">
        <v>0.2</v>
      </c>
    </row>
    <row r="276" spans="1:10" ht="12.75">
      <c r="A276" s="87">
        <v>227</v>
      </c>
      <c r="B276" s="88">
        <v>40553</v>
      </c>
      <c r="C276" s="89">
        <v>1</v>
      </c>
      <c r="D276" s="89">
        <v>0</v>
      </c>
      <c r="E276" s="89">
        <v>1</v>
      </c>
      <c r="F276" s="89">
        <v>17</v>
      </c>
      <c r="G276" s="89" t="b">
        <v>0</v>
      </c>
      <c r="H276" s="89">
        <v>1</v>
      </c>
      <c r="I276" s="89">
        <v>1</v>
      </c>
      <c r="J276" s="90">
        <v>0.2</v>
      </c>
    </row>
    <row r="277" spans="1:10" ht="12.75">
      <c r="A277" s="87">
        <v>228</v>
      </c>
      <c r="B277" s="88">
        <v>40553</v>
      </c>
      <c r="C277" s="89">
        <v>1</v>
      </c>
      <c r="D277" s="89">
        <v>0</v>
      </c>
      <c r="E277" s="89">
        <v>1</v>
      </c>
      <c r="F277" s="89">
        <v>18</v>
      </c>
      <c r="G277" s="89" t="b">
        <v>0</v>
      </c>
      <c r="H277" s="89">
        <v>1</v>
      </c>
      <c r="I277" s="89">
        <v>1</v>
      </c>
      <c r="J277" s="90">
        <v>0.2</v>
      </c>
    </row>
    <row r="278" spans="1:10" ht="12.75">
      <c r="A278" s="87">
        <v>242</v>
      </c>
      <c r="B278" s="88">
        <v>40554</v>
      </c>
      <c r="C278" s="89">
        <v>1</v>
      </c>
      <c r="D278" s="89">
        <v>0</v>
      </c>
      <c r="E278" s="89">
        <v>1</v>
      </c>
      <c r="F278" s="89">
        <v>10</v>
      </c>
      <c r="G278" s="89" t="b">
        <v>0</v>
      </c>
      <c r="H278" s="89">
        <v>2</v>
      </c>
      <c r="I278" s="89">
        <v>2</v>
      </c>
      <c r="J278" s="90">
        <v>0.2</v>
      </c>
    </row>
    <row r="279" spans="1:10" ht="12.75">
      <c r="A279" s="87">
        <v>243</v>
      </c>
      <c r="B279" s="88">
        <v>40554</v>
      </c>
      <c r="C279" s="89">
        <v>1</v>
      </c>
      <c r="D279" s="89">
        <v>0</v>
      </c>
      <c r="E279" s="89">
        <v>1</v>
      </c>
      <c r="F279" s="89">
        <v>11</v>
      </c>
      <c r="G279" s="89" t="b">
        <v>0</v>
      </c>
      <c r="H279" s="89">
        <v>2</v>
      </c>
      <c r="I279" s="89">
        <v>2</v>
      </c>
      <c r="J279" s="90">
        <v>0.2</v>
      </c>
    </row>
    <row r="280" spans="1:10" ht="12.75">
      <c r="A280" s="87">
        <v>244</v>
      </c>
      <c r="B280" s="88">
        <v>40554</v>
      </c>
      <c r="C280" s="89">
        <v>1</v>
      </c>
      <c r="D280" s="89">
        <v>0</v>
      </c>
      <c r="E280" s="89">
        <v>1</v>
      </c>
      <c r="F280" s="89">
        <v>12</v>
      </c>
      <c r="G280" s="89" t="b">
        <v>0</v>
      </c>
      <c r="H280" s="89">
        <v>2</v>
      </c>
      <c r="I280" s="89">
        <v>2</v>
      </c>
      <c r="J280" s="90">
        <v>0.2</v>
      </c>
    </row>
    <row r="281" spans="1:10" ht="12.75">
      <c r="A281" s="87">
        <v>245</v>
      </c>
      <c r="B281" s="88">
        <v>40554</v>
      </c>
      <c r="C281" s="89">
        <v>1</v>
      </c>
      <c r="D281" s="89">
        <v>0</v>
      </c>
      <c r="E281" s="89">
        <v>1</v>
      </c>
      <c r="F281" s="89">
        <v>13</v>
      </c>
      <c r="G281" s="89" t="b">
        <v>0</v>
      </c>
      <c r="H281" s="89">
        <v>2</v>
      </c>
      <c r="I281" s="89">
        <v>2</v>
      </c>
      <c r="J281" s="90">
        <v>0.2</v>
      </c>
    </row>
    <row r="282" spans="1:10" ht="12.75">
      <c r="A282" s="87">
        <v>246</v>
      </c>
      <c r="B282" s="88">
        <v>40554</v>
      </c>
      <c r="C282" s="89">
        <v>1</v>
      </c>
      <c r="D282" s="89">
        <v>0</v>
      </c>
      <c r="E282" s="89">
        <v>1</v>
      </c>
      <c r="F282" s="89">
        <v>14</v>
      </c>
      <c r="G282" s="89" t="b">
        <v>0</v>
      </c>
      <c r="H282" s="89">
        <v>2</v>
      </c>
      <c r="I282" s="89">
        <v>2</v>
      </c>
      <c r="J282" s="90">
        <v>0.2</v>
      </c>
    </row>
    <row r="283" spans="1:10" ht="12.75">
      <c r="A283" s="87">
        <v>265</v>
      </c>
      <c r="B283" s="88">
        <v>40555</v>
      </c>
      <c r="C283" s="89">
        <v>1</v>
      </c>
      <c r="D283" s="89">
        <v>0</v>
      </c>
      <c r="E283" s="89">
        <v>1</v>
      </c>
      <c r="F283" s="89">
        <v>11</v>
      </c>
      <c r="G283" s="89" t="b">
        <v>0</v>
      </c>
      <c r="H283" s="89">
        <v>3</v>
      </c>
      <c r="I283" s="89">
        <v>1</v>
      </c>
      <c r="J283" s="90">
        <v>0.2</v>
      </c>
    </row>
    <row r="284" spans="1:10" ht="12.75">
      <c r="A284" s="87">
        <v>266</v>
      </c>
      <c r="B284" s="88">
        <v>40555</v>
      </c>
      <c r="C284" s="89">
        <v>1</v>
      </c>
      <c r="D284" s="89">
        <v>0</v>
      </c>
      <c r="E284" s="89">
        <v>1</v>
      </c>
      <c r="F284" s="89">
        <v>12</v>
      </c>
      <c r="G284" s="89" t="b">
        <v>0</v>
      </c>
      <c r="H284" s="89">
        <v>3</v>
      </c>
      <c r="I284" s="89">
        <v>1</v>
      </c>
      <c r="J284" s="90">
        <v>0.2</v>
      </c>
    </row>
    <row r="285" spans="1:10" ht="12.75">
      <c r="A285" s="87">
        <v>268</v>
      </c>
      <c r="B285" s="88">
        <v>40555</v>
      </c>
      <c r="C285" s="89">
        <v>1</v>
      </c>
      <c r="D285" s="89">
        <v>0</v>
      </c>
      <c r="E285" s="89">
        <v>1</v>
      </c>
      <c r="F285" s="89">
        <v>14</v>
      </c>
      <c r="G285" s="89" t="b">
        <v>0</v>
      </c>
      <c r="H285" s="89">
        <v>3</v>
      </c>
      <c r="I285" s="89">
        <v>1</v>
      </c>
      <c r="J285" s="90">
        <v>0.2</v>
      </c>
    </row>
    <row r="286" spans="1:10" ht="12.75">
      <c r="A286" s="87">
        <v>269</v>
      </c>
      <c r="B286" s="88">
        <v>40555</v>
      </c>
      <c r="C286" s="89">
        <v>1</v>
      </c>
      <c r="D286" s="89">
        <v>0</v>
      </c>
      <c r="E286" s="89">
        <v>1</v>
      </c>
      <c r="F286" s="89">
        <v>15</v>
      </c>
      <c r="G286" s="89" t="b">
        <v>0</v>
      </c>
      <c r="H286" s="89">
        <v>3</v>
      </c>
      <c r="I286" s="89">
        <v>1</v>
      </c>
      <c r="J286" s="90">
        <v>0.2</v>
      </c>
    </row>
    <row r="287" spans="1:10" ht="12.75">
      <c r="A287" s="87">
        <v>271</v>
      </c>
      <c r="B287" s="88">
        <v>40555</v>
      </c>
      <c r="C287" s="89">
        <v>1</v>
      </c>
      <c r="D287" s="89">
        <v>0</v>
      </c>
      <c r="E287" s="89">
        <v>1</v>
      </c>
      <c r="F287" s="89">
        <v>17</v>
      </c>
      <c r="G287" s="89" t="b">
        <v>0</v>
      </c>
      <c r="H287" s="89">
        <v>3</v>
      </c>
      <c r="I287" s="89">
        <v>1</v>
      </c>
      <c r="J287" s="90">
        <v>0.2</v>
      </c>
    </row>
    <row r="288" spans="1:10" ht="12.75">
      <c r="A288" s="87">
        <v>272</v>
      </c>
      <c r="B288" s="88">
        <v>40555</v>
      </c>
      <c r="C288" s="89">
        <v>1</v>
      </c>
      <c r="D288" s="89">
        <v>0</v>
      </c>
      <c r="E288" s="89">
        <v>1</v>
      </c>
      <c r="F288" s="89">
        <v>18</v>
      </c>
      <c r="G288" s="89" t="b">
        <v>0</v>
      </c>
      <c r="H288" s="89">
        <v>3</v>
      </c>
      <c r="I288" s="89">
        <v>1</v>
      </c>
      <c r="J288" s="90">
        <v>0.2</v>
      </c>
    </row>
    <row r="289" spans="1:10" ht="12.75">
      <c r="A289" s="87">
        <v>289</v>
      </c>
      <c r="B289" s="88">
        <v>40556</v>
      </c>
      <c r="C289" s="89">
        <v>1</v>
      </c>
      <c r="D289" s="89">
        <v>0</v>
      </c>
      <c r="E289" s="89">
        <v>1</v>
      </c>
      <c r="F289" s="89">
        <v>11</v>
      </c>
      <c r="G289" s="89" t="b">
        <v>0</v>
      </c>
      <c r="H289" s="89">
        <v>4</v>
      </c>
      <c r="I289" s="89">
        <v>2</v>
      </c>
      <c r="J289" s="90">
        <v>0.2</v>
      </c>
    </row>
    <row r="290" spans="1:10" ht="12.75">
      <c r="A290" s="87">
        <v>290</v>
      </c>
      <c r="B290" s="88">
        <v>40556</v>
      </c>
      <c r="C290" s="89">
        <v>1</v>
      </c>
      <c r="D290" s="89">
        <v>0</v>
      </c>
      <c r="E290" s="89">
        <v>1</v>
      </c>
      <c r="F290" s="89">
        <v>12</v>
      </c>
      <c r="G290" s="89" t="b">
        <v>0</v>
      </c>
      <c r="H290" s="89">
        <v>4</v>
      </c>
      <c r="I290" s="89">
        <v>1</v>
      </c>
      <c r="J290" s="90">
        <v>0.2</v>
      </c>
    </row>
    <row r="291" spans="1:10" ht="12.75">
      <c r="A291" s="87">
        <v>295</v>
      </c>
      <c r="B291" s="88">
        <v>40556</v>
      </c>
      <c r="C291" s="89">
        <v>1</v>
      </c>
      <c r="D291" s="89">
        <v>0</v>
      </c>
      <c r="E291" s="89">
        <v>1</v>
      </c>
      <c r="F291" s="89">
        <v>17</v>
      </c>
      <c r="G291" s="89" t="b">
        <v>0</v>
      </c>
      <c r="H291" s="89">
        <v>4</v>
      </c>
      <c r="I291" s="89">
        <v>1</v>
      </c>
      <c r="J291" s="90">
        <v>0.2</v>
      </c>
    </row>
    <row r="292" spans="1:10" ht="12.75">
      <c r="A292" s="87">
        <v>296</v>
      </c>
      <c r="B292" s="88">
        <v>40556</v>
      </c>
      <c r="C292" s="89">
        <v>1</v>
      </c>
      <c r="D292" s="89">
        <v>0</v>
      </c>
      <c r="E292" s="89">
        <v>1</v>
      </c>
      <c r="F292" s="89">
        <v>18</v>
      </c>
      <c r="G292" s="89" t="b">
        <v>0</v>
      </c>
      <c r="H292" s="89">
        <v>4</v>
      </c>
      <c r="I292" s="89">
        <v>1</v>
      </c>
      <c r="J292" s="90">
        <v>0.2</v>
      </c>
    </row>
    <row r="293" spans="1:10" ht="12.75">
      <c r="A293" s="87">
        <v>313</v>
      </c>
      <c r="B293" s="88">
        <v>40557</v>
      </c>
      <c r="C293" s="89">
        <v>1</v>
      </c>
      <c r="D293" s="89">
        <v>0</v>
      </c>
      <c r="E293" s="89">
        <v>1</v>
      </c>
      <c r="F293" s="89">
        <v>12</v>
      </c>
      <c r="G293" s="89" t="b">
        <v>0</v>
      </c>
      <c r="H293" s="89">
        <v>5</v>
      </c>
      <c r="I293" s="89">
        <v>1</v>
      </c>
      <c r="J293" s="90">
        <v>0.2</v>
      </c>
    </row>
    <row r="294" spans="1:10" ht="12.75">
      <c r="A294" s="87">
        <v>319</v>
      </c>
      <c r="B294" s="88">
        <v>40557</v>
      </c>
      <c r="C294" s="89">
        <v>1</v>
      </c>
      <c r="D294" s="89">
        <v>0</v>
      </c>
      <c r="E294" s="89">
        <v>1</v>
      </c>
      <c r="F294" s="89">
        <v>18</v>
      </c>
      <c r="G294" s="89" t="b">
        <v>0</v>
      </c>
      <c r="H294" s="89">
        <v>5</v>
      </c>
      <c r="I294" s="89">
        <v>1</v>
      </c>
      <c r="J294" s="90">
        <v>0.2</v>
      </c>
    </row>
    <row r="295" spans="1:10" ht="12.75">
      <c r="A295" s="87">
        <v>336</v>
      </c>
      <c r="B295" s="88">
        <v>40558</v>
      </c>
      <c r="C295" s="89">
        <v>1</v>
      </c>
      <c r="D295" s="89">
        <v>0</v>
      </c>
      <c r="E295" s="89">
        <v>1</v>
      </c>
      <c r="F295" s="89">
        <v>11</v>
      </c>
      <c r="G295" s="89" t="b">
        <v>0</v>
      </c>
      <c r="H295" s="89">
        <v>6</v>
      </c>
      <c r="I295" s="89">
        <v>1</v>
      </c>
      <c r="J295" s="90">
        <v>0.2</v>
      </c>
    </row>
    <row r="296" spans="1:10" ht="12.75">
      <c r="A296" s="87">
        <v>367</v>
      </c>
      <c r="B296" s="88">
        <v>40559</v>
      </c>
      <c r="C296" s="89">
        <v>1</v>
      </c>
      <c r="D296" s="89">
        <v>0</v>
      </c>
      <c r="E296" s="89">
        <v>1</v>
      </c>
      <c r="F296" s="89">
        <v>18</v>
      </c>
      <c r="G296" s="89" t="b">
        <v>0</v>
      </c>
      <c r="H296" s="89">
        <v>0</v>
      </c>
      <c r="I296" s="89">
        <v>1</v>
      </c>
      <c r="J296" s="90">
        <v>0.2</v>
      </c>
    </row>
    <row r="297" spans="1:10" ht="12.75">
      <c r="A297" s="87">
        <v>371</v>
      </c>
      <c r="B297" s="88">
        <v>40559</v>
      </c>
      <c r="C297" s="89">
        <v>1</v>
      </c>
      <c r="D297" s="89">
        <v>0</v>
      </c>
      <c r="E297" s="89">
        <v>1</v>
      </c>
      <c r="F297" s="89">
        <v>22</v>
      </c>
      <c r="G297" s="89" t="b">
        <v>0</v>
      </c>
      <c r="H297" s="89">
        <v>0</v>
      </c>
      <c r="I297" s="89">
        <v>2</v>
      </c>
      <c r="J297" s="90">
        <v>0.2</v>
      </c>
    </row>
    <row r="298" spans="1:10" ht="12.75">
      <c r="A298" s="87">
        <v>372</v>
      </c>
      <c r="B298" s="88">
        <v>40559</v>
      </c>
      <c r="C298" s="89">
        <v>1</v>
      </c>
      <c r="D298" s="89">
        <v>0</v>
      </c>
      <c r="E298" s="89">
        <v>1</v>
      </c>
      <c r="F298" s="89">
        <v>23</v>
      </c>
      <c r="G298" s="89" t="b">
        <v>0</v>
      </c>
      <c r="H298" s="89">
        <v>0</v>
      </c>
      <c r="I298" s="89">
        <v>2</v>
      </c>
      <c r="J298" s="90">
        <v>0.2</v>
      </c>
    </row>
    <row r="299" spans="1:10" ht="12.75">
      <c r="A299" s="87">
        <v>373</v>
      </c>
      <c r="B299" s="88">
        <v>40560</v>
      </c>
      <c r="C299" s="89">
        <v>1</v>
      </c>
      <c r="D299" s="89">
        <v>0</v>
      </c>
      <c r="E299" s="89">
        <v>1</v>
      </c>
      <c r="F299" s="89">
        <v>0</v>
      </c>
      <c r="G299" s="89" t="b">
        <v>1</v>
      </c>
      <c r="H299" s="89">
        <v>1</v>
      </c>
      <c r="I299" s="89">
        <v>2</v>
      </c>
      <c r="J299" s="90">
        <v>0.2</v>
      </c>
    </row>
    <row r="300" spans="1:10" ht="12.75">
      <c r="A300" s="87">
        <v>374</v>
      </c>
      <c r="B300" s="88">
        <v>40560</v>
      </c>
      <c r="C300" s="89">
        <v>1</v>
      </c>
      <c r="D300" s="89">
        <v>0</v>
      </c>
      <c r="E300" s="89">
        <v>1</v>
      </c>
      <c r="F300" s="89">
        <v>1</v>
      </c>
      <c r="G300" s="89" t="b">
        <v>1</v>
      </c>
      <c r="H300" s="89">
        <v>1</v>
      </c>
      <c r="I300" s="89">
        <v>2</v>
      </c>
      <c r="J300" s="90">
        <v>0.2</v>
      </c>
    </row>
    <row r="301" spans="1:10" ht="12.75">
      <c r="A301" s="87">
        <v>388</v>
      </c>
      <c r="B301" s="88">
        <v>40560</v>
      </c>
      <c r="C301" s="89">
        <v>1</v>
      </c>
      <c r="D301" s="89">
        <v>0</v>
      </c>
      <c r="E301" s="89">
        <v>1</v>
      </c>
      <c r="F301" s="89">
        <v>15</v>
      </c>
      <c r="G301" s="89" t="b">
        <v>1</v>
      </c>
      <c r="H301" s="89">
        <v>1</v>
      </c>
      <c r="I301" s="89">
        <v>2</v>
      </c>
      <c r="J301" s="90">
        <v>0.2</v>
      </c>
    </row>
    <row r="302" spans="1:10" ht="12.75">
      <c r="A302" s="87">
        <v>389</v>
      </c>
      <c r="B302" s="88">
        <v>40560</v>
      </c>
      <c r="C302" s="89">
        <v>1</v>
      </c>
      <c r="D302" s="89">
        <v>0</v>
      </c>
      <c r="E302" s="89">
        <v>1</v>
      </c>
      <c r="F302" s="89">
        <v>16</v>
      </c>
      <c r="G302" s="89" t="b">
        <v>1</v>
      </c>
      <c r="H302" s="89">
        <v>1</v>
      </c>
      <c r="I302" s="89">
        <v>2</v>
      </c>
      <c r="J302" s="90">
        <v>0.2</v>
      </c>
    </row>
    <row r="303" spans="1:10" ht="12.75">
      <c r="A303" s="87">
        <v>390</v>
      </c>
      <c r="B303" s="88">
        <v>40560</v>
      </c>
      <c r="C303" s="89">
        <v>1</v>
      </c>
      <c r="D303" s="89">
        <v>0</v>
      </c>
      <c r="E303" s="89">
        <v>1</v>
      </c>
      <c r="F303" s="89">
        <v>17</v>
      </c>
      <c r="G303" s="89" t="b">
        <v>1</v>
      </c>
      <c r="H303" s="89">
        <v>1</v>
      </c>
      <c r="I303" s="89">
        <v>1</v>
      </c>
      <c r="J303" s="90">
        <v>0.2</v>
      </c>
    </row>
    <row r="304" spans="1:10" ht="12.75">
      <c r="A304" s="87">
        <v>397</v>
      </c>
      <c r="B304" s="88">
        <v>40561</v>
      </c>
      <c r="C304" s="89">
        <v>1</v>
      </c>
      <c r="D304" s="89">
        <v>0</v>
      </c>
      <c r="E304" s="89">
        <v>1</v>
      </c>
      <c r="F304" s="89">
        <v>12</v>
      </c>
      <c r="G304" s="89" t="b">
        <v>0</v>
      </c>
      <c r="H304" s="89">
        <v>2</v>
      </c>
      <c r="I304" s="89">
        <v>2</v>
      </c>
      <c r="J304" s="90">
        <v>0.2</v>
      </c>
    </row>
    <row r="305" spans="1:10" ht="12.75">
      <c r="A305" s="87">
        <v>398</v>
      </c>
      <c r="B305" s="88">
        <v>40561</v>
      </c>
      <c r="C305" s="89">
        <v>1</v>
      </c>
      <c r="D305" s="89">
        <v>0</v>
      </c>
      <c r="E305" s="89">
        <v>1</v>
      </c>
      <c r="F305" s="89">
        <v>13</v>
      </c>
      <c r="G305" s="89" t="b">
        <v>0</v>
      </c>
      <c r="H305" s="89">
        <v>2</v>
      </c>
      <c r="I305" s="89">
        <v>2</v>
      </c>
      <c r="J305" s="90">
        <v>0.2</v>
      </c>
    </row>
    <row r="306" spans="1:10" ht="12.75">
      <c r="A306" s="87">
        <v>463</v>
      </c>
      <c r="B306" s="88">
        <v>40564</v>
      </c>
      <c r="C306" s="89">
        <v>1</v>
      </c>
      <c r="D306" s="89">
        <v>0</v>
      </c>
      <c r="E306" s="89">
        <v>1</v>
      </c>
      <c r="F306" s="89">
        <v>7</v>
      </c>
      <c r="G306" s="89" t="b">
        <v>0</v>
      </c>
      <c r="H306" s="89">
        <v>5</v>
      </c>
      <c r="I306" s="89">
        <v>1</v>
      </c>
      <c r="J306" s="90">
        <v>0.2</v>
      </c>
    </row>
    <row r="307" spans="1:10" ht="12.75">
      <c r="A307" s="87">
        <v>464</v>
      </c>
      <c r="B307" s="88">
        <v>40564</v>
      </c>
      <c r="C307" s="89">
        <v>1</v>
      </c>
      <c r="D307" s="89">
        <v>0</v>
      </c>
      <c r="E307" s="89">
        <v>1</v>
      </c>
      <c r="F307" s="89">
        <v>8</v>
      </c>
      <c r="G307" s="89" t="b">
        <v>0</v>
      </c>
      <c r="H307" s="89">
        <v>5</v>
      </c>
      <c r="I307" s="89">
        <v>1</v>
      </c>
      <c r="J307" s="90">
        <v>0.2</v>
      </c>
    </row>
    <row r="308" spans="1:10" ht="12.75">
      <c r="A308" s="87">
        <v>465</v>
      </c>
      <c r="B308" s="88">
        <v>40564</v>
      </c>
      <c r="C308" s="89">
        <v>1</v>
      </c>
      <c r="D308" s="89">
        <v>0</v>
      </c>
      <c r="E308" s="89">
        <v>1</v>
      </c>
      <c r="F308" s="89">
        <v>9</v>
      </c>
      <c r="G308" s="89" t="b">
        <v>0</v>
      </c>
      <c r="H308" s="89">
        <v>5</v>
      </c>
      <c r="I308" s="89">
        <v>1</v>
      </c>
      <c r="J308" s="90">
        <v>0.2</v>
      </c>
    </row>
    <row r="309" spans="1:10" ht="12.75">
      <c r="A309" s="87">
        <v>466</v>
      </c>
      <c r="B309" s="88">
        <v>40564</v>
      </c>
      <c r="C309" s="89">
        <v>1</v>
      </c>
      <c r="D309" s="89">
        <v>0</v>
      </c>
      <c r="E309" s="89">
        <v>1</v>
      </c>
      <c r="F309" s="89">
        <v>10</v>
      </c>
      <c r="G309" s="89" t="b">
        <v>0</v>
      </c>
      <c r="H309" s="89">
        <v>5</v>
      </c>
      <c r="I309" s="89">
        <v>1</v>
      </c>
      <c r="J309" s="90">
        <v>0.2</v>
      </c>
    </row>
    <row r="310" spans="1:10" ht="12.75">
      <c r="A310" s="87">
        <v>469</v>
      </c>
      <c r="B310" s="88">
        <v>40564</v>
      </c>
      <c r="C310" s="89">
        <v>1</v>
      </c>
      <c r="D310" s="89">
        <v>0</v>
      </c>
      <c r="E310" s="89">
        <v>1</v>
      </c>
      <c r="F310" s="89">
        <v>13</v>
      </c>
      <c r="G310" s="89" t="b">
        <v>0</v>
      </c>
      <c r="H310" s="89">
        <v>5</v>
      </c>
      <c r="I310" s="89">
        <v>1</v>
      </c>
      <c r="J310" s="90">
        <v>0.2</v>
      </c>
    </row>
    <row r="311" spans="1:10" ht="12.75">
      <c r="A311" s="87">
        <v>470</v>
      </c>
      <c r="B311" s="88">
        <v>40564</v>
      </c>
      <c r="C311" s="89">
        <v>1</v>
      </c>
      <c r="D311" s="89">
        <v>0</v>
      </c>
      <c r="E311" s="89">
        <v>1</v>
      </c>
      <c r="F311" s="89">
        <v>14</v>
      </c>
      <c r="G311" s="89" t="b">
        <v>0</v>
      </c>
      <c r="H311" s="89">
        <v>5</v>
      </c>
      <c r="I311" s="89">
        <v>1</v>
      </c>
      <c r="J311" s="90">
        <v>0.2</v>
      </c>
    </row>
    <row r="312" spans="1:10" ht="12.75">
      <c r="A312" s="87">
        <v>557</v>
      </c>
      <c r="B312" s="88">
        <v>40568</v>
      </c>
      <c r="C312" s="89">
        <v>1</v>
      </c>
      <c r="D312" s="89">
        <v>0</v>
      </c>
      <c r="E312" s="89">
        <v>1</v>
      </c>
      <c r="F312" s="89">
        <v>9</v>
      </c>
      <c r="G312" s="89" t="b">
        <v>0</v>
      </c>
      <c r="H312" s="89">
        <v>2</v>
      </c>
      <c r="I312" s="89">
        <v>2</v>
      </c>
      <c r="J312" s="90">
        <v>0.2</v>
      </c>
    </row>
    <row r="313" spans="1:10" ht="12.75">
      <c r="A313" s="87">
        <v>575</v>
      </c>
      <c r="B313" s="88">
        <v>40569</v>
      </c>
      <c r="C313" s="89">
        <v>1</v>
      </c>
      <c r="D313" s="89">
        <v>0</v>
      </c>
      <c r="E313" s="89">
        <v>1</v>
      </c>
      <c r="F313" s="89">
        <v>5</v>
      </c>
      <c r="G313" s="89" t="b">
        <v>0</v>
      </c>
      <c r="H313" s="89">
        <v>3</v>
      </c>
      <c r="I313" s="89">
        <v>3</v>
      </c>
      <c r="J313" s="90">
        <v>0.2</v>
      </c>
    </row>
    <row r="314" spans="1:10" ht="12.75">
      <c r="A314" s="87">
        <v>576</v>
      </c>
      <c r="B314" s="88">
        <v>40569</v>
      </c>
      <c r="C314" s="89">
        <v>1</v>
      </c>
      <c r="D314" s="89">
        <v>0</v>
      </c>
      <c r="E314" s="89">
        <v>1</v>
      </c>
      <c r="F314" s="89">
        <v>6</v>
      </c>
      <c r="G314" s="89" t="b">
        <v>0</v>
      </c>
      <c r="H314" s="89">
        <v>3</v>
      </c>
      <c r="I314" s="89">
        <v>3</v>
      </c>
      <c r="J314" s="90">
        <v>0.2</v>
      </c>
    </row>
    <row r="315" spans="1:10" ht="12.75">
      <c r="A315" s="87">
        <v>587</v>
      </c>
      <c r="B315" s="88">
        <v>40569</v>
      </c>
      <c r="C315" s="89">
        <v>1</v>
      </c>
      <c r="D315" s="89">
        <v>0</v>
      </c>
      <c r="E315" s="89">
        <v>1</v>
      </c>
      <c r="F315" s="89">
        <v>17</v>
      </c>
      <c r="G315" s="89" t="b">
        <v>0</v>
      </c>
      <c r="H315" s="89">
        <v>3</v>
      </c>
      <c r="I315" s="89">
        <v>3</v>
      </c>
      <c r="J315" s="90">
        <v>0.2</v>
      </c>
    </row>
    <row r="316" spans="1:10" ht="12.75">
      <c r="A316" s="87">
        <v>590</v>
      </c>
      <c r="B316" s="88">
        <v>40570</v>
      </c>
      <c r="C316" s="89">
        <v>1</v>
      </c>
      <c r="D316" s="89">
        <v>0</v>
      </c>
      <c r="E316" s="89">
        <v>1</v>
      </c>
      <c r="F316" s="89">
        <v>18</v>
      </c>
      <c r="G316" s="89" t="b">
        <v>0</v>
      </c>
      <c r="H316" s="89">
        <v>4</v>
      </c>
      <c r="I316" s="89">
        <v>1</v>
      </c>
      <c r="J316" s="90">
        <v>0.2</v>
      </c>
    </row>
    <row r="317" spans="1:10" ht="12.75">
      <c r="A317" s="87">
        <v>591</v>
      </c>
      <c r="B317" s="88">
        <v>40570</v>
      </c>
      <c r="C317" s="89">
        <v>1</v>
      </c>
      <c r="D317" s="89">
        <v>0</v>
      </c>
      <c r="E317" s="89">
        <v>1</v>
      </c>
      <c r="F317" s="89">
        <v>19</v>
      </c>
      <c r="G317" s="89" t="b">
        <v>0</v>
      </c>
      <c r="H317" s="89">
        <v>4</v>
      </c>
      <c r="I317" s="89">
        <v>1</v>
      </c>
      <c r="J317" s="90">
        <v>0.2</v>
      </c>
    </row>
    <row r="318" spans="1:10" ht="12.75">
      <c r="A318" s="87">
        <v>596</v>
      </c>
      <c r="B318" s="88">
        <v>40571</v>
      </c>
      <c r="C318" s="89">
        <v>1</v>
      </c>
      <c r="D318" s="89">
        <v>0</v>
      </c>
      <c r="E318" s="89">
        <v>1</v>
      </c>
      <c r="F318" s="89">
        <v>0</v>
      </c>
      <c r="G318" s="89" t="b">
        <v>0</v>
      </c>
      <c r="H318" s="89">
        <v>5</v>
      </c>
      <c r="I318" s="89">
        <v>2</v>
      </c>
      <c r="J318" s="90">
        <v>0.2</v>
      </c>
    </row>
    <row r="319" spans="1:10" ht="12.75">
      <c r="A319" s="87">
        <v>597</v>
      </c>
      <c r="B319" s="88">
        <v>40571</v>
      </c>
      <c r="C319" s="89">
        <v>1</v>
      </c>
      <c r="D319" s="89">
        <v>0</v>
      </c>
      <c r="E319" s="89">
        <v>1</v>
      </c>
      <c r="F319" s="89">
        <v>1</v>
      </c>
      <c r="G319" s="89" t="b">
        <v>0</v>
      </c>
      <c r="H319" s="89">
        <v>5</v>
      </c>
      <c r="I319" s="89">
        <v>2</v>
      </c>
      <c r="J319" s="90">
        <v>0.2</v>
      </c>
    </row>
    <row r="320" spans="1:10" ht="12.75">
      <c r="A320" s="87">
        <v>598</v>
      </c>
      <c r="B320" s="88">
        <v>40571</v>
      </c>
      <c r="C320" s="89">
        <v>1</v>
      </c>
      <c r="D320" s="89">
        <v>0</v>
      </c>
      <c r="E320" s="89">
        <v>1</v>
      </c>
      <c r="F320" s="89">
        <v>2</v>
      </c>
      <c r="G320" s="89" t="b">
        <v>0</v>
      </c>
      <c r="H320" s="89">
        <v>5</v>
      </c>
      <c r="I320" s="89">
        <v>2</v>
      </c>
      <c r="J320" s="90">
        <v>0.2</v>
      </c>
    </row>
    <row r="321" spans="1:10" ht="12.75">
      <c r="A321" s="87">
        <v>599</v>
      </c>
      <c r="B321" s="88">
        <v>40571</v>
      </c>
      <c r="C321" s="89">
        <v>1</v>
      </c>
      <c r="D321" s="89">
        <v>0</v>
      </c>
      <c r="E321" s="89">
        <v>1</v>
      </c>
      <c r="F321" s="89">
        <v>3</v>
      </c>
      <c r="G321" s="89" t="b">
        <v>0</v>
      </c>
      <c r="H321" s="89">
        <v>5</v>
      </c>
      <c r="I321" s="89">
        <v>2</v>
      </c>
      <c r="J321" s="90">
        <v>0.2</v>
      </c>
    </row>
    <row r="322" spans="1:10" ht="12.75">
      <c r="A322" s="87">
        <v>610</v>
      </c>
      <c r="B322" s="88">
        <v>40571</v>
      </c>
      <c r="C322" s="89">
        <v>1</v>
      </c>
      <c r="D322" s="89">
        <v>0</v>
      </c>
      <c r="E322" s="89">
        <v>1</v>
      </c>
      <c r="F322" s="89">
        <v>15</v>
      </c>
      <c r="G322" s="89" t="b">
        <v>0</v>
      </c>
      <c r="H322" s="89">
        <v>5</v>
      </c>
      <c r="I322" s="89">
        <v>2</v>
      </c>
      <c r="J322" s="90">
        <v>0.2</v>
      </c>
    </row>
    <row r="323" spans="1:10" ht="12.75">
      <c r="A323" s="87">
        <v>56</v>
      </c>
      <c r="B323" s="88">
        <v>40546</v>
      </c>
      <c r="C323" s="89">
        <v>1</v>
      </c>
      <c r="D323" s="89">
        <v>0</v>
      </c>
      <c r="E323" s="89">
        <v>1</v>
      </c>
      <c r="F323" s="89">
        <v>10</v>
      </c>
      <c r="G323" s="89" t="b">
        <v>0</v>
      </c>
      <c r="H323" s="89">
        <v>1</v>
      </c>
      <c r="I323" s="89">
        <v>1</v>
      </c>
      <c r="J323" s="90">
        <v>0.18</v>
      </c>
    </row>
    <row r="324" spans="1:10" ht="12.75">
      <c r="A324" s="87">
        <v>67</v>
      </c>
      <c r="B324" s="88">
        <v>40546</v>
      </c>
      <c r="C324" s="89">
        <v>1</v>
      </c>
      <c r="D324" s="89">
        <v>0</v>
      </c>
      <c r="E324" s="89">
        <v>1</v>
      </c>
      <c r="F324" s="89">
        <v>21</v>
      </c>
      <c r="G324" s="89" t="b">
        <v>0</v>
      </c>
      <c r="H324" s="89">
        <v>1</v>
      </c>
      <c r="I324" s="89">
        <v>1</v>
      </c>
      <c r="J324" s="90">
        <v>0.18</v>
      </c>
    </row>
    <row r="325" spans="1:10" ht="12.75">
      <c r="A325" s="87">
        <v>69</v>
      </c>
      <c r="B325" s="88">
        <v>40546</v>
      </c>
      <c r="C325" s="89">
        <v>1</v>
      </c>
      <c r="D325" s="89">
        <v>0</v>
      </c>
      <c r="E325" s="89">
        <v>1</v>
      </c>
      <c r="F325" s="89">
        <v>23</v>
      </c>
      <c r="G325" s="89" t="b">
        <v>0</v>
      </c>
      <c r="H325" s="89">
        <v>1</v>
      </c>
      <c r="I325" s="89">
        <v>1</v>
      </c>
      <c r="J325" s="90">
        <v>0.18</v>
      </c>
    </row>
    <row r="326" spans="1:10" ht="12.75">
      <c r="A326" s="87">
        <v>99</v>
      </c>
      <c r="B326" s="88">
        <v>40548</v>
      </c>
      <c r="C326" s="89">
        <v>1</v>
      </c>
      <c r="D326" s="89">
        <v>0</v>
      </c>
      <c r="E326" s="89">
        <v>1</v>
      </c>
      <c r="F326" s="89">
        <v>7</v>
      </c>
      <c r="G326" s="89" t="b">
        <v>0</v>
      </c>
      <c r="H326" s="89">
        <v>3</v>
      </c>
      <c r="I326" s="89">
        <v>1</v>
      </c>
      <c r="J326" s="90">
        <v>0.18</v>
      </c>
    </row>
    <row r="327" spans="1:10" ht="12.75">
      <c r="A327" s="87">
        <v>114</v>
      </c>
      <c r="B327" s="88">
        <v>40548</v>
      </c>
      <c r="C327" s="89">
        <v>1</v>
      </c>
      <c r="D327" s="89">
        <v>0</v>
      </c>
      <c r="E327" s="89">
        <v>1</v>
      </c>
      <c r="F327" s="89">
        <v>22</v>
      </c>
      <c r="G327" s="89" t="b">
        <v>0</v>
      </c>
      <c r="H327" s="89">
        <v>3</v>
      </c>
      <c r="I327" s="89">
        <v>1</v>
      </c>
      <c r="J327" s="90">
        <v>0.18</v>
      </c>
    </row>
    <row r="328" spans="1:10" ht="12.75">
      <c r="A328" s="87">
        <v>116</v>
      </c>
      <c r="B328" s="88">
        <v>40549</v>
      </c>
      <c r="C328" s="89">
        <v>1</v>
      </c>
      <c r="D328" s="89">
        <v>0</v>
      </c>
      <c r="E328" s="89">
        <v>1</v>
      </c>
      <c r="F328" s="89">
        <v>0</v>
      </c>
      <c r="G328" s="89" t="b">
        <v>0</v>
      </c>
      <c r="H328" s="89">
        <v>4</v>
      </c>
      <c r="I328" s="89">
        <v>1</v>
      </c>
      <c r="J328" s="90">
        <v>0.18</v>
      </c>
    </row>
    <row r="329" spans="1:10" ht="12.75">
      <c r="A329" s="87">
        <v>124</v>
      </c>
      <c r="B329" s="88">
        <v>40549</v>
      </c>
      <c r="C329" s="89">
        <v>1</v>
      </c>
      <c r="D329" s="89">
        <v>0</v>
      </c>
      <c r="E329" s="89">
        <v>1</v>
      </c>
      <c r="F329" s="89">
        <v>9</v>
      </c>
      <c r="G329" s="89" t="b">
        <v>0</v>
      </c>
      <c r="H329" s="89">
        <v>4</v>
      </c>
      <c r="I329" s="89">
        <v>2</v>
      </c>
      <c r="J329" s="90">
        <v>0.18</v>
      </c>
    </row>
    <row r="330" spans="1:10" ht="12.75">
      <c r="A330" s="87">
        <v>158</v>
      </c>
      <c r="B330" s="88">
        <v>40550</v>
      </c>
      <c r="C330" s="89">
        <v>1</v>
      </c>
      <c r="D330" s="89">
        <v>0</v>
      </c>
      <c r="E330" s="89">
        <v>1</v>
      </c>
      <c r="F330" s="89">
        <v>20</v>
      </c>
      <c r="G330" s="89" t="b">
        <v>0</v>
      </c>
      <c r="H330" s="89">
        <v>5</v>
      </c>
      <c r="I330" s="89">
        <v>1</v>
      </c>
      <c r="J330" s="90">
        <v>0.18</v>
      </c>
    </row>
    <row r="331" spans="1:10" ht="12.75">
      <c r="A331" s="87">
        <v>159</v>
      </c>
      <c r="B331" s="88">
        <v>40550</v>
      </c>
      <c r="C331" s="89">
        <v>1</v>
      </c>
      <c r="D331" s="89">
        <v>0</v>
      </c>
      <c r="E331" s="89">
        <v>1</v>
      </c>
      <c r="F331" s="89">
        <v>21</v>
      </c>
      <c r="G331" s="89" t="b">
        <v>0</v>
      </c>
      <c r="H331" s="89">
        <v>5</v>
      </c>
      <c r="I331" s="89">
        <v>1</v>
      </c>
      <c r="J331" s="90">
        <v>0.18</v>
      </c>
    </row>
    <row r="332" spans="1:10" ht="12.75">
      <c r="A332" s="87">
        <v>160</v>
      </c>
      <c r="B332" s="88">
        <v>40550</v>
      </c>
      <c r="C332" s="89">
        <v>1</v>
      </c>
      <c r="D332" s="89">
        <v>0</v>
      </c>
      <c r="E332" s="89">
        <v>1</v>
      </c>
      <c r="F332" s="89">
        <v>22</v>
      </c>
      <c r="G332" s="89" t="b">
        <v>0</v>
      </c>
      <c r="H332" s="89">
        <v>5</v>
      </c>
      <c r="I332" s="89">
        <v>2</v>
      </c>
      <c r="J332" s="90">
        <v>0.18</v>
      </c>
    </row>
    <row r="333" spans="1:10" ht="12.75">
      <c r="A333" s="87">
        <v>161</v>
      </c>
      <c r="B333" s="88">
        <v>40550</v>
      </c>
      <c r="C333" s="89">
        <v>1</v>
      </c>
      <c r="D333" s="89">
        <v>0</v>
      </c>
      <c r="E333" s="89">
        <v>1</v>
      </c>
      <c r="F333" s="89">
        <v>23</v>
      </c>
      <c r="G333" s="89" t="b">
        <v>0</v>
      </c>
      <c r="H333" s="89">
        <v>5</v>
      </c>
      <c r="I333" s="89">
        <v>2</v>
      </c>
      <c r="J333" s="90">
        <v>0.18</v>
      </c>
    </row>
    <row r="334" spans="1:10" ht="12.75">
      <c r="A334" s="87">
        <v>162</v>
      </c>
      <c r="B334" s="88">
        <v>40551</v>
      </c>
      <c r="C334" s="89">
        <v>1</v>
      </c>
      <c r="D334" s="89">
        <v>0</v>
      </c>
      <c r="E334" s="89">
        <v>1</v>
      </c>
      <c r="F334" s="89">
        <v>0</v>
      </c>
      <c r="G334" s="89" t="b">
        <v>0</v>
      </c>
      <c r="H334" s="89">
        <v>6</v>
      </c>
      <c r="I334" s="89">
        <v>2</v>
      </c>
      <c r="J334" s="90">
        <v>0.18</v>
      </c>
    </row>
    <row r="335" spans="1:10" ht="12.75">
      <c r="A335" s="87">
        <v>163</v>
      </c>
      <c r="B335" s="88">
        <v>40551</v>
      </c>
      <c r="C335" s="89">
        <v>1</v>
      </c>
      <c r="D335" s="89">
        <v>0</v>
      </c>
      <c r="E335" s="89">
        <v>1</v>
      </c>
      <c r="F335" s="89">
        <v>1</v>
      </c>
      <c r="G335" s="89" t="b">
        <v>0</v>
      </c>
      <c r="H335" s="89">
        <v>6</v>
      </c>
      <c r="I335" s="89">
        <v>2</v>
      </c>
      <c r="J335" s="90">
        <v>0.18</v>
      </c>
    </row>
    <row r="336" spans="1:10" ht="12.75">
      <c r="A336" s="87">
        <v>164</v>
      </c>
      <c r="B336" s="88">
        <v>40551</v>
      </c>
      <c r="C336" s="89">
        <v>1</v>
      </c>
      <c r="D336" s="89">
        <v>0</v>
      </c>
      <c r="E336" s="89">
        <v>1</v>
      </c>
      <c r="F336" s="89">
        <v>2</v>
      </c>
      <c r="G336" s="89" t="b">
        <v>0</v>
      </c>
      <c r="H336" s="89">
        <v>6</v>
      </c>
      <c r="I336" s="89">
        <v>2</v>
      </c>
      <c r="J336" s="90">
        <v>0.18</v>
      </c>
    </row>
    <row r="337" spans="1:10" ht="12.75">
      <c r="A337" s="87">
        <v>165</v>
      </c>
      <c r="B337" s="88">
        <v>40551</v>
      </c>
      <c r="C337" s="89">
        <v>1</v>
      </c>
      <c r="D337" s="89">
        <v>0</v>
      </c>
      <c r="E337" s="89">
        <v>1</v>
      </c>
      <c r="F337" s="89">
        <v>3</v>
      </c>
      <c r="G337" s="89" t="b">
        <v>0</v>
      </c>
      <c r="H337" s="89">
        <v>6</v>
      </c>
      <c r="I337" s="89">
        <v>3</v>
      </c>
      <c r="J337" s="90">
        <v>0.18</v>
      </c>
    </row>
    <row r="338" spans="1:10" ht="12.75">
      <c r="A338" s="87">
        <v>166</v>
      </c>
      <c r="B338" s="88">
        <v>40551</v>
      </c>
      <c r="C338" s="89">
        <v>1</v>
      </c>
      <c r="D338" s="89">
        <v>0</v>
      </c>
      <c r="E338" s="89">
        <v>1</v>
      </c>
      <c r="F338" s="89">
        <v>4</v>
      </c>
      <c r="G338" s="89" t="b">
        <v>0</v>
      </c>
      <c r="H338" s="89">
        <v>6</v>
      </c>
      <c r="I338" s="89">
        <v>3</v>
      </c>
      <c r="J338" s="90">
        <v>0.18</v>
      </c>
    </row>
    <row r="339" spans="1:10" ht="12.75">
      <c r="A339" s="87">
        <v>172</v>
      </c>
      <c r="B339" s="88">
        <v>40551</v>
      </c>
      <c r="C339" s="89">
        <v>1</v>
      </c>
      <c r="D339" s="89">
        <v>0</v>
      </c>
      <c r="E339" s="89">
        <v>1</v>
      </c>
      <c r="F339" s="89">
        <v>10</v>
      </c>
      <c r="G339" s="89" t="b">
        <v>0</v>
      </c>
      <c r="H339" s="89">
        <v>6</v>
      </c>
      <c r="I339" s="89">
        <v>2</v>
      </c>
      <c r="J339" s="90">
        <v>0.18</v>
      </c>
    </row>
    <row r="340" spans="1:10" ht="12.75">
      <c r="A340" s="87">
        <v>178</v>
      </c>
      <c r="B340" s="88">
        <v>40551</v>
      </c>
      <c r="C340" s="89">
        <v>1</v>
      </c>
      <c r="D340" s="89">
        <v>0</v>
      </c>
      <c r="E340" s="89">
        <v>1</v>
      </c>
      <c r="F340" s="89">
        <v>16</v>
      </c>
      <c r="G340" s="89" t="b">
        <v>0</v>
      </c>
      <c r="H340" s="89">
        <v>6</v>
      </c>
      <c r="I340" s="89">
        <v>1</v>
      </c>
      <c r="J340" s="90">
        <v>0.18</v>
      </c>
    </row>
    <row r="341" spans="1:10" ht="12.75">
      <c r="A341" s="87">
        <v>198</v>
      </c>
      <c r="B341" s="88">
        <v>40552</v>
      </c>
      <c r="C341" s="89">
        <v>1</v>
      </c>
      <c r="D341" s="89">
        <v>0</v>
      </c>
      <c r="E341" s="89">
        <v>1</v>
      </c>
      <c r="F341" s="89">
        <v>12</v>
      </c>
      <c r="G341" s="89" t="b">
        <v>0</v>
      </c>
      <c r="H341" s="89">
        <v>0</v>
      </c>
      <c r="I341" s="89">
        <v>1</v>
      </c>
      <c r="J341" s="90">
        <v>0.18</v>
      </c>
    </row>
    <row r="342" spans="1:10" ht="12.75">
      <c r="A342" s="87">
        <v>203</v>
      </c>
      <c r="B342" s="88">
        <v>40552</v>
      </c>
      <c r="C342" s="89">
        <v>1</v>
      </c>
      <c r="D342" s="89">
        <v>0</v>
      </c>
      <c r="E342" s="89">
        <v>1</v>
      </c>
      <c r="F342" s="89">
        <v>17</v>
      </c>
      <c r="G342" s="89" t="b">
        <v>0</v>
      </c>
      <c r="H342" s="89">
        <v>0</v>
      </c>
      <c r="I342" s="89">
        <v>1</v>
      </c>
      <c r="J342" s="90">
        <v>0.18</v>
      </c>
    </row>
    <row r="343" spans="1:10" ht="12.75">
      <c r="A343" s="87">
        <v>240</v>
      </c>
      <c r="B343" s="88">
        <v>40554</v>
      </c>
      <c r="C343" s="89">
        <v>1</v>
      </c>
      <c r="D343" s="89">
        <v>0</v>
      </c>
      <c r="E343" s="89">
        <v>1</v>
      </c>
      <c r="F343" s="89">
        <v>8</v>
      </c>
      <c r="G343" s="89" t="b">
        <v>0</v>
      </c>
      <c r="H343" s="89">
        <v>2</v>
      </c>
      <c r="I343" s="89">
        <v>2</v>
      </c>
      <c r="J343" s="90">
        <v>0.18</v>
      </c>
    </row>
    <row r="344" spans="1:10" ht="12.75">
      <c r="A344" s="87">
        <v>241</v>
      </c>
      <c r="B344" s="88">
        <v>40554</v>
      </c>
      <c r="C344" s="89">
        <v>1</v>
      </c>
      <c r="D344" s="89">
        <v>0</v>
      </c>
      <c r="E344" s="89">
        <v>1</v>
      </c>
      <c r="F344" s="89">
        <v>9</v>
      </c>
      <c r="G344" s="89" t="b">
        <v>0</v>
      </c>
      <c r="H344" s="89">
        <v>2</v>
      </c>
      <c r="I344" s="89">
        <v>2</v>
      </c>
      <c r="J344" s="90">
        <v>0.18</v>
      </c>
    </row>
    <row r="345" spans="1:10" ht="12.75">
      <c r="A345" s="87">
        <v>264</v>
      </c>
      <c r="B345" s="88">
        <v>40555</v>
      </c>
      <c r="C345" s="89">
        <v>1</v>
      </c>
      <c r="D345" s="89">
        <v>0</v>
      </c>
      <c r="E345" s="89">
        <v>1</v>
      </c>
      <c r="F345" s="89">
        <v>10</v>
      </c>
      <c r="G345" s="89" t="b">
        <v>0</v>
      </c>
      <c r="H345" s="89">
        <v>3</v>
      </c>
      <c r="I345" s="89">
        <v>1</v>
      </c>
      <c r="J345" s="90">
        <v>0.18</v>
      </c>
    </row>
    <row r="346" spans="1:10" ht="12.75">
      <c r="A346" s="87">
        <v>273</v>
      </c>
      <c r="B346" s="88">
        <v>40555</v>
      </c>
      <c r="C346" s="89">
        <v>1</v>
      </c>
      <c r="D346" s="89">
        <v>0</v>
      </c>
      <c r="E346" s="89">
        <v>1</v>
      </c>
      <c r="F346" s="89">
        <v>19</v>
      </c>
      <c r="G346" s="89" t="b">
        <v>0</v>
      </c>
      <c r="H346" s="89">
        <v>3</v>
      </c>
      <c r="I346" s="89">
        <v>1</v>
      </c>
      <c r="J346" s="90">
        <v>0.18</v>
      </c>
    </row>
    <row r="347" spans="1:10" ht="12.75">
      <c r="A347" s="87">
        <v>311</v>
      </c>
      <c r="B347" s="88">
        <v>40557</v>
      </c>
      <c r="C347" s="89">
        <v>1</v>
      </c>
      <c r="D347" s="89">
        <v>0</v>
      </c>
      <c r="E347" s="89">
        <v>1</v>
      </c>
      <c r="F347" s="89">
        <v>10</v>
      </c>
      <c r="G347" s="89" t="b">
        <v>0</v>
      </c>
      <c r="H347" s="89">
        <v>5</v>
      </c>
      <c r="I347" s="89">
        <v>1</v>
      </c>
      <c r="J347" s="90">
        <v>0.18</v>
      </c>
    </row>
    <row r="348" spans="1:10" ht="12.75">
      <c r="A348" s="87">
        <v>312</v>
      </c>
      <c r="B348" s="88">
        <v>40557</v>
      </c>
      <c r="C348" s="89">
        <v>1</v>
      </c>
      <c r="D348" s="89">
        <v>0</v>
      </c>
      <c r="E348" s="89">
        <v>1</v>
      </c>
      <c r="F348" s="89">
        <v>11</v>
      </c>
      <c r="G348" s="89" t="b">
        <v>0</v>
      </c>
      <c r="H348" s="89">
        <v>5</v>
      </c>
      <c r="I348" s="89">
        <v>1</v>
      </c>
      <c r="J348" s="90">
        <v>0.18</v>
      </c>
    </row>
    <row r="349" spans="1:10" ht="12.75">
      <c r="A349" s="87">
        <v>321</v>
      </c>
      <c r="B349" s="88">
        <v>40557</v>
      </c>
      <c r="C349" s="89">
        <v>1</v>
      </c>
      <c r="D349" s="89">
        <v>0</v>
      </c>
      <c r="E349" s="89">
        <v>1</v>
      </c>
      <c r="F349" s="89">
        <v>20</v>
      </c>
      <c r="G349" s="89" t="b">
        <v>0</v>
      </c>
      <c r="H349" s="89">
        <v>5</v>
      </c>
      <c r="I349" s="89">
        <v>1</v>
      </c>
      <c r="J349" s="90">
        <v>0.18</v>
      </c>
    </row>
    <row r="350" spans="1:10" ht="12.75">
      <c r="A350" s="87">
        <v>324</v>
      </c>
      <c r="B350" s="88">
        <v>40557</v>
      </c>
      <c r="C350" s="89">
        <v>1</v>
      </c>
      <c r="D350" s="89">
        <v>0</v>
      </c>
      <c r="E350" s="89">
        <v>1</v>
      </c>
      <c r="F350" s="89">
        <v>23</v>
      </c>
      <c r="G350" s="89" t="b">
        <v>0</v>
      </c>
      <c r="H350" s="89">
        <v>5</v>
      </c>
      <c r="I350" s="89">
        <v>2</v>
      </c>
      <c r="J350" s="90">
        <v>0.18</v>
      </c>
    </row>
    <row r="351" spans="1:10" ht="12.75">
      <c r="A351" s="87">
        <v>325</v>
      </c>
      <c r="B351" s="88">
        <v>40558</v>
      </c>
      <c r="C351" s="89">
        <v>1</v>
      </c>
      <c r="D351" s="89">
        <v>0</v>
      </c>
      <c r="E351" s="89">
        <v>1</v>
      </c>
      <c r="F351" s="89">
        <v>0</v>
      </c>
      <c r="G351" s="89" t="b">
        <v>0</v>
      </c>
      <c r="H351" s="89">
        <v>6</v>
      </c>
      <c r="I351" s="89">
        <v>1</v>
      </c>
      <c r="J351" s="90">
        <v>0.18</v>
      </c>
    </row>
    <row r="352" spans="1:10" ht="12.75">
      <c r="A352" s="87">
        <v>335</v>
      </c>
      <c r="B352" s="88">
        <v>40558</v>
      </c>
      <c r="C352" s="89">
        <v>1</v>
      </c>
      <c r="D352" s="89">
        <v>0</v>
      </c>
      <c r="E352" s="89">
        <v>1</v>
      </c>
      <c r="F352" s="89">
        <v>10</v>
      </c>
      <c r="G352" s="89" t="b">
        <v>0</v>
      </c>
      <c r="H352" s="89">
        <v>6</v>
      </c>
      <c r="I352" s="89">
        <v>1</v>
      </c>
      <c r="J352" s="90">
        <v>0.18</v>
      </c>
    </row>
    <row r="353" spans="1:10" ht="12.75">
      <c r="A353" s="87">
        <v>368</v>
      </c>
      <c r="B353" s="88">
        <v>40559</v>
      </c>
      <c r="C353" s="89">
        <v>1</v>
      </c>
      <c r="D353" s="89">
        <v>0</v>
      </c>
      <c r="E353" s="89">
        <v>1</v>
      </c>
      <c r="F353" s="89">
        <v>19</v>
      </c>
      <c r="G353" s="89" t="b">
        <v>0</v>
      </c>
      <c r="H353" s="89">
        <v>0</v>
      </c>
      <c r="I353" s="89">
        <v>1</v>
      </c>
      <c r="J353" s="90">
        <v>0.18</v>
      </c>
    </row>
    <row r="354" spans="1:10" ht="12.75">
      <c r="A354" s="87">
        <v>369</v>
      </c>
      <c r="B354" s="88">
        <v>40559</v>
      </c>
      <c r="C354" s="89">
        <v>1</v>
      </c>
      <c r="D354" s="89">
        <v>0</v>
      </c>
      <c r="E354" s="89">
        <v>1</v>
      </c>
      <c r="F354" s="89">
        <v>20</v>
      </c>
      <c r="G354" s="89" t="b">
        <v>0</v>
      </c>
      <c r="H354" s="89">
        <v>0</v>
      </c>
      <c r="I354" s="89">
        <v>1</v>
      </c>
      <c r="J354" s="90">
        <v>0.18</v>
      </c>
    </row>
    <row r="355" spans="1:10" ht="12.75">
      <c r="A355" s="87">
        <v>370</v>
      </c>
      <c r="B355" s="88">
        <v>40559</v>
      </c>
      <c r="C355" s="89">
        <v>1</v>
      </c>
      <c r="D355" s="89">
        <v>0</v>
      </c>
      <c r="E355" s="89">
        <v>1</v>
      </c>
      <c r="F355" s="89">
        <v>21</v>
      </c>
      <c r="G355" s="89" t="b">
        <v>0</v>
      </c>
      <c r="H355" s="89">
        <v>0</v>
      </c>
      <c r="I355" s="89">
        <v>1</v>
      </c>
      <c r="J355" s="90">
        <v>0.18</v>
      </c>
    </row>
    <row r="356" spans="1:10" ht="12.75">
      <c r="A356" s="87">
        <v>375</v>
      </c>
      <c r="B356" s="88">
        <v>40560</v>
      </c>
      <c r="C356" s="89">
        <v>1</v>
      </c>
      <c r="D356" s="89">
        <v>0</v>
      </c>
      <c r="E356" s="89">
        <v>1</v>
      </c>
      <c r="F356" s="89">
        <v>2</v>
      </c>
      <c r="G356" s="89" t="b">
        <v>1</v>
      </c>
      <c r="H356" s="89">
        <v>1</v>
      </c>
      <c r="I356" s="89">
        <v>2</v>
      </c>
      <c r="J356" s="90">
        <v>0.18</v>
      </c>
    </row>
    <row r="357" spans="1:10" ht="12.75">
      <c r="A357" s="87">
        <v>376</v>
      </c>
      <c r="B357" s="88">
        <v>40560</v>
      </c>
      <c r="C357" s="89">
        <v>1</v>
      </c>
      <c r="D357" s="89">
        <v>0</v>
      </c>
      <c r="E357" s="89">
        <v>1</v>
      </c>
      <c r="F357" s="89">
        <v>3</v>
      </c>
      <c r="G357" s="89" t="b">
        <v>1</v>
      </c>
      <c r="H357" s="89">
        <v>1</v>
      </c>
      <c r="I357" s="89">
        <v>2</v>
      </c>
      <c r="J357" s="90">
        <v>0.18</v>
      </c>
    </row>
    <row r="358" spans="1:10" ht="12.75">
      <c r="A358" s="87">
        <v>377</v>
      </c>
      <c r="B358" s="88">
        <v>40560</v>
      </c>
      <c r="C358" s="89">
        <v>1</v>
      </c>
      <c r="D358" s="89">
        <v>0</v>
      </c>
      <c r="E358" s="89">
        <v>1</v>
      </c>
      <c r="F358" s="89">
        <v>4</v>
      </c>
      <c r="G358" s="89" t="b">
        <v>1</v>
      </c>
      <c r="H358" s="89">
        <v>1</v>
      </c>
      <c r="I358" s="89">
        <v>2</v>
      </c>
      <c r="J358" s="90">
        <v>0.18</v>
      </c>
    </row>
    <row r="359" spans="1:10" ht="12.75">
      <c r="A359" s="87">
        <v>378</v>
      </c>
      <c r="B359" s="88">
        <v>40560</v>
      </c>
      <c r="C359" s="89">
        <v>1</v>
      </c>
      <c r="D359" s="89">
        <v>0</v>
      </c>
      <c r="E359" s="89">
        <v>1</v>
      </c>
      <c r="F359" s="89">
        <v>5</v>
      </c>
      <c r="G359" s="89" t="b">
        <v>1</v>
      </c>
      <c r="H359" s="89">
        <v>1</v>
      </c>
      <c r="I359" s="89">
        <v>2</v>
      </c>
      <c r="J359" s="90">
        <v>0.18</v>
      </c>
    </row>
    <row r="360" spans="1:10" ht="12.75">
      <c r="A360" s="87">
        <v>379</v>
      </c>
      <c r="B360" s="88">
        <v>40560</v>
      </c>
      <c r="C360" s="89">
        <v>1</v>
      </c>
      <c r="D360" s="89">
        <v>0</v>
      </c>
      <c r="E360" s="89">
        <v>1</v>
      </c>
      <c r="F360" s="89">
        <v>6</v>
      </c>
      <c r="G360" s="89" t="b">
        <v>1</v>
      </c>
      <c r="H360" s="89">
        <v>1</v>
      </c>
      <c r="I360" s="89">
        <v>2</v>
      </c>
      <c r="J360" s="90">
        <v>0.18</v>
      </c>
    </row>
    <row r="361" spans="1:10" ht="12.75">
      <c r="A361" s="87">
        <v>385</v>
      </c>
      <c r="B361" s="88">
        <v>40560</v>
      </c>
      <c r="C361" s="89">
        <v>1</v>
      </c>
      <c r="D361" s="89">
        <v>0</v>
      </c>
      <c r="E361" s="89">
        <v>1</v>
      </c>
      <c r="F361" s="89">
        <v>12</v>
      </c>
      <c r="G361" s="89" t="b">
        <v>1</v>
      </c>
      <c r="H361" s="89">
        <v>1</v>
      </c>
      <c r="I361" s="89">
        <v>2</v>
      </c>
      <c r="J361" s="90">
        <v>0.18</v>
      </c>
    </row>
    <row r="362" spans="1:10" ht="12.75">
      <c r="A362" s="87">
        <v>386</v>
      </c>
      <c r="B362" s="88">
        <v>40560</v>
      </c>
      <c r="C362" s="89">
        <v>1</v>
      </c>
      <c r="D362" s="89">
        <v>0</v>
      </c>
      <c r="E362" s="89">
        <v>1</v>
      </c>
      <c r="F362" s="89">
        <v>13</v>
      </c>
      <c r="G362" s="89" t="b">
        <v>1</v>
      </c>
      <c r="H362" s="89">
        <v>1</v>
      </c>
      <c r="I362" s="89">
        <v>2</v>
      </c>
      <c r="J362" s="90">
        <v>0.18</v>
      </c>
    </row>
    <row r="363" spans="1:10" ht="12.75">
      <c r="A363" s="87">
        <v>387</v>
      </c>
      <c r="B363" s="88">
        <v>40560</v>
      </c>
      <c r="C363" s="89">
        <v>1</v>
      </c>
      <c r="D363" s="89">
        <v>0</v>
      </c>
      <c r="E363" s="89">
        <v>1</v>
      </c>
      <c r="F363" s="89">
        <v>14</v>
      </c>
      <c r="G363" s="89" t="b">
        <v>1</v>
      </c>
      <c r="H363" s="89">
        <v>1</v>
      </c>
      <c r="I363" s="89">
        <v>2</v>
      </c>
      <c r="J363" s="90">
        <v>0.18</v>
      </c>
    </row>
    <row r="364" spans="1:10" ht="12.75">
      <c r="A364" s="87">
        <v>391</v>
      </c>
      <c r="B364" s="88">
        <v>40560</v>
      </c>
      <c r="C364" s="89">
        <v>1</v>
      </c>
      <c r="D364" s="89">
        <v>0</v>
      </c>
      <c r="E364" s="89">
        <v>1</v>
      </c>
      <c r="F364" s="89">
        <v>18</v>
      </c>
      <c r="G364" s="89" t="b">
        <v>1</v>
      </c>
      <c r="H364" s="89">
        <v>1</v>
      </c>
      <c r="I364" s="89">
        <v>2</v>
      </c>
      <c r="J364" s="90">
        <v>0.18</v>
      </c>
    </row>
    <row r="365" spans="1:10" ht="12.75">
      <c r="A365" s="87">
        <v>392</v>
      </c>
      <c r="B365" s="88">
        <v>40560</v>
      </c>
      <c r="C365" s="89">
        <v>1</v>
      </c>
      <c r="D365" s="89">
        <v>0</v>
      </c>
      <c r="E365" s="89">
        <v>1</v>
      </c>
      <c r="F365" s="89">
        <v>19</v>
      </c>
      <c r="G365" s="89" t="b">
        <v>1</v>
      </c>
      <c r="H365" s="89">
        <v>1</v>
      </c>
      <c r="I365" s="89">
        <v>3</v>
      </c>
      <c r="J365" s="90">
        <v>0.18</v>
      </c>
    </row>
    <row r="366" spans="1:10" ht="12.75">
      <c r="A366" s="87">
        <v>592</v>
      </c>
      <c r="B366" s="88">
        <v>40570</v>
      </c>
      <c r="C366" s="89">
        <v>1</v>
      </c>
      <c r="D366" s="89">
        <v>0</v>
      </c>
      <c r="E366" s="89">
        <v>1</v>
      </c>
      <c r="F366" s="89">
        <v>20</v>
      </c>
      <c r="G366" s="89" t="b">
        <v>0</v>
      </c>
      <c r="H366" s="89">
        <v>4</v>
      </c>
      <c r="I366" s="89">
        <v>1</v>
      </c>
      <c r="J366" s="90">
        <v>0.18</v>
      </c>
    </row>
    <row r="367" spans="1:10" ht="12.75">
      <c r="A367" s="87">
        <v>593</v>
      </c>
      <c r="B367" s="88">
        <v>40570</v>
      </c>
      <c r="C367" s="89">
        <v>1</v>
      </c>
      <c r="D367" s="89">
        <v>0</v>
      </c>
      <c r="E367" s="89">
        <v>1</v>
      </c>
      <c r="F367" s="89">
        <v>21</v>
      </c>
      <c r="G367" s="89" t="b">
        <v>0</v>
      </c>
      <c r="H367" s="89">
        <v>4</v>
      </c>
      <c r="I367" s="89">
        <v>1</v>
      </c>
      <c r="J367" s="90">
        <v>0.18</v>
      </c>
    </row>
    <row r="368" spans="1:10" ht="12.75">
      <c r="A368" s="87">
        <v>594</v>
      </c>
      <c r="B368" s="88">
        <v>40570</v>
      </c>
      <c r="C368" s="89">
        <v>1</v>
      </c>
      <c r="D368" s="89">
        <v>0</v>
      </c>
      <c r="E368" s="89">
        <v>1</v>
      </c>
      <c r="F368" s="89">
        <v>22</v>
      </c>
      <c r="G368" s="89" t="b">
        <v>0</v>
      </c>
      <c r="H368" s="89">
        <v>4</v>
      </c>
      <c r="I368" s="89">
        <v>1</v>
      </c>
      <c r="J368" s="90">
        <v>0.18</v>
      </c>
    </row>
    <row r="369" spans="1:10" ht="12.75">
      <c r="A369" s="87">
        <v>595</v>
      </c>
      <c r="B369" s="88">
        <v>40570</v>
      </c>
      <c r="C369" s="89">
        <v>1</v>
      </c>
      <c r="D369" s="89">
        <v>0</v>
      </c>
      <c r="E369" s="89">
        <v>1</v>
      </c>
      <c r="F369" s="89">
        <v>23</v>
      </c>
      <c r="G369" s="89" t="b">
        <v>0</v>
      </c>
      <c r="H369" s="89">
        <v>4</v>
      </c>
      <c r="I369" s="89">
        <v>1</v>
      </c>
      <c r="J369" s="90">
        <v>0.18</v>
      </c>
    </row>
    <row r="370" spans="1:10" ht="12.75">
      <c r="A370" s="87">
        <v>600</v>
      </c>
      <c r="B370" s="88">
        <v>40571</v>
      </c>
      <c r="C370" s="89">
        <v>1</v>
      </c>
      <c r="D370" s="89">
        <v>0</v>
      </c>
      <c r="E370" s="89">
        <v>1</v>
      </c>
      <c r="F370" s="89">
        <v>5</v>
      </c>
      <c r="G370" s="89" t="b">
        <v>0</v>
      </c>
      <c r="H370" s="89">
        <v>5</v>
      </c>
      <c r="I370" s="89">
        <v>2</v>
      </c>
      <c r="J370" s="90">
        <v>0.18</v>
      </c>
    </row>
    <row r="371" spans="1:10" ht="12.75">
      <c r="A371" s="87">
        <v>601</v>
      </c>
      <c r="B371" s="88">
        <v>40571</v>
      </c>
      <c r="C371" s="89">
        <v>1</v>
      </c>
      <c r="D371" s="89">
        <v>0</v>
      </c>
      <c r="E371" s="89">
        <v>1</v>
      </c>
      <c r="F371" s="89">
        <v>6</v>
      </c>
      <c r="G371" s="89" t="b">
        <v>0</v>
      </c>
      <c r="H371" s="89">
        <v>5</v>
      </c>
      <c r="I371" s="89">
        <v>2</v>
      </c>
      <c r="J371" s="90">
        <v>0.18</v>
      </c>
    </row>
    <row r="372" spans="1:10" ht="12.75">
      <c r="A372" s="87">
        <v>604</v>
      </c>
      <c r="B372" s="88">
        <v>40571</v>
      </c>
      <c r="C372" s="89">
        <v>1</v>
      </c>
      <c r="D372" s="89">
        <v>0</v>
      </c>
      <c r="E372" s="89">
        <v>1</v>
      </c>
      <c r="F372" s="89">
        <v>9</v>
      </c>
      <c r="G372" s="89" t="b">
        <v>0</v>
      </c>
      <c r="H372" s="89">
        <v>5</v>
      </c>
      <c r="I372" s="89">
        <v>3</v>
      </c>
      <c r="J372" s="90">
        <v>0.18</v>
      </c>
    </row>
    <row r="373" spans="1:10" ht="12.75">
      <c r="A373" s="87">
        <v>605</v>
      </c>
      <c r="B373" s="88">
        <v>40571</v>
      </c>
      <c r="C373" s="89">
        <v>1</v>
      </c>
      <c r="D373" s="89">
        <v>0</v>
      </c>
      <c r="E373" s="89">
        <v>1</v>
      </c>
      <c r="F373" s="89">
        <v>10</v>
      </c>
      <c r="G373" s="89" t="b">
        <v>0</v>
      </c>
      <c r="H373" s="89">
        <v>5</v>
      </c>
      <c r="I373" s="89">
        <v>3</v>
      </c>
      <c r="J373" s="90">
        <v>0.18</v>
      </c>
    </row>
    <row r="374" spans="1:10" ht="12.75">
      <c r="A374" s="87">
        <v>606</v>
      </c>
      <c r="B374" s="88">
        <v>40571</v>
      </c>
      <c r="C374" s="89">
        <v>1</v>
      </c>
      <c r="D374" s="89">
        <v>0</v>
      </c>
      <c r="E374" s="89">
        <v>1</v>
      </c>
      <c r="F374" s="89">
        <v>11</v>
      </c>
      <c r="G374" s="89" t="b">
        <v>0</v>
      </c>
      <c r="H374" s="89">
        <v>5</v>
      </c>
      <c r="I374" s="89">
        <v>3</v>
      </c>
      <c r="J374" s="90">
        <v>0.18</v>
      </c>
    </row>
    <row r="375" spans="1:10" ht="12.75">
      <c r="A375" s="87">
        <v>607</v>
      </c>
      <c r="B375" s="88">
        <v>40571</v>
      </c>
      <c r="C375" s="89">
        <v>1</v>
      </c>
      <c r="D375" s="89">
        <v>0</v>
      </c>
      <c r="E375" s="89">
        <v>1</v>
      </c>
      <c r="F375" s="89">
        <v>12</v>
      </c>
      <c r="G375" s="89" t="b">
        <v>0</v>
      </c>
      <c r="H375" s="89">
        <v>5</v>
      </c>
      <c r="I375" s="89">
        <v>3</v>
      </c>
      <c r="J375" s="90">
        <v>0.18</v>
      </c>
    </row>
    <row r="376" spans="1:10" ht="12.75">
      <c r="A376" s="87">
        <v>608</v>
      </c>
      <c r="B376" s="88">
        <v>40571</v>
      </c>
      <c r="C376" s="89">
        <v>1</v>
      </c>
      <c r="D376" s="89">
        <v>0</v>
      </c>
      <c r="E376" s="89">
        <v>1</v>
      </c>
      <c r="F376" s="89">
        <v>13</v>
      </c>
      <c r="G376" s="89" t="b">
        <v>0</v>
      </c>
      <c r="H376" s="89">
        <v>5</v>
      </c>
      <c r="I376" s="89">
        <v>3</v>
      </c>
      <c r="J376" s="90">
        <v>0.18</v>
      </c>
    </row>
    <row r="377" spans="1:10" ht="12.75">
      <c r="A377" s="87">
        <v>50</v>
      </c>
      <c r="B377" s="88">
        <v>40546</v>
      </c>
      <c r="C377" s="89">
        <v>1</v>
      </c>
      <c r="D377" s="89">
        <v>0</v>
      </c>
      <c r="E377" s="89">
        <v>1</v>
      </c>
      <c r="F377" s="89">
        <v>4</v>
      </c>
      <c r="G377" s="89" t="b">
        <v>0</v>
      </c>
      <c r="H377" s="89">
        <v>1</v>
      </c>
      <c r="I377" s="89">
        <v>1</v>
      </c>
      <c r="J377" s="90">
        <v>0.16</v>
      </c>
    </row>
    <row r="378" spans="1:10" ht="12.75">
      <c r="A378" s="87">
        <v>51</v>
      </c>
      <c r="B378" s="88">
        <v>40546</v>
      </c>
      <c r="C378" s="89">
        <v>1</v>
      </c>
      <c r="D378" s="89">
        <v>0</v>
      </c>
      <c r="E378" s="89">
        <v>1</v>
      </c>
      <c r="F378" s="89">
        <v>5</v>
      </c>
      <c r="G378" s="89" t="b">
        <v>0</v>
      </c>
      <c r="H378" s="89">
        <v>1</v>
      </c>
      <c r="I378" s="89">
        <v>1</v>
      </c>
      <c r="J378" s="90">
        <v>0.16</v>
      </c>
    </row>
    <row r="379" spans="1:10" ht="12.75">
      <c r="A379" s="87">
        <v>55</v>
      </c>
      <c r="B379" s="88">
        <v>40546</v>
      </c>
      <c r="C379" s="89">
        <v>1</v>
      </c>
      <c r="D379" s="89">
        <v>0</v>
      </c>
      <c r="E379" s="89">
        <v>1</v>
      </c>
      <c r="F379" s="89">
        <v>9</v>
      </c>
      <c r="G379" s="89" t="b">
        <v>0</v>
      </c>
      <c r="H379" s="89">
        <v>1</v>
      </c>
      <c r="I379" s="89">
        <v>1</v>
      </c>
      <c r="J379" s="90">
        <v>0.16</v>
      </c>
    </row>
    <row r="380" spans="1:10" ht="12.75">
      <c r="A380" s="87">
        <v>70</v>
      </c>
      <c r="B380" s="88">
        <v>40547</v>
      </c>
      <c r="C380" s="89">
        <v>1</v>
      </c>
      <c r="D380" s="89">
        <v>0</v>
      </c>
      <c r="E380" s="89">
        <v>1</v>
      </c>
      <c r="F380" s="89">
        <v>0</v>
      </c>
      <c r="G380" s="89" t="b">
        <v>0</v>
      </c>
      <c r="H380" s="89">
        <v>2</v>
      </c>
      <c r="I380" s="89">
        <v>1</v>
      </c>
      <c r="J380" s="90">
        <v>0.16</v>
      </c>
    </row>
    <row r="381" spans="1:10" ht="12.75">
      <c r="A381" s="87">
        <v>71</v>
      </c>
      <c r="B381" s="88">
        <v>40547</v>
      </c>
      <c r="C381" s="89">
        <v>1</v>
      </c>
      <c r="D381" s="89">
        <v>0</v>
      </c>
      <c r="E381" s="89">
        <v>1</v>
      </c>
      <c r="F381" s="89">
        <v>1</v>
      </c>
      <c r="G381" s="89" t="b">
        <v>0</v>
      </c>
      <c r="H381" s="89">
        <v>2</v>
      </c>
      <c r="I381" s="89">
        <v>1</v>
      </c>
      <c r="J381" s="90">
        <v>0.16</v>
      </c>
    </row>
    <row r="382" spans="1:10" ht="12.75">
      <c r="A382" s="87">
        <v>78</v>
      </c>
      <c r="B382" s="88">
        <v>40547</v>
      </c>
      <c r="C382" s="89">
        <v>1</v>
      </c>
      <c r="D382" s="89">
        <v>0</v>
      </c>
      <c r="E382" s="89">
        <v>1</v>
      </c>
      <c r="F382" s="89">
        <v>9</v>
      </c>
      <c r="G382" s="89" t="b">
        <v>0</v>
      </c>
      <c r="H382" s="89">
        <v>2</v>
      </c>
      <c r="I382" s="89">
        <v>1</v>
      </c>
      <c r="J382" s="90">
        <v>0.16</v>
      </c>
    </row>
    <row r="383" spans="1:10" ht="12.75">
      <c r="A383" s="87">
        <v>79</v>
      </c>
      <c r="B383" s="88">
        <v>40547</v>
      </c>
      <c r="C383" s="89">
        <v>1</v>
      </c>
      <c r="D383" s="89">
        <v>0</v>
      </c>
      <c r="E383" s="89">
        <v>1</v>
      </c>
      <c r="F383" s="89">
        <v>10</v>
      </c>
      <c r="G383" s="89" t="b">
        <v>0</v>
      </c>
      <c r="H383" s="89">
        <v>2</v>
      </c>
      <c r="I383" s="89">
        <v>2</v>
      </c>
      <c r="J383" s="90">
        <v>0.16</v>
      </c>
    </row>
    <row r="384" spans="1:10" ht="12.75">
      <c r="A384" s="87">
        <v>94</v>
      </c>
      <c r="B384" s="88">
        <v>40548</v>
      </c>
      <c r="C384" s="89">
        <v>1</v>
      </c>
      <c r="D384" s="89">
        <v>0</v>
      </c>
      <c r="E384" s="89">
        <v>1</v>
      </c>
      <c r="F384" s="89">
        <v>1</v>
      </c>
      <c r="G384" s="89" t="b">
        <v>0</v>
      </c>
      <c r="H384" s="89">
        <v>3</v>
      </c>
      <c r="I384" s="89">
        <v>1</v>
      </c>
      <c r="J384" s="90">
        <v>0.16</v>
      </c>
    </row>
    <row r="385" spans="1:10" ht="12.75">
      <c r="A385" s="87">
        <v>95</v>
      </c>
      <c r="B385" s="88">
        <v>40548</v>
      </c>
      <c r="C385" s="89">
        <v>1</v>
      </c>
      <c r="D385" s="89">
        <v>0</v>
      </c>
      <c r="E385" s="89">
        <v>1</v>
      </c>
      <c r="F385" s="89">
        <v>2</v>
      </c>
      <c r="G385" s="89" t="b">
        <v>0</v>
      </c>
      <c r="H385" s="89">
        <v>3</v>
      </c>
      <c r="I385" s="89">
        <v>1</v>
      </c>
      <c r="J385" s="90">
        <v>0.16</v>
      </c>
    </row>
    <row r="386" spans="1:10" ht="12.75">
      <c r="A386" s="87">
        <v>117</v>
      </c>
      <c r="B386" s="88">
        <v>40549</v>
      </c>
      <c r="C386" s="89">
        <v>1</v>
      </c>
      <c r="D386" s="89">
        <v>0</v>
      </c>
      <c r="E386" s="89">
        <v>1</v>
      </c>
      <c r="F386" s="89">
        <v>1</v>
      </c>
      <c r="G386" s="89" t="b">
        <v>0</v>
      </c>
      <c r="H386" s="89">
        <v>4</v>
      </c>
      <c r="I386" s="89">
        <v>1</v>
      </c>
      <c r="J386" s="90">
        <v>0.16</v>
      </c>
    </row>
    <row r="387" spans="1:10" ht="12.75">
      <c r="A387" s="87">
        <v>118</v>
      </c>
      <c r="B387" s="88">
        <v>40549</v>
      </c>
      <c r="C387" s="89">
        <v>1</v>
      </c>
      <c r="D387" s="89">
        <v>0</v>
      </c>
      <c r="E387" s="89">
        <v>1</v>
      </c>
      <c r="F387" s="89">
        <v>2</v>
      </c>
      <c r="G387" s="89" t="b">
        <v>0</v>
      </c>
      <c r="H387" s="89">
        <v>4</v>
      </c>
      <c r="I387" s="89">
        <v>1</v>
      </c>
      <c r="J387" s="90">
        <v>0.16</v>
      </c>
    </row>
    <row r="388" spans="1:10" ht="12.75">
      <c r="A388" s="87">
        <v>119</v>
      </c>
      <c r="B388" s="88">
        <v>40549</v>
      </c>
      <c r="C388" s="89">
        <v>1</v>
      </c>
      <c r="D388" s="89">
        <v>0</v>
      </c>
      <c r="E388" s="89">
        <v>1</v>
      </c>
      <c r="F388" s="89">
        <v>4</v>
      </c>
      <c r="G388" s="89" t="b">
        <v>0</v>
      </c>
      <c r="H388" s="89">
        <v>4</v>
      </c>
      <c r="I388" s="89">
        <v>2</v>
      </c>
      <c r="J388" s="90">
        <v>0.16</v>
      </c>
    </row>
    <row r="389" spans="1:10" ht="12.75">
      <c r="A389" s="87">
        <v>122</v>
      </c>
      <c r="B389" s="88">
        <v>40549</v>
      </c>
      <c r="C389" s="89">
        <v>1</v>
      </c>
      <c r="D389" s="89">
        <v>0</v>
      </c>
      <c r="E389" s="89">
        <v>1</v>
      </c>
      <c r="F389" s="89">
        <v>7</v>
      </c>
      <c r="G389" s="89" t="b">
        <v>0</v>
      </c>
      <c r="H389" s="89">
        <v>4</v>
      </c>
      <c r="I389" s="89">
        <v>2</v>
      </c>
      <c r="J389" s="90">
        <v>0.16</v>
      </c>
    </row>
    <row r="390" spans="1:10" ht="12.75">
      <c r="A390" s="87">
        <v>123</v>
      </c>
      <c r="B390" s="88">
        <v>40549</v>
      </c>
      <c r="C390" s="89">
        <v>1</v>
      </c>
      <c r="D390" s="89">
        <v>0</v>
      </c>
      <c r="E390" s="89">
        <v>1</v>
      </c>
      <c r="F390" s="89">
        <v>8</v>
      </c>
      <c r="G390" s="89" t="b">
        <v>0</v>
      </c>
      <c r="H390" s="89">
        <v>4</v>
      </c>
      <c r="I390" s="89">
        <v>1</v>
      </c>
      <c r="J390" s="90">
        <v>0.16</v>
      </c>
    </row>
    <row r="391" spans="1:10" ht="12.75">
      <c r="A391" s="87">
        <v>157</v>
      </c>
      <c r="B391" s="88">
        <v>40550</v>
      </c>
      <c r="C391" s="89">
        <v>1</v>
      </c>
      <c r="D391" s="89">
        <v>0</v>
      </c>
      <c r="E391" s="89">
        <v>1</v>
      </c>
      <c r="F391" s="89">
        <v>19</v>
      </c>
      <c r="G391" s="89" t="b">
        <v>0</v>
      </c>
      <c r="H391" s="89">
        <v>5</v>
      </c>
      <c r="I391" s="89">
        <v>1</v>
      </c>
      <c r="J391" s="90">
        <v>0.16</v>
      </c>
    </row>
    <row r="392" spans="1:10" ht="12.75">
      <c r="A392" s="87">
        <v>167</v>
      </c>
      <c r="B392" s="88">
        <v>40551</v>
      </c>
      <c r="C392" s="89">
        <v>1</v>
      </c>
      <c r="D392" s="89">
        <v>0</v>
      </c>
      <c r="E392" s="89">
        <v>1</v>
      </c>
      <c r="F392" s="89">
        <v>5</v>
      </c>
      <c r="G392" s="89" t="b">
        <v>0</v>
      </c>
      <c r="H392" s="89">
        <v>6</v>
      </c>
      <c r="I392" s="89">
        <v>2</v>
      </c>
      <c r="J392" s="90">
        <v>0.16</v>
      </c>
    </row>
    <row r="393" spans="1:10" ht="12.75">
      <c r="A393" s="87">
        <v>168</v>
      </c>
      <c r="B393" s="88">
        <v>40551</v>
      </c>
      <c r="C393" s="89">
        <v>1</v>
      </c>
      <c r="D393" s="89">
        <v>0</v>
      </c>
      <c r="E393" s="89">
        <v>1</v>
      </c>
      <c r="F393" s="89">
        <v>6</v>
      </c>
      <c r="G393" s="89" t="b">
        <v>0</v>
      </c>
      <c r="H393" s="89">
        <v>6</v>
      </c>
      <c r="I393" s="89">
        <v>2</v>
      </c>
      <c r="J393" s="90">
        <v>0.16</v>
      </c>
    </row>
    <row r="394" spans="1:10" ht="12.75">
      <c r="A394" s="87">
        <v>169</v>
      </c>
      <c r="B394" s="88">
        <v>40551</v>
      </c>
      <c r="C394" s="89">
        <v>1</v>
      </c>
      <c r="D394" s="89">
        <v>0</v>
      </c>
      <c r="E394" s="89">
        <v>1</v>
      </c>
      <c r="F394" s="89">
        <v>7</v>
      </c>
      <c r="G394" s="89" t="b">
        <v>0</v>
      </c>
      <c r="H394" s="89">
        <v>6</v>
      </c>
      <c r="I394" s="89">
        <v>2</v>
      </c>
      <c r="J394" s="90">
        <v>0.16</v>
      </c>
    </row>
    <row r="395" spans="1:10" ht="12.75">
      <c r="A395" s="87">
        <v>170</v>
      </c>
      <c r="B395" s="88">
        <v>40551</v>
      </c>
      <c r="C395" s="89">
        <v>1</v>
      </c>
      <c r="D395" s="89">
        <v>0</v>
      </c>
      <c r="E395" s="89">
        <v>1</v>
      </c>
      <c r="F395" s="89">
        <v>8</v>
      </c>
      <c r="G395" s="89" t="b">
        <v>0</v>
      </c>
      <c r="H395" s="89">
        <v>6</v>
      </c>
      <c r="I395" s="89">
        <v>3</v>
      </c>
      <c r="J395" s="90">
        <v>0.16</v>
      </c>
    </row>
    <row r="396" spans="1:10" ht="12.75">
      <c r="A396" s="87">
        <v>171</v>
      </c>
      <c r="B396" s="88">
        <v>40551</v>
      </c>
      <c r="C396" s="89">
        <v>1</v>
      </c>
      <c r="D396" s="89">
        <v>0</v>
      </c>
      <c r="E396" s="89">
        <v>1</v>
      </c>
      <c r="F396" s="89">
        <v>9</v>
      </c>
      <c r="G396" s="89" t="b">
        <v>0</v>
      </c>
      <c r="H396" s="89">
        <v>6</v>
      </c>
      <c r="I396" s="89">
        <v>3</v>
      </c>
      <c r="J396" s="90">
        <v>0.16</v>
      </c>
    </row>
    <row r="397" spans="1:10" ht="12.75">
      <c r="A397" s="87">
        <v>179</v>
      </c>
      <c r="B397" s="88">
        <v>40551</v>
      </c>
      <c r="C397" s="89">
        <v>1</v>
      </c>
      <c r="D397" s="89">
        <v>0</v>
      </c>
      <c r="E397" s="89">
        <v>1</v>
      </c>
      <c r="F397" s="89">
        <v>17</v>
      </c>
      <c r="G397" s="89" t="b">
        <v>0</v>
      </c>
      <c r="H397" s="89">
        <v>6</v>
      </c>
      <c r="I397" s="89">
        <v>1</v>
      </c>
      <c r="J397" s="90">
        <v>0.16</v>
      </c>
    </row>
    <row r="398" spans="1:10" ht="12.75">
      <c r="A398" s="87">
        <v>197</v>
      </c>
      <c r="B398" s="88">
        <v>40552</v>
      </c>
      <c r="C398" s="89">
        <v>1</v>
      </c>
      <c r="D398" s="89">
        <v>0</v>
      </c>
      <c r="E398" s="89">
        <v>1</v>
      </c>
      <c r="F398" s="89">
        <v>11</v>
      </c>
      <c r="G398" s="89" t="b">
        <v>0</v>
      </c>
      <c r="H398" s="89">
        <v>0</v>
      </c>
      <c r="I398" s="89">
        <v>1</v>
      </c>
      <c r="J398" s="90">
        <v>0.16</v>
      </c>
    </row>
    <row r="399" spans="1:10" ht="12.75">
      <c r="A399" s="87">
        <v>204</v>
      </c>
      <c r="B399" s="88">
        <v>40552</v>
      </c>
      <c r="C399" s="89">
        <v>1</v>
      </c>
      <c r="D399" s="89">
        <v>0</v>
      </c>
      <c r="E399" s="89">
        <v>1</v>
      </c>
      <c r="F399" s="89">
        <v>18</v>
      </c>
      <c r="G399" s="89" t="b">
        <v>0</v>
      </c>
      <c r="H399" s="89">
        <v>0</v>
      </c>
      <c r="I399" s="89">
        <v>1</v>
      </c>
      <c r="J399" s="90">
        <v>0.16</v>
      </c>
    </row>
    <row r="400" spans="1:10" ht="12.75">
      <c r="A400" s="87">
        <v>205</v>
      </c>
      <c r="B400" s="88">
        <v>40552</v>
      </c>
      <c r="C400" s="89">
        <v>1</v>
      </c>
      <c r="D400" s="89">
        <v>0</v>
      </c>
      <c r="E400" s="89">
        <v>1</v>
      </c>
      <c r="F400" s="89">
        <v>19</v>
      </c>
      <c r="G400" s="89" t="b">
        <v>0</v>
      </c>
      <c r="H400" s="89">
        <v>0</v>
      </c>
      <c r="I400" s="89">
        <v>1</v>
      </c>
      <c r="J400" s="90">
        <v>0.16</v>
      </c>
    </row>
    <row r="401" spans="1:10" ht="12.75">
      <c r="A401" s="87">
        <v>221</v>
      </c>
      <c r="B401" s="88">
        <v>40553</v>
      </c>
      <c r="C401" s="89">
        <v>1</v>
      </c>
      <c r="D401" s="89">
        <v>0</v>
      </c>
      <c r="E401" s="89">
        <v>1</v>
      </c>
      <c r="F401" s="89">
        <v>11</v>
      </c>
      <c r="G401" s="89" t="b">
        <v>0</v>
      </c>
      <c r="H401" s="89">
        <v>1</v>
      </c>
      <c r="I401" s="89">
        <v>2</v>
      </c>
      <c r="J401" s="90">
        <v>0.16</v>
      </c>
    </row>
    <row r="402" spans="1:10" ht="12.75">
      <c r="A402" s="87">
        <v>229</v>
      </c>
      <c r="B402" s="88">
        <v>40553</v>
      </c>
      <c r="C402" s="89">
        <v>1</v>
      </c>
      <c r="D402" s="89">
        <v>0</v>
      </c>
      <c r="E402" s="89">
        <v>1</v>
      </c>
      <c r="F402" s="89">
        <v>19</v>
      </c>
      <c r="G402" s="89" t="b">
        <v>0</v>
      </c>
      <c r="H402" s="89">
        <v>1</v>
      </c>
      <c r="I402" s="89">
        <v>1</v>
      </c>
      <c r="J402" s="90">
        <v>0.16</v>
      </c>
    </row>
    <row r="403" spans="1:10" ht="12.75">
      <c r="A403" s="87">
        <v>230</v>
      </c>
      <c r="B403" s="88">
        <v>40553</v>
      </c>
      <c r="C403" s="89">
        <v>1</v>
      </c>
      <c r="D403" s="89">
        <v>0</v>
      </c>
      <c r="E403" s="89">
        <v>1</v>
      </c>
      <c r="F403" s="89">
        <v>20</v>
      </c>
      <c r="G403" s="89" t="b">
        <v>0</v>
      </c>
      <c r="H403" s="89">
        <v>1</v>
      </c>
      <c r="I403" s="89">
        <v>1</v>
      </c>
      <c r="J403" s="90">
        <v>0.16</v>
      </c>
    </row>
    <row r="404" spans="1:10" ht="12.75">
      <c r="A404" s="87">
        <v>236</v>
      </c>
      <c r="B404" s="88">
        <v>40554</v>
      </c>
      <c r="C404" s="89">
        <v>1</v>
      </c>
      <c r="D404" s="89">
        <v>0</v>
      </c>
      <c r="E404" s="89">
        <v>1</v>
      </c>
      <c r="F404" s="89">
        <v>2</v>
      </c>
      <c r="G404" s="89" t="b">
        <v>0</v>
      </c>
      <c r="H404" s="89">
        <v>2</v>
      </c>
      <c r="I404" s="89">
        <v>2</v>
      </c>
      <c r="J404" s="90">
        <v>0.16</v>
      </c>
    </row>
    <row r="405" spans="1:10" ht="12.75">
      <c r="A405" s="87">
        <v>237</v>
      </c>
      <c r="B405" s="88">
        <v>40554</v>
      </c>
      <c r="C405" s="89">
        <v>1</v>
      </c>
      <c r="D405" s="89">
        <v>0</v>
      </c>
      <c r="E405" s="89">
        <v>1</v>
      </c>
      <c r="F405" s="89">
        <v>5</v>
      </c>
      <c r="G405" s="89" t="b">
        <v>0</v>
      </c>
      <c r="H405" s="89">
        <v>2</v>
      </c>
      <c r="I405" s="89">
        <v>2</v>
      </c>
      <c r="J405" s="90">
        <v>0.16</v>
      </c>
    </row>
    <row r="406" spans="1:10" ht="12.75">
      <c r="A406" s="87">
        <v>238</v>
      </c>
      <c r="B406" s="88">
        <v>40554</v>
      </c>
      <c r="C406" s="89">
        <v>1</v>
      </c>
      <c r="D406" s="89">
        <v>0</v>
      </c>
      <c r="E406" s="89">
        <v>1</v>
      </c>
      <c r="F406" s="89">
        <v>6</v>
      </c>
      <c r="G406" s="89" t="b">
        <v>0</v>
      </c>
      <c r="H406" s="89">
        <v>2</v>
      </c>
      <c r="I406" s="89">
        <v>2</v>
      </c>
      <c r="J406" s="90">
        <v>0.16</v>
      </c>
    </row>
    <row r="407" spans="1:10" ht="12.75">
      <c r="A407" s="87">
        <v>239</v>
      </c>
      <c r="B407" s="88">
        <v>40554</v>
      </c>
      <c r="C407" s="89">
        <v>1</v>
      </c>
      <c r="D407" s="89">
        <v>0</v>
      </c>
      <c r="E407" s="89">
        <v>1</v>
      </c>
      <c r="F407" s="89">
        <v>7</v>
      </c>
      <c r="G407" s="89" t="b">
        <v>0</v>
      </c>
      <c r="H407" s="89">
        <v>2</v>
      </c>
      <c r="I407" s="89">
        <v>2</v>
      </c>
      <c r="J407" s="90">
        <v>0.16</v>
      </c>
    </row>
    <row r="408" spans="1:10" ht="12.75">
      <c r="A408" s="87">
        <v>247</v>
      </c>
      <c r="B408" s="88">
        <v>40554</v>
      </c>
      <c r="C408" s="89">
        <v>1</v>
      </c>
      <c r="D408" s="89">
        <v>0</v>
      </c>
      <c r="E408" s="89">
        <v>1</v>
      </c>
      <c r="F408" s="89">
        <v>15</v>
      </c>
      <c r="G408" s="89" t="b">
        <v>0</v>
      </c>
      <c r="H408" s="89">
        <v>2</v>
      </c>
      <c r="I408" s="89">
        <v>2</v>
      </c>
      <c r="J408" s="90">
        <v>0.16</v>
      </c>
    </row>
    <row r="409" spans="1:10" ht="12.75">
      <c r="A409" s="87">
        <v>248</v>
      </c>
      <c r="B409" s="88">
        <v>40554</v>
      </c>
      <c r="C409" s="89">
        <v>1</v>
      </c>
      <c r="D409" s="89">
        <v>0</v>
      </c>
      <c r="E409" s="89">
        <v>1</v>
      </c>
      <c r="F409" s="89">
        <v>16</v>
      </c>
      <c r="G409" s="89" t="b">
        <v>0</v>
      </c>
      <c r="H409" s="89">
        <v>2</v>
      </c>
      <c r="I409" s="89">
        <v>2</v>
      </c>
      <c r="J409" s="90">
        <v>0.16</v>
      </c>
    </row>
    <row r="410" spans="1:10" ht="12.75">
      <c r="A410" s="87">
        <v>249</v>
      </c>
      <c r="B410" s="88">
        <v>40554</v>
      </c>
      <c r="C410" s="89">
        <v>1</v>
      </c>
      <c r="D410" s="89">
        <v>0</v>
      </c>
      <c r="E410" s="89">
        <v>1</v>
      </c>
      <c r="F410" s="89">
        <v>17</v>
      </c>
      <c r="G410" s="89" t="b">
        <v>0</v>
      </c>
      <c r="H410" s="89">
        <v>2</v>
      </c>
      <c r="I410" s="89">
        <v>2</v>
      </c>
      <c r="J410" s="90">
        <v>0.16</v>
      </c>
    </row>
    <row r="411" spans="1:10" ht="12.75">
      <c r="A411" s="87">
        <v>250</v>
      </c>
      <c r="B411" s="88">
        <v>40554</v>
      </c>
      <c r="C411" s="89">
        <v>1</v>
      </c>
      <c r="D411" s="89">
        <v>0</v>
      </c>
      <c r="E411" s="89">
        <v>1</v>
      </c>
      <c r="F411" s="89">
        <v>18</v>
      </c>
      <c r="G411" s="89" t="b">
        <v>0</v>
      </c>
      <c r="H411" s="89">
        <v>2</v>
      </c>
      <c r="I411" s="89">
        <v>3</v>
      </c>
      <c r="J411" s="90">
        <v>0.16</v>
      </c>
    </row>
    <row r="412" spans="1:10" ht="12.75">
      <c r="A412" s="87">
        <v>251</v>
      </c>
      <c r="B412" s="88">
        <v>40554</v>
      </c>
      <c r="C412" s="89">
        <v>1</v>
      </c>
      <c r="D412" s="89">
        <v>0</v>
      </c>
      <c r="E412" s="89">
        <v>1</v>
      </c>
      <c r="F412" s="89">
        <v>19</v>
      </c>
      <c r="G412" s="89" t="b">
        <v>0</v>
      </c>
      <c r="H412" s="89">
        <v>2</v>
      </c>
      <c r="I412" s="89">
        <v>3</v>
      </c>
      <c r="J412" s="90">
        <v>0.16</v>
      </c>
    </row>
    <row r="413" spans="1:10" ht="12.75">
      <c r="A413" s="87">
        <v>252</v>
      </c>
      <c r="B413" s="88">
        <v>40554</v>
      </c>
      <c r="C413" s="89">
        <v>1</v>
      </c>
      <c r="D413" s="89">
        <v>0</v>
      </c>
      <c r="E413" s="89">
        <v>1</v>
      </c>
      <c r="F413" s="89">
        <v>20</v>
      </c>
      <c r="G413" s="89" t="b">
        <v>0</v>
      </c>
      <c r="H413" s="89">
        <v>2</v>
      </c>
      <c r="I413" s="89">
        <v>3</v>
      </c>
      <c r="J413" s="90">
        <v>0.16</v>
      </c>
    </row>
    <row r="414" spans="1:10" ht="12.75">
      <c r="A414" s="87">
        <v>253</v>
      </c>
      <c r="B414" s="88">
        <v>40554</v>
      </c>
      <c r="C414" s="89">
        <v>1</v>
      </c>
      <c r="D414" s="89">
        <v>0</v>
      </c>
      <c r="E414" s="89">
        <v>1</v>
      </c>
      <c r="F414" s="89">
        <v>21</v>
      </c>
      <c r="G414" s="89" t="b">
        <v>0</v>
      </c>
      <c r="H414" s="89">
        <v>2</v>
      </c>
      <c r="I414" s="89">
        <v>3</v>
      </c>
      <c r="J414" s="90">
        <v>0.16</v>
      </c>
    </row>
    <row r="415" spans="1:10" ht="12.75">
      <c r="A415" s="87">
        <v>254</v>
      </c>
      <c r="B415" s="88">
        <v>40554</v>
      </c>
      <c r="C415" s="89">
        <v>1</v>
      </c>
      <c r="D415" s="89">
        <v>0</v>
      </c>
      <c r="E415" s="89">
        <v>1</v>
      </c>
      <c r="F415" s="89">
        <v>22</v>
      </c>
      <c r="G415" s="89" t="b">
        <v>0</v>
      </c>
      <c r="H415" s="89">
        <v>2</v>
      </c>
      <c r="I415" s="89">
        <v>3</v>
      </c>
      <c r="J415" s="90">
        <v>0.16</v>
      </c>
    </row>
    <row r="416" spans="1:10" ht="12.75">
      <c r="A416" s="87">
        <v>255</v>
      </c>
      <c r="B416" s="88">
        <v>40554</v>
      </c>
      <c r="C416" s="89">
        <v>1</v>
      </c>
      <c r="D416" s="89">
        <v>0</v>
      </c>
      <c r="E416" s="89">
        <v>1</v>
      </c>
      <c r="F416" s="89">
        <v>23</v>
      </c>
      <c r="G416" s="89" t="b">
        <v>0</v>
      </c>
      <c r="H416" s="89">
        <v>2</v>
      </c>
      <c r="I416" s="89">
        <v>3</v>
      </c>
      <c r="J416" s="90">
        <v>0.16</v>
      </c>
    </row>
    <row r="417" spans="1:10" ht="12.75">
      <c r="A417" s="87">
        <v>256</v>
      </c>
      <c r="B417" s="88">
        <v>40555</v>
      </c>
      <c r="C417" s="89">
        <v>1</v>
      </c>
      <c r="D417" s="89">
        <v>0</v>
      </c>
      <c r="E417" s="89">
        <v>1</v>
      </c>
      <c r="F417" s="89">
        <v>0</v>
      </c>
      <c r="G417" s="89" t="b">
        <v>0</v>
      </c>
      <c r="H417" s="89">
        <v>3</v>
      </c>
      <c r="I417" s="89">
        <v>2</v>
      </c>
      <c r="J417" s="90">
        <v>0.16</v>
      </c>
    </row>
    <row r="418" spans="1:10" ht="12.75">
      <c r="A418" s="87">
        <v>257</v>
      </c>
      <c r="B418" s="88">
        <v>40555</v>
      </c>
      <c r="C418" s="89">
        <v>1</v>
      </c>
      <c r="D418" s="89">
        <v>0</v>
      </c>
      <c r="E418" s="89">
        <v>1</v>
      </c>
      <c r="F418" s="89">
        <v>1</v>
      </c>
      <c r="G418" s="89" t="b">
        <v>0</v>
      </c>
      <c r="H418" s="89">
        <v>3</v>
      </c>
      <c r="I418" s="89">
        <v>2</v>
      </c>
      <c r="J418" s="90">
        <v>0.16</v>
      </c>
    </row>
    <row r="419" spans="1:10" ht="12.75">
      <c r="A419" s="87">
        <v>262</v>
      </c>
      <c r="B419" s="88">
        <v>40555</v>
      </c>
      <c r="C419" s="89">
        <v>1</v>
      </c>
      <c r="D419" s="89">
        <v>0</v>
      </c>
      <c r="E419" s="89">
        <v>1</v>
      </c>
      <c r="F419" s="89">
        <v>8</v>
      </c>
      <c r="G419" s="89" t="b">
        <v>0</v>
      </c>
      <c r="H419" s="89">
        <v>3</v>
      </c>
      <c r="I419" s="89">
        <v>1</v>
      </c>
      <c r="J419" s="90">
        <v>0.16</v>
      </c>
    </row>
    <row r="420" spans="1:10" ht="12.75">
      <c r="A420" s="87">
        <v>263</v>
      </c>
      <c r="B420" s="88">
        <v>40555</v>
      </c>
      <c r="C420" s="89">
        <v>1</v>
      </c>
      <c r="D420" s="89">
        <v>0</v>
      </c>
      <c r="E420" s="89">
        <v>1</v>
      </c>
      <c r="F420" s="89">
        <v>9</v>
      </c>
      <c r="G420" s="89" t="b">
        <v>0</v>
      </c>
      <c r="H420" s="89">
        <v>3</v>
      </c>
      <c r="I420" s="89">
        <v>1</v>
      </c>
      <c r="J420" s="90">
        <v>0.16</v>
      </c>
    </row>
    <row r="421" spans="1:10" ht="12.75">
      <c r="A421" s="87">
        <v>274</v>
      </c>
      <c r="B421" s="88">
        <v>40555</v>
      </c>
      <c r="C421" s="89">
        <v>1</v>
      </c>
      <c r="D421" s="89">
        <v>0</v>
      </c>
      <c r="E421" s="89">
        <v>1</v>
      </c>
      <c r="F421" s="89">
        <v>20</v>
      </c>
      <c r="G421" s="89" t="b">
        <v>0</v>
      </c>
      <c r="H421" s="89">
        <v>3</v>
      </c>
      <c r="I421" s="89">
        <v>1</v>
      </c>
      <c r="J421" s="90">
        <v>0.16</v>
      </c>
    </row>
    <row r="422" spans="1:10" ht="12.75">
      <c r="A422" s="87">
        <v>275</v>
      </c>
      <c r="B422" s="88">
        <v>40555</v>
      </c>
      <c r="C422" s="89">
        <v>1</v>
      </c>
      <c r="D422" s="89">
        <v>0</v>
      </c>
      <c r="E422" s="89">
        <v>1</v>
      </c>
      <c r="F422" s="89">
        <v>21</v>
      </c>
      <c r="G422" s="89" t="b">
        <v>0</v>
      </c>
      <c r="H422" s="89">
        <v>3</v>
      </c>
      <c r="I422" s="89">
        <v>1</v>
      </c>
      <c r="J422" s="90">
        <v>0.16</v>
      </c>
    </row>
    <row r="423" spans="1:10" ht="12.75">
      <c r="A423" s="87">
        <v>276</v>
      </c>
      <c r="B423" s="88">
        <v>40555</v>
      </c>
      <c r="C423" s="89">
        <v>1</v>
      </c>
      <c r="D423" s="89">
        <v>0</v>
      </c>
      <c r="E423" s="89">
        <v>1</v>
      </c>
      <c r="F423" s="89">
        <v>22</v>
      </c>
      <c r="G423" s="89" t="b">
        <v>0</v>
      </c>
      <c r="H423" s="89">
        <v>3</v>
      </c>
      <c r="I423" s="89">
        <v>1</v>
      </c>
      <c r="J423" s="90">
        <v>0.16</v>
      </c>
    </row>
    <row r="424" spans="1:10" ht="12.75">
      <c r="A424" s="87">
        <v>288</v>
      </c>
      <c r="B424" s="88">
        <v>40556</v>
      </c>
      <c r="C424" s="89">
        <v>1</v>
      </c>
      <c r="D424" s="89">
        <v>0</v>
      </c>
      <c r="E424" s="89">
        <v>1</v>
      </c>
      <c r="F424" s="89">
        <v>10</v>
      </c>
      <c r="G424" s="89" t="b">
        <v>0</v>
      </c>
      <c r="H424" s="89">
        <v>4</v>
      </c>
      <c r="I424" s="89">
        <v>2</v>
      </c>
      <c r="J424" s="90">
        <v>0.16</v>
      </c>
    </row>
    <row r="425" spans="1:10" ht="12.75">
      <c r="A425" s="87">
        <v>297</v>
      </c>
      <c r="B425" s="88">
        <v>40556</v>
      </c>
      <c r="C425" s="89">
        <v>1</v>
      </c>
      <c r="D425" s="89">
        <v>0</v>
      </c>
      <c r="E425" s="89">
        <v>1</v>
      </c>
      <c r="F425" s="89">
        <v>19</v>
      </c>
      <c r="G425" s="89" t="b">
        <v>0</v>
      </c>
      <c r="H425" s="89">
        <v>4</v>
      </c>
      <c r="I425" s="89">
        <v>1</v>
      </c>
      <c r="J425" s="90">
        <v>0.16</v>
      </c>
    </row>
    <row r="426" spans="1:10" ht="12.75">
      <c r="A426" s="87">
        <v>298</v>
      </c>
      <c r="B426" s="88">
        <v>40556</v>
      </c>
      <c r="C426" s="89">
        <v>1</v>
      </c>
      <c r="D426" s="89">
        <v>0</v>
      </c>
      <c r="E426" s="89">
        <v>1</v>
      </c>
      <c r="F426" s="89">
        <v>20</v>
      </c>
      <c r="G426" s="89" t="b">
        <v>0</v>
      </c>
      <c r="H426" s="89">
        <v>4</v>
      </c>
      <c r="I426" s="89">
        <v>1</v>
      </c>
      <c r="J426" s="90">
        <v>0.16</v>
      </c>
    </row>
    <row r="427" spans="1:10" ht="12.75">
      <c r="A427" s="87">
        <v>320</v>
      </c>
      <c r="B427" s="88">
        <v>40557</v>
      </c>
      <c r="C427" s="89">
        <v>1</v>
      </c>
      <c r="D427" s="89">
        <v>0</v>
      </c>
      <c r="E427" s="89">
        <v>1</v>
      </c>
      <c r="F427" s="89">
        <v>19</v>
      </c>
      <c r="G427" s="89" t="b">
        <v>0</v>
      </c>
      <c r="H427" s="89">
        <v>5</v>
      </c>
      <c r="I427" s="89">
        <v>1</v>
      </c>
      <c r="J427" s="90">
        <v>0.16</v>
      </c>
    </row>
    <row r="428" spans="1:10" ht="12.75">
      <c r="A428" s="87">
        <v>322</v>
      </c>
      <c r="B428" s="88">
        <v>40557</v>
      </c>
      <c r="C428" s="89">
        <v>1</v>
      </c>
      <c r="D428" s="89">
        <v>0</v>
      </c>
      <c r="E428" s="89">
        <v>1</v>
      </c>
      <c r="F428" s="89">
        <v>21</v>
      </c>
      <c r="G428" s="89" t="b">
        <v>0</v>
      </c>
      <c r="H428" s="89">
        <v>5</v>
      </c>
      <c r="I428" s="89">
        <v>1</v>
      </c>
      <c r="J428" s="90">
        <v>0.16</v>
      </c>
    </row>
    <row r="429" spans="1:10" ht="12.75">
      <c r="A429" s="87">
        <v>323</v>
      </c>
      <c r="B429" s="88">
        <v>40557</v>
      </c>
      <c r="C429" s="89">
        <v>1</v>
      </c>
      <c r="D429" s="89">
        <v>0</v>
      </c>
      <c r="E429" s="89">
        <v>1</v>
      </c>
      <c r="F429" s="89">
        <v>22</v>
      </c>
      <c r="G429" s="89" t="b">
        <v>0</v>
      </c>
      <c r="H429" s="89">
        <v>5</v>
      </c>
      <c r="I429" s="89">
        <v>2</v>
      </c>
      <c r="J429" s="90">
        <v>0.16</v>
      </c>
    </row>
    <row r="430" spans="1:10" ht="12.75">
      <c r="A430" s="87">
        <v>326</v>
      </c>
      <c r="B430" s="88">
        <v>40558</v>
      </c>
      <c r="C430" s="89">
        <v>1</v>
      </c>
      <c r="D430" s="89">
        <v>0</v>
      </c>
      <c r="E430" s="89">
        <v>1</v>
      </c>
      <c r="F430" s="89">
        <v>1</v>
      </c>
      <c r="G430" s="89" t="b">
        <v>0</v>
      </c>
      <c r="H430" s="89">
        <v>6</v>
      </c>
      <c r="I430" s="89">
        <v>2</v>
      </c>
      <c r="J430" s="90">
        <v>0.16</v>
      </c>
    </row>
    <row r="431" spans="1:10" ht="12.75">
      <c r="A431" s="87">
        <v>327</v>
      </c>
      <c r="B431" s="88">
        <v>40558</v>
      </c>
      <c r="C431" s="89">
        <v>1</v>
      </c>
      <c r="D431" s="89">
        <v>0</v>
      </c>
      <c r="E431" s="89">
        <v>1</v>
      </c>
      <c r="F431" s="89">
        <v>2</v>
      </c>
      <c r="G431" s="89" t="b">
        <v>0</v>
      </c>
      <c r="H431" s="89">
        <v>6</v>
      </c>
      <c r="I431" s="89">
        <v>2</v>
      </c>
      <c r="J431" s="90">
        <v>0.16</v>
      </c>
    </row>
    <row r="432" spans="1:10" ht="12.75">
      <c r="A432" s="87">
        <v>328</v>
      </c>
      <c r="B432" s="88">
        <v>40558</v>
      </c>
      <c r="C432" s="89">
        <v>1</v>
      </c>
      <c r="D432" s="89">
        <v>0</v>
      </c>
      <c r="E432" s="89">
        <v>1</v>
      </c>
      <c r="F432" s="89">
        <v>3</v>
      </c>
      <c r="G432" s="89" t="b">
        <v>0</v>
      </c>
      <c r="H432" s="89">
        <v>6</v>
      </c>
      <c r="I432" s="89">
        <v>2</v>
      </c>
      <c r="J432" s="90">
        <v>0.16</v>
      </c>
    </row>
    <row r="433" spans="1:10" ht="12.75">
      <c r="A433" s="87">
        <v>329</v>
      </c>
      <c r="B433" s="88">
        <v>40558</v>
      </c>
      <c r="C433" s="89">
        <v>1</v>
      </c>
      <c r="D433" s="89">
        <v>0</v>
      </c>
      <c r="E433" s="89">
        <v>1</v>
      </c>
      <c r="F433" s="89">
        <v>4</v>
      </c>
      <c r="G433" s="89" t="b">
        <v>0</v>
      </c>
      <c r="H433" s="89">
        <v>6</v>
      </c>
      <c r="I433" s="89">
        <v>2</v>
      </c>
      <c r="J433" s="90">
        <v>0.16</v>
      </c>
    </row>
    <row r="434" spans="1:10" ht="12.75">
      <c r="A434" s="87">
        <v>330</v>
      </c>
      <c r="B434" s="88">
        <v>40558</v>
      </c>
      <c r="C434" s="89">
        <v>1</v>
      </c>
      <c r="D434" s="89">
        <v>0</v>
      </c>
      <c r="E434" s="89">
        <v>1</v>
      </c>
      <c r="F434" s="89">
        <v>5</v>
      </c>
      <c r="G434" s="89" t="b">
        <v>0</v>
      </c>
      <c r="H434" s="89">
        <v>6</v>
      </c>
      <c r="I434" s="89">
        <v>1</v>
      </c>
      <c r="J434" s="90">
        <v>0.16</v>
      </c>
    </row>
    <row r="435" spans="1:10" ht="12.75">
      <c r="A435" s="87">
        <v>334</v>
      </c>
      <c r="B435" s="88">
        <v>40558</v>
      </c>
      <c r="C435" s="89">
        <v>1</v>
      </c>
      <c r="D435" s="89">
        <v>0</v>
      </c>
      <c r="E435" s="89">
        <v>1</v>
      </c>
      <c r="F435" s="89">
        <v>9</v>
      </c>
      <c r="G435" s="89" t="b">
        <v>0</v>
      </c>
      <c r="H435" s="89">
        <v>6</v>
      </c>
      <c r="I435" s="89">
        <v>1</v>
      </c>
      <c r="J435" s="90">
        <v>0.16</v>
      </c>
    </row>
    <row r="436" spans="1:10" ht="12.75">
      <c r="A436" s="87">
        <v>380</v>
      </c>
      <c r="B436" s="88">
        <v>40560</v>
      </c>
      <c r="C436" s="89">
        <v>1</v>
      </c>
      <c r="D436" s="89">
        <v>0</v>
      </c>
      <c r="E436" s="89">
        <v>1</v>
      </c>
      <c r="F436" s="89">
        <v>7</v>
      </c>
      <c r="G436" s="89" t="b">
        <v>1</v>
      </c>
      <c r="H436" s="89">
        <v>1</v>
      </c>
      <c r="I436" s="89">
        <v>2</v>
      </c>
      <c r="J436" s="90">
        <v>0.16</v>
      </c>
    </row>
    <row r="437" spans="1:10" ht="12.75">
      <c r="A437" s="87">
        <v>381</v>
      </c>
      <c r="B437" s="88">
        <v>40560</v>
      </c>
      <c r="C437" s="89">
        <v>1</v>
      </c>
      <c r="D437" s="89">
        <v>0</v>
      </c>
      <c r="E437" s="89">
        <v>1</v>
      </c>
      <c r="F437" s="89">
        <v>8</v>
      </c>
      <c r="G437" s="89" t="b">
        <v>1</v>
      </c>
      <c r="H437" s="89">
        <v>1</v>
      </c>
      <c r="I437" s="89">
        <v>2</v>
      </c>
      <c r="J437" s="90">
        <v>0.16</v>
      </c>
    </row>
    <row r="438" spans="1:10" ht="12.75">
      <c r="A438" s="87">
        <v>382</v>
      </c>
      <c r="B438" s="88">
        <v>40560</v>
      </c>
      <c r="C438" s="89">
        <v>1</v>
      </c>
      <c r="D438" s="89">
        <v>0</v>
      </c>
      <c r="E438" s="89">
        <v>1</v>
      </c>
      <c r="F438" s="89">
        <v>9</v>
      </c>
      <c r="G438" s="89" t="b">
        <v>1</v>
      </c>
      <c r="H438" s="89">
        <v>1</v>
      </c>
      <c r="I438" s="89">
        <v>2</v>
      </c>
      <c r="J438" s="90">
        <v>0.16</v>
      </c>
    </row>
    <row r="439" spans="1:10" ht="12.75">
      <c r="A439" s="87">
        <v>383</v>
      </c>
      <c r="B439" s="88">
        <v>40560</v>
      </c>
      <c r="C439" s="89">
        <v>1</v>
      </c>
      <c r="D439" s="89">
        <v>0</v>
      </c>
      <c r="E439" s="89">
        <v>1</v>
      </c>
      <c r="F439" s="89">
        <v>10</v>
      </c>
      <c r="G439" s="89" t="b">
        <v>1</v>
      </c>
      <c r="H439" s="89">
        <v>1</v>
      </c>
      <c r="I439" s="89">
        <v>2</v>
      </c>
      <c r="J439" s="90">
        <v>0.16</v>
      </c>
    </row>
    <row r="440" spans="1:10" ht="12.75">
      <c r="A440" s="87">
        <v>384</v>
      </c>
      <c r="B440" s="88">
        <v>40560</v>
      </c>
      <c r="C440" s="89">
        <v>1</v>
      </c>
      <c r="D440" s="89">
        <v>0</v>
      </c>
      <c r="E440" s="89">
        <v>1</v>
      </c>
      <c r="F440" s="89">
        <v>11</v>
      </c>
      <c r="G440" s="89" t="b">
        <v>1</v>
      </c>
      <c r="H440" s="89">
        <v>1</v>
      </c>
      <c r="I440" s="89">
        <v>2</v>
      </c>
      <c r="J440" s="90">
        <v>0.16</v>
      </c>
    </row>
    <row r="441" spans="1:10" ht="12.75">
      <c r="A441" s="87">
        <v>393</v>
      </c>
      <c r="B441" s="88">
        <v>40560</v>
      </c>
      <c r="C441" s="89">
        <v>1</v>
      </c>
      <c r="D441" s="89">
        <v>0</v>
      </c>
      <c r="E441" s="89">
        <v>1</v>
      </c>
      <c r="F441" s="89">
        <v>20</v>
      </c>
      <c r="G441" s="89" t="b">
        <v>1</v>
      </c>
      <c r="H441" s="89">
        <v>1</v>
      </c>
      <c r="I441" s="89">
        <v>3</v>
      </c>
      <c r="J441" s="90">
        <v>0.16</v>
      </c>
    </row>
    <row r="442" spans="1:10" ht="12.75">
      <c r="A442" s="87">
        <v>394</v>
      </c>
      <c r="B442" s="88">
        <v>40560</v>
      </c>
      <c r="C442" s="89">
        <v>1</v>
      </c>
      <c r="D442" s="89">
        <v>0</v>
      </c>
      <c r="E442" s="89">
        <v>1</v>
      </c>
      <c r="F442" s="89">
        <v>21</v>
      </c>
      <c r="G442" s="89" t="b">
        <v>1</v>
      </c>
      <c r="H442" s="89">
        <v>1</v>
      </c>
      <c r="I442" s="89">
        <v>3</v>
      </c>
      <c r="J442" s="90">
        <v>0.16</v>
      </c>
    </row>
    <row r="443" spans="1:10" ht="12.75">
      <c r="A443" s="87">
        <v>396</v>
      </c>
      <c r="B443" s="88">
        <v>40560</v>
      </c>
      <c r="C443" s="89">
        <v>1</v>
      </c>
      <c r="D443" s="89">
        <v>0</v>
      </c>
      <c r="E443" s="89">
        <v>1</v>
      </c>
      <c r="F443" s="89">
        <v>23</v>
      </c>
      <c r="G443" s="89" t="b">
        <v>1</v>
      </c>
      <c r="H443" s="89">
        <v>1</v>
      </c>
      <c r="I443" s="89">
        <v>3</v>
      </c>
      <c r="J443" s="90">
        <v>0.16</v>
      </c>
    </row>
    <row r="444" spans="1:10" ht="12.75">
      <c r="A444" s="87">
        <v>471</v>
      </c>
      <c r="B444" s="88">
        <v>40564</v>
      </c>
      <c r="C444" s="89">
        <v>1</v>
      </c>
      <c r="D444" s="89">
        <v>0</v>
      </c>
      <c r="E444" s="89">
        <v>1</v>
      </c>
      <c r="F444" s="89">
        <v>15</v>
      </c>
      <c r="G444" s="89" t="b">
        <v>0</v>
      </c>
      <c r="H444" s="89">
        <v>5</v>
      </c>
      <c r="I444" s="89">
        <v>1</v>
      </c>
      <c r="J444" s="90">
        <v>0.16</v>
      </c>
    </row>
    <row r="445" spans="1:10" ht="12.75">
      <c r="A445" s="87">
        <v>472</v>
      </c>
      <c r="B445" s="88">
        <v>40564</v>
      </c>
      <c r="C445" s="89">
        <v>1</v>
      </c>
      <c r="D445" s="89">
        <v>0</v>
      </c>
      <c r="E445" s="89">
        <v>1</v>
      </c>
      <c r="F445" s="89">
        <v>16</v>
      </c>
      <c r="G445" s="89" t="b">
        <v>0</v>
      </c>
      <c r="H445" s="89">
        <v>5</v>
      </c>
      <c r="I445" s="89">
        <v>1</v>
      </c>
      <c r="J445" s="90">
        <v>0.16</v>
      </c>
    </row>
    <row r="446" spans="1:10" ht="12.75">
      <c r="A446" s="87">
        <v>514</v>
      </c>
      <c r="B446" s="88">
        <v>40566</v>
      </c>
      <c r="C446" s="89">
        <v>1</v>
      </c>
      <c r="D446" s="89">
        <v>0</v>
      </c>
      <c r="E446" s="89">
        <v>1</v>
      </c>
      <c r="F446" s="89">
        <v>12</v>
      </c>
      <c r="G446" s="89" t="b">
        <v>0</v>
      </c>
      <c r="H446" s="89">
        <v>0</v>
      </c>
      <c r="I446" s="89">
        <v>1</v>
      </c>
      <c r="J446" s="90">
        <v>0.16</v>
      </c>
    </row>
    <row r="447" spans="1:10" ht="12.75">
      <c r="A447" s="87">
        <v>516</v>
      </c>
      <c r="B447" s="88">
        <v>40566</v>
      </c>
      <c r="C447" s="89">
        <v>1</v>
      </c>
      <c r="D447" s="89">
        <v>0</v>
      </c>
      <c r="E447" s="89">
        <v>1</v>
      </c>
      <c r="F447" s="89">
        <v>14</v>
      </c>
      <c r="G447" s="89" t="b">
        <v>0</v>
      </c>
      <c r="H447" s="89">
        <v>0</v>
      </c>
      <c r="I447" s="89">
        <v>1</v>
      </c>
      <c r="J447" s="90">
        <v>0.16</v>
      </c>
    </row>
    <row r="448" spans="1:10" ht="12.75">
      <c r="A448" s="87">
        <v>517</v>
      </c>
      <c r="B448" s="88">
        <v>40566</v>
      </c>
      <c r="C448" s="89">
        <v>1</v>
      </c>
      <c r="D448" s="89">
        <v>0</v>
      </c>
      <c r="E448" s="89">
        <v>1</v>
      </c>
      <c r="F448" s="89">
        <v>15</v>
      </c>
      <c r="G448" s="89" t="b">
        <v>0</v>
      </c>
      <c r="H448" s="89">
        <v>0</v>
      </c>
      <c r="I448" s="89">
        <v>1</v>
      </c>
      <c r="J448" s="90">
        <v>0.16</v>
      </c>
    </row>
    <row r="449" spans="1:10" ht="12.75">
      <c r="A449" s="87">
        <v>518</v>
      </c>
      <c r="B449" s="88">
        <v>40566</v>
      </c>
      <c r="C449" s="89">
        <v>1</v>
      </c>
      <c r="D449" s="89">
        <v>0</v>
      </c>
      <c r="E449" s="89">
        <v>1</v>
      </c>
      <c r="F449" s="89">
        <v>16</v>
      </c>
      <c r="G449" s="89" t="b">
        <v>0</v>
      </c>
      <c r="H449" s="89">
        <v>0</v>
      </c>
      <c r="I449" s="89">
        <v>1</v>
      </c>
      <c r="J449" s="90">
        <v>0.16</v>
      </c>
    </row>
    <row r="450" spans="1:10" ht="12.75">
      <c r="A450" s="87">
        <v>540</v>
      </c>
      <c r="B450" s="88">
        <v>40567</v>
      </c>
      <c r="C450" s="89">
        <v>1</v>
      </c>
      <c r="D450" s="89">
        <v>0</v>
      </c>
      <c r="E450" s="89">
        <v>1</v>
      </c>
      <c r="F450" s="89">
        <v>15</v>
      </c>
      <c r="G450" s="89" t="b">
        <v>0</v>
      </c>
      <c r="H450" s="89">
        <v>1</v>
      </c>
      <c r="I450" s="89">
        <v>1</v>
      </c>
      <c r="J450" s="90">
        <v>0.16</v>
      </c>
    </row>
    <row r="451" spans="1:10" ht="12.75">
      <c r="A451" s="87">
        <v>541</v>
      </c>
      <c r="B451" s="88">
        <v>40567</v>
      </c>
      <c r="C451" s="89">
        <v>1</v>
      </c>
      <c r="D451" s="89">
        <v>0</v>
      </c>
      <c r="E451" s="89">
        <v>1</v>
      </c>
      <c r="F451" s="89">
        <v>16</v>
      </c>
      <c r="G451" s="89" t="b">
        <v>0</v>
      </c>
      <c r="H451" s="89">
        <v>1</v>
      </c>
      <c r="I451" s="89">
        <v>1</v>
      </c>
      <c r="J451" s="90">
        <v>0.16</v>
      </c>
    </row>
    <row r="452" spans="1:10" ht="12.75">
      <c r="A452" s="87">
        <v>548</v>
      </c>
      <c r="B452" s="88">
        <v>40567</v>
      </c>
      <c r="C452" s="89">
        <v>1</v>
      </c>
      <c r="D452" s="89">
        <v>0</v>
      </c>
      <c r="E452" s="89">
        <v>1</v>
      </c>
      <c r="F452" s="89">
        <v>23</v>
      </c>
      <c r="G452" s="89" t="b">
        <v>0</v>
      </c>
      <c r="H452" s="89">
        <v>1</v>
      </c>
      <c r="I452" s="89">
        <v>2</v>
      </c>
      <c r="J452" s="90">
        <v>0.16</v>
      </c>
    </row>
    <row r="453" spans="1:10" ht="12.75">
      <c r="A453" s="87">
        <v>549</v>
      </c>
      <c r="B453" s="88">
        <v>40568</v>
      </c>
      <c r="C453" s="89">
        <v>1</v>
      </c>
      <c r="D453" s="89">
        <v>0</v>
      </c>
      <c r="E453" s="89">
        <v>1</v>
      </c>
      <c r="F453" s="89">
        <v>0</v>
      </c>
      <c r="G453" s="89" t="b">
        <v>0</v>
      </c>
      <c r="H453" s="89">
        <v>2</v>
      </c>
      <c r="I453" s="89">
        <v>2</v>
      </c>
      <c r="J453" s="90">
        <v>0.16</v>
      </c>
    </row>
    <row r="454" spans="1:10" ht="12.75">
      <c r="A454" s="87">
        <v>550</v>
      </c>
      <c r="B454" s="88">
        <v>40568</v>
      </c>
      <c r="C454" s="89">
        <v>1</v>
      </c>
      <c r="D454" s="89">
        <v>0</v>
      </c>
      <c r="E454" s="89">
        <v>1</v>
      </c>
      <c r="F454" s="89">
        <v>1</v>
      </c>
      <c r="G454" s="89" t="b">
        <v>0</v>
      </c>
      <c r="H454" s="89">
        <v>2</v>
      </c>
      <c r="I454" s="89">
        <v>2</v>
      </c>
      <c r="J454" s="90">
        <v>0.16</v>
      </c>
    </row>
    <row r="455" spans="1:10" ht="12.75">
      <c r="A455" s="87">
        <v>551</v>
      </c>
      <c r="B455" s="88">
        <v>40568</v>
      </c>
      <c r="C455" s="89">
        <v>1</v>
      </c>
      <c r="D455" s="89">
        <v>0</v>
      </c>
      <c r="E455" s="89">
        <v>1</v>
      </c>
      <c r="F455" s="89">
        <v>2</v>
      </c>
      <c r="G455" s="89" t="b">
        <v>0</v>
      </c>
      <c r="H455" s="89">
        <v>2</v>
      </c>
      <c r="I455" s="89">
        <v>1</v>
      </c>
      <c r="J455" s="90">
        <v>0.16</v>
      </c>
    </row>
    <row r="456" spans="1:10" ht="12.75">
      <c r="A456" s="87">
        <v>554</v>
      </c>
      <c r="B456" s="88">
        <v>40568</v>
      </c>
      <c r="C456" s="89">
        <v>1</v>
      </c>
      <c r="D456" s="89">
        <v>0</v>
      </c>
      <c r="E456" s="89">
        <v>1</v>
      </c>
      <c r="F456" s="89">
        <v>6</v>
      </c>
      <c r="G456" s="89" t="b">
        <v>0</v>
      </c>
      <c r="H456" s="89">
        <v>2</v>
      </c>
      <c r="I456" s="89">
        <v>1</v>
      </c>
      <c r="J456" s="90">
        <v>0.16</v>
      </c>
    </row>
    <row r="457" spans="1:10" ht="12.75">
      <c r="A457" s="87">
        <v>555</v>
      </c>
      <c r="B457" s="88">
        <v>40568</v>
      </c>
      <c r="C457" s="89">
        <v>1</v>
      </c>
      <c r="D457" s="89">
        <v>0</v>
      </c>
      <c r="E457" s="89">
        <v>1</v>
      </c>
      <c r="F457" s="89">
        <v>7</v>
      </c>
      <c r="G457" s="89" t="b">
        <v>0</v>
      </c>
      <c r="H457" s="89">
        <v>2</v>
      </c>
      <c r="I457" s="89">
        <v>1</v>
      </c>
      <c r="J457" s="90">
        <v>0.16</v>
      </c>
    </row>
    <row r="458" spans="1:10" ht="12.75">
      <c r="A458" s="87">
        <v>556</v>
      </c>
      <c r="B458" s="88">
        <v>40568</v>
      </c>
      <c r="C458" s="89">
        <v>1</v>
      </c>
      <c r="D458" s="89">
        <v>0</v>
      </c>
      <c r="E458" s="89">
        <v>1</v>
      </c>
      <c r="F458" s="89">
        <v>8</v>
      </c>
      <c r="G458" s="89" t="b">
        <v>0</v>
      </c>
      <c r="H458" s="89">
        <v>2</v>
      </c>
      <c r="I458" s="89">
        <v>2</v>
      </c>
      <c r="J458" s="90">
        <v>0.16</v>
      </c>
    </row>
    <row r="459" spans="1:10" ht="12.75">
      <c r="A459" s="87">
        <v>602</v>
      </c>
      <c r="B459" s="88">
        <v>40571</v>
      </c>
      <c r="C459" s="89">
        <v>1</v>
      </c>
      <c r="D459" s="89">
        <v>0</v>
      </c>
      <c r="E459" s="89">
        <v>1</v>
      </c>
      <c r="F459" s="89">
        <v>7</v>
      </c>
      <c r="G459" s="89" t="b">
        <v>0</v>
      </c>
      <c r="H459" s="89">
        <v>5</v>
      </c>
      <c r="I459" s="89">
        <v>2</v>
      </c>
      <c r="J459" s="90">
        <v>0.16</v>
      </c>
    </row>
    <row r="460" spans="1:10" ht="12.75">
      <c r="A460" s="87">
        <v>603</v>
      </c>
      <c r="B460" s="88">
        <v>40571</v>
      </c>
      <c r="C460" s="89">
        <v>1</v>
      </c>
      <c r="D460" s="89">
        <v>0</v>
      </c>
      <c r="E460" s="89">
        <v>1</v>
      </c>
      <c r="F460" s="89">
        <v>8</v>
      </c>
      <c r="G460" s="89" t="b">
        <v>0</v>
      </c>
      <c r="H460" s="89">
        <v>5</v>
      </c>
      <c r="I460" s="89">
        <v>2</v>
      </c>
      <c r="J460" s="90">
        <v>0.16</v>
      </c>
    </row>
    <row r="461" spans="1:10" ht="12.75">
      <c r="A461" s="87">
        <v>52</v>
      </c>
      <c r="B461" s="88">
        <v>40546</v>
      </c>
      <c r="C461" s="89">
        <v>1</v>
      </c>
      <c r="D461" s="89">
        <v>0</v>
      </c>
      <c r="E461" s="89">
        <v>1</v>
      </c>
      <c r="F461" s="89">
        <v>6</v>
      </c>
      <c r="G461" s="89" t="b">
        <v>0</v>
      </c>
      <c r="H461" s="89">
        <v>1</v>
      </c>
      <c r="I461" s="89">
        <v>1</v>
      </c>
      <c r="J461" s="90">
        <v>0.14000000000000001</v>
      </c>
    </row>
    <row r="462" spans="1:10" ht="12.75">
      <c r="A462" s="87">
        <v>53</v>
      </c>
      <c r="B462" s="88">
        <v>40546</v>
      </c>
      <c r="C462" s="89">
        <v>1</v>
      </c>
      <c r="D462" s="89">
        <v>0</v>
      </c>
      <c r="E462" s="89">
        <v>1</v>
      </c>
      <c r="F462" s="89">
        <v>7</v>
      </c>
      <c r="G462" s="89" t="b">
        <v>0</v>
      </c>
      <c r="H462" s="89">
        <v>1</v>
      </c>
      <c r="I462" s="89">
        <v>1</v>
      </c>
      <c r="J462" s="90">
        <v>0.14000000000000001</v>
      </c>
    </row>
    <row r="463" spans="1:10" ht="12.75">
      <c r="A463" s="87">
        <v>54</v>
      </c>
      <c r="B463" s="88">
        <v>40546</v>
      </c>
      <c r="C463" s="89">
        <v>1</v>
      </c>
      <c r="D463" s="89">
        <v>0</v>
      </c>
      <c r="E463" s="89">
        <v>1</v>
      </c>
      <c r="F463" s="89">
        <v>8</v>
      </c>
      <c r="G463" s="89" t="b">
        <v>0</v>
      </c>
      <c r="H463" s="89">
        <v>1</v>
      </c>
      <c r="I463" s="89">
        <v>1</v>
      </c>
      <c r="J463" s="90">
        <v>0.14000000000000001</v>
      </c>
    </row>
    <row r="464" spans="1:10" ht="12.75">
      <c r="A464" s="87">
        <v>68</v>
      </c>
      <c r="B464" s="88">
        <v>40546</v>
      </c>
      <c r="C464" s="89">
        <v>1</v>
      </c>
      <c r="D464" s="89">
        <v>0</v>
      </c>
      <c r="E464" s="89">
        <v>1</v>
      </c>
      <c r="F464" s="89">
        <v>22</v>
      </c>
      <c r="G464" s="89" t="b">
        <v>0</v>
      </c>
      <c r="H464" s="89">
        <v>1</v>
      </c>
      <c r="I464" s="89">
        <v>1</v>
      </c>
      <c r="J464" s="90">
        <v>0.14000000000000001</v>
      </c>
    </row>
    <row r="465" spans="1:10" ht="12.75">
      <c r="A465" s="87">
        <v>72</v>
      </c>
      <c r="B465" s="88">
        <v>40547</v>
      </c>
      <c r="C465" s="89">
        <v>1</v>
      </c>
      <c r="D465" s="89">
        <v>0</v>
      </c>
      <c r="E465" s="89">
        <v>1</v>
      </c>
      <c r="F465" s="89">
        <v>2</v>
      </c>
      <c r="G465" s="89" t="b">
        <v>0</v>
      </c>
      <c r="H465" s="89">
        <v>2</v>
      </c>
      <c r="I465" s="89">
        <v>1</v>
      </c>
      <c r="J465" s="90">
        <v>0.14000000000000001</v>
      </c>
    </row>
    <row r="466" spans="1:10" ht="12.75">
      <c r="A466" s="87">
        <v>73</v>
      </c>
      <c r="B466" s="88">
        <v>40547</v>
      </c>
      <c r="C466" s="89">
        <v>1</v>
      </c>
      <c r="D466" s="89">
        <v>0</v>
      </c>
      <c r="E466" s="89">
        <v>1</v>
      </c>
      <c r="F466" s="89">
        <v>4</v>
      </c>
      <c r="G466" s="89" t="b">
        <v>0</v>
      </c>
      <c r="H466" s="89">
        <v>2</v>
      </c>
      <c r="I466" s="89">
        <v>1</v>
      </c>
      <c r="J466" s="90">
        <v>0.14000000000000001</v>
      </c>
    </row>
    <row r="467" spans="1:10" ht="12.75">
      <c r="A467" s="87">
        <v>77</v>
      </c>
      <c r="B467" s="88">
        <v>40547</v>
      </c>
      <c r="C467" s="89">
        <v>1</v>
      </c>
      <c r="D467" s="89">
        <v>0</v>
      </c>
      <c r="E467" s="89">
        <v>1</v>
      </c>
      <c r="F467" s="89">
        <v>8</v>
      </c>
      <c r="G467" s="89" t="b">
        <v>0</v>
      </c>
      <c r="H467" s="89">
        <v>2</v>
      </c>
      <c r="I467" s="89">
        <v>1</v>
      </c>
      <c r="J467" s="90">
        <v>0.14000000000000001</v>
      </c>
    </row>
    <row r="468" spans="1:10" ht="12.75">
      <c r="A468" s="87">
        <v>120</v>
      </c>
      <c r="B468" s="88">
        <v>40549</v>
      </c>
      <c r="C468" s="89">
        <v>1</v>
      </c>
      <c r="D468" s="89">
        <v>0</v>
      </c>
      <c r="E468" s="89">
        <v>1</v>
      </c>
      <c r="F468" s="89">
        <v>5</v>
      </c>
      <c r="G468" s="89" t="b">
        <v>0</v>
      </c>
      <c r="H468" s="89">
        <v>4</v>
      </c>
      <c r="I468" s="89">
        <v>2</v>
      </c>
      <c r="J468" s="90">
        <v>0.14000000000000001</v>
      </c>
    </row>
    <row r="469" spans="1:10" ht="12.75">
      <c r="A469" s="87">
        <v>121</v>
      </c>
      <c r="B469" s="88">
        <v>40549</v>
      </c>
      <c r="C469" s="89">
        <v>1</v>
      </c>
      <c r="D469" s="89">
        <v>0</v>
      </c>
      <c r="E469" s="89">
        <v>1</v>
      </c>
      <c r="F469" s="89">
        <v>6</v>
      </c>
      <c r="G469" s="89" t="b">
        <v>0</v>
      </c>
      <c r="H469" s="89">
        <v>4</v>
      </c>
      <c r="I469" s="89">
        <v>2</v>
      </c>
      <c r="J469" s="90">
        <v>0.14000000000000001</v>
      </c>
    </row>
    <row r="470" spans="1:10" ht="12.75">
      <c r="A470" s="87">
        <v>180</v>
      </c>
      <c r="B470" s="88">
        <v>40551</v>
      </c>
      <c r="C470" s="89">
        <v>1</v>
      </c>
      <c r="D470" s="89">
        <v>0</v>
      </c>
      <c r="E470" s="89">
        <v>1</v>
      </c>
      <c r="F470" s="89">
        <v>18</v>
      </c>
      <c r="G470" s="89" t="b">
        <v>0</v>
      </c>
      <c r="H470" s="89">
        <v>6</v>
      </c>
      <c r="I470" s="89">
        <v>1</v>
      </c>
      <c r="J470" s="90">
        <v>0.14000000000000001</v>
      </c>
    </row>
    <row r="471" spans="1:10" ht="12.75">
      <c r="A471" s="87">
        <v>181</v>
      </c>
      <c r="B471" s="88">
        <v>40551</v>
      </c>
      <c r="C471" s="89">
        <v>1</v>
      </c>
      <c r="D471" s="89">
        <v>0</v>
      </c>
      <c r="E471" s="89">
        <v>1</v>
      </c>
      <c r="F471" s="89">
        <v>19</v>
      </c>
      <c r="G471" s="89" t="b">
        <v>0</v>
      </c>
      <c r="H471" s="89">
        <v>6</v>
      </c>
      <c r="I471" s="89">
        <v>1</v>
      </c>
      <c r="J471" s="90">
        <v>0.14000000000000001</v>
      </c>
    </row>
    <row r="472" spans="1:10" ht="12.75">
      <c r="A472" s="87">
        <v>196</v>
      </c>
      <c r="B472" s="88">
        <v>40552</v>
      </c>
      <c r="C472" s="89">
        <v>1</v>
      </c>
      <c r="D472" s="89">
        <v>0</v>
      </c>
      <c r="E472" s="89">
        <v>1</v>
      </c>
      <c r="F472" s="89">
        <v>10</v>
      </c>
      <c r="G472" s="89" t="b">
        <v>0</v>
      </c>
      <c r="H472" s="89">
        <v>0</v>
      </c>
      <c r="I472" s="89">
        <v>1</v>
      </c>
      <c r="J472" s="90">
        <v>0.14000000000000001</v>
      </c>
    </row>
    <row r="473" spans="1:10" ht="12.75">
      <c r="A473" s="87">
        <v>206</v>
      </c>
      <c r="B473" s="88">
        <v>40552</v>
      </c>
      <c r="C473" s="89">
        <v>1</v>
      </c>
      <c r="D473" s="89">
        <v>0</v>
      </c>
      <c r="E473" s="89">
        <v>1</v>
      </c>
      <c r="F473" s="89">
        <v>20</v>
      </c>
      <c r="G473" s="89" t="b">
        <v>0</v>
      </c>
      <c r="H473" s="89">
        <v>0</v>
      </c>
      <c r="I473" s="89">
        <v>1</v>
      </c>
      <c r="J473" s="90">
        <v>0.14000000000000001</v>
      </c>
    </row>
    <row r="474" spans="1:10" ht="12.75">
      <c r="A474" s="87">
        <v>207</v>
      </c>
      <c r="B474" s="88">
        <v>40552</v>
      </c>
      <c r="C474" s="89">
        <v>1</v>
      </c>
      <c r="D474" s="89">
        <v>0</v>
      </c>
      <c r="E474" s="89">
        <v>1</v>
      </c>
      <c r="F474" s="89">
        <v>21</v>
      </c>
      <c r="G474" s="89" t="b">
        <v>0</v>
      </c>
      <c r="H474" s="89">
        <v>0</v>
      </c>
      <c r="I474" s="89">
        <v>1</v>
      </c>
      <c r="J474" s="90">
        <v>0.14000000000000001</v>
      </c>
    </row>
    <row r="475" spans="1:10" ht="12.75">
      <c r="A475" s="87">
        <v>208</v>
      </c>
      <c r="B475" s="88">
        <v>40552</v>
      </c>
      <c r="C475" s="89">
        <v>1</v>
      </c>
      <c r="D475" s="89">
        <v>0</v>
      </c>
      <c r="E475" s="89">
        <v>1</v>
      </c>
      <c r="F475" s="89">
        <v>22</v>
      </c>
      <c r="G475" s="89" t="b">
        <v>0</v>
      </c>
      <c r="H475" s="89">
        <v>0</v>
      </c>
      <c r="I475" s="89">
        <v>1</v>
      </c>
      <c r="J475" s="90">
        <v>0.14000000000000001</v>
      </c>
    </row>
    <row r="476" spans="1:10" ht="12.75">
      <c r="A476" s="87">
        <v>219</v>
      </c>
      <c r="B476" s="88">
        <v>40553</v>
      </c>
      <c r="C476" s="89">
        <v>1</v>
      </c>
      <c r="D476" s="89">
        <v>0</v>
      </c>
      <c r="E476" s="89">
        <v>1</v>
      </c>
      <c r="F476" s="89">
        <v>9</v>
      </c>
      <c r="G476" s="89" t="b">
        <v>0</v>
      </c>
      <c r="H476" s="89">
        <v>1</v>
      </c>
      <c r="I476" s="89">
        <v>2</v>
      </c>
      <c r="J476" s="90">
        <v>0.14000000000000001</v>
      </c>
    </row>
    <row r="477" spans="1:10" ht="12.75">
      <c r="A477" s="87">
        <v>220</v>
      </c>
      <c r="B477" s="88">
        <v>40553</v>
      </c>
      <c r="C477" s="89">
        <v>1</v>
      </c>
      <c r="D477" s="89">
        <v>0</v>
      </c>
      <c r="E477" s="89">
        <v>1</v>
      </c>
      <c r="F477" s="89">
        <v>10</v>
      </c>
      <c r="G477" s="89" t="b">
        <v>0</v>
      </c>
      <c r="H477" s="89">
        <v>1</v>
      </c>
      <c r="I477" s="89">
        <v>2</v>
      </c>
      <c r="J477" s="90">
        <v>0.14000000000000001</v>
      </c>
    </row>
    <row r="478" spans="1:10" ht="12.75">
      <c r="A478" s="87">
        <v>231</v>
      </c>
      <c r="B478" s="88">
        <v>40553</v>
      </c>
      <c r="C478" s="89">
        <v>1</v>
      </c>
      <c r="D478" s="89">
        <v>0</v>
      </c>
      <c r="E478" s="89">
        <v>1</v>
      </c>
      <c r="F478" s="89">
        <v>21</v>
      </c>
      <c r="G478" s="89" t="b">
        <v>0</v>
      </c>
      <c r="H478" s="89">
        <v>1</v>
      </c>
      <c r="I478" s="89">
        <v>1</v>
      </c>
      <c r="J478" s="90">
        <v>0.14000000000000001</v>
      </c>
    </row>
    <row r="479" spans="1:10" ht="12.75">
      <c r="A479" s="87">
        <v>232</v>
      </c>
      <c r="B479" s="88">
        <v>40553</v>
      </c>
      <c r="C479" s="89">
        <v>1</v>
      </c>
      <c r="D479" s="89">
        <v>0</v>
      </c>
      <c r="E479" s="89">
        <v>1</v>
      </c>
      <c r="F479" s="89">
        <v>22</v>
      </c>
      <c r="G479" s="89" t="b">
        <v>0</v>
      </c>
      <c r="H479" s="89">
        <v>1</v>
      </c>
      <c r="I479" s="89">
        <v>1</v>
      </c>
      <c r="J479" s="90">
        <v>0.14000000000000001</v>
      </c>
    </row>
    <row r="480" spans="1:10" ht="12.75">
      <c r="A480" s="87">
        <v>233</v>
      </c>
      <c r="B480" s="88">
        <v>40553</v>
      </c>
      <c r="C480" s="89">
        <v>1</v>
      </c>
      <c r="D480" s="89">
        <v>0</v>
      </c>
      <c r="E480" s="89">
        <v>1</v>
      </c>
      <c r="F480" s="89">
        <v>23</v>
      </c>
      <c r="G480" s="89" t="b">
        <v>0</v>
      </c>
      <c r="H480" s="89">
        <v>1</v>
      </c>
      <c r="I480" s="89">
        <v>1</v>
      </c>
      <c r="J480" s="90">
        <v>0.14000000000000001</v>
      </c>
    </row>
    <row r="481" spans="1:10" ht="12.75">
      <c r="A481" s="87">
        <v>234</v>
      </c>
      <c r="B481" s="88">
        <v>40554</v>
      </c>
      <c r="C481" s="89">
        <v>1</v>
      </c>
      <c r="D481" s="89">
        <v>0</v>
      </c>
      <c r="E481" s="89">
        <v>1</v>
      </c>
      <c r="F481" s="89">
        <v>0</v>
      </c>
      <c r="G481" s="89" t="b">
        <v>0</v>
      </c>
      <c r="H481" s="89">
        <v>2</v>
      </c>
      <c r="I481" s="89">
        <v>1</v>
      </c>
      <c r="J481" s="90">
        <v>0.14000000000000001</v>
      </c>
    </row>
    <row r="482" spans="1:10" ht="12.75">
      <c r="A482" s="87">
        <v>235</v>
      </c>
      <c r="B482" s="88">
        <v>40554</v>
      </c>
      <c r="C482" s="89">
        <v>1</v>
      </c>
      <c r="D482" s="89">
        <v>0</v>
      </c>
      <c r="E482" s="89">
        <v>1</v>
      </c>
      <c r="F482" s="89">
        <v>1</v>
      </c>
      <c r="G482" s="89" t="b">
        <v>0</v>
      </c>
      <c r="H482" s="89">
        <v>2</v>
      </c>
      <c r="I482" s="89">
        <v>1</v>
      </c>
      <c r="J482" s="90">
        <v>0.14000000000000001</v>
      </c>
    </row>
    <row r="483" spans="1:10" ht="12.75">
      <c r="A483" s="87">
        <v>258</v>
      </c>
      <c r="B483" s="88">
        <v>40555</v>
      </c>
      <c r="C483" s="89">
        <v>1</v>
      </c>
      <c r="D483" s="89">
        <v>0</v>
      </c>
      <c r="E483" s="89">
        <v>1</v>
      </c>
      <c r="F483" s="89">
        <v>2</v>
      </c>
      <c r="G483" s="89" t="b">
        <v>0</v>
      </c>
      <c r="H483" s="89">
        <v>3</v>
      </c>
      <c r="I483" s="89">
        <v>1</v>
      </c>
      <c r="J483" s="90">
        <v>0.14000000000000001</v>
      </c>
    </row>
    <row r="484" spans="1:10" ht="12.75">
      <c r="A484" s="87">
        <v>259</v>
      </c>
      <c r="B484" s="88">
        <v>40555</v>
      </c>
      <c r="C484" s="89">
        <v>1</v>
      </c>
      <c r="D484" s="89">
        <v>0</v>
      </c>
      <c r="E484" s="89">
        <v>1</v>
      </c>
      <c r="F484" s="89">
        <v>5</v>
      </c>
      <c r="G484" s="89" t="b">
        <v>0</v>
      </c>
      <c r="H484" s="89">
        <v>3</v>
      </c>
      <c r="I484" s="89">
        <v>1</v>
      </c>
      <c r="J484" s="90">
        <v>0.14000000000000001</v>
      </c>
    </row>
    <row r="485" spans="1:10" ht="12.75">
      <c r="A485" s="87">
        <v>261</v>
      </c>
      <c r="B485" s="88">
        <v>40555</v>
      </c>
      <c r="C485" s="89">
        <v>1</v>
      </c>
      <c r="D485" s="89">
        <v>0</v>
      </c>
      <c r="E485" s="89">
        <v>1</v>
      </c>
      <c r="F485" s="89">
        <v>7</v>
      </c>
      <c r="G485" s="89" t="b">
        <v>0</v>
      </c>
      <c r="H485" s="89">
        <v>3</v>
      </c>
      <c r="I485" s="89">
        <v>1</v>
      </c>
      <c r="J485" s="90">
        <v>0.14000000000000001</v>
      </c>
    </row>
    <row r="486" spans="1:10" ht="12.75">
      <c r="A486" s="87">
        <v>277</v>
      </c>
      <c r="B486" s="88">
        <v>40555</v>
      </c>
      <c r="C486" s="89">
        <v>1</v>
      </c>
      <c r="D486" s="89">
        <v>0</v>
      </c>
      <c r="E486" s="89">
        <v>1</v>
      </c>
      <c r="F486" s="89">
        <v>23</v>
      </c>
      <c r="G486" s="89" t="b">
        <v>0</v>
      </c>
      <c r="H486" s="89">
        <v>3</v>
      </c>
      <c r="I486" s="89">
        <v>1</v>
      </c>
      <c r="J486" s="90">
        <v>0.14000000000000001</v>
      </c>
    </row>
    <row r="487" spans="1:10" ht="12.75">
      <c r="A487" s="87">
        <v>278</v>
      </c>
      <c r="B487" s="88">
        <v>40556</v>
      </c>
      <c r="C487" s="89">
        <v>1</v>
      </c>
      <c r="D487" s="89">
        <v>0</v>
      </c>
      <c r="E487" s="89">
        <v>1</v>
      </c>
      <c r="F487" s="89">
        <v>0</v>
      </c>
      <c r="G487" s="89" t="b">
        <v>0</v>
      </c>
      <c r="H487" s="89">
        <v>4</v>
      </c>
      <c r="I487" s="89">
        <v>1</v>
      </c>
      <c r="J487" s="90">
        <v>0.14000000000000001</v>
      </c>
    </row>
    <row r="488" spans="1:10" ht="12.75">
      <c r="A488" s="87">
        <v>279</v>
      </c>
      <c r="B488" s="88">
        <v>40556</v>
      </c>
      <c r="C488" s="89">
        <v>1</v>
      </c>
      <c r="D488" s="89">
        <v>0</v>
      </c>
      <c r="E488" s="89">
        <v>1</v>
      </c>
      <c r="F488" s="89">
        <v>1</v>
      </c>
      <c r="G488" s="89" t="b">
        <v>0</v>
      </c>
      <c r="H488" s="89">
        <v>4</v>
      </c>
      <c r="I488" s="89">
        <v>1</v>
      </c>
      <c r="J488" s="90">
        <v>0.14000000000000001</v>
      </c>
    </row>
    <row r="489" spans="1:10" ht="12.75">
      <c r="A489" s="87">
        <v>280</v>
      </c>
      <c r="B489" s="88">
        <v>40556</v>
      </c>
      <c r="C489" s="89">
        <v>1</v>
      </c>
      <c r="D489" s="89">
        <v>0</v>
      </c>
      <c r="E489" s="89">
        <v>1</v>
      </c>
      <c r="F489" s="89">
        <v>2</v>
      </c>
      <c r="G489" s="89" t="b">
        <v>0</v>
      </c>
      <c r="H489" s="89">
        <v>4</v>
      </c>
      <c r="I489" s="89">
        <v>1</v>
      </c>
      <c r="J489" s="90">
        <v>0.14000000000000001</v>
      </c>
    </row>
    <row r="490" spans="1:10" ht="12.75">
      <c r="A490" s="87">
        <v>281</v>
      </c>
      <c r="B490" s="88">
        <v>40556</v>
      </c>
      <c r="C490" s="89">
        <v>1</v>
      </c>
      <c r="D490" s="89">
        <v>0</v>
      </c>
      <c r="E490" s="89">
        <v>1</v>
      </c>
      <c r="F490" s="89">
        <v>3</v>
      </c>
      <c r="G490" s="89" t="b">
        <v>0</v>
      </c>
      <c r="H490" s="89">
        <v>4</v>
      </c>
      <c r="I490" s="89">
        <v>1</v>
      </c>
      <c r="J490" s="90">
        <v>0.14000000000000001</v>
      </c>
    </row>
    <row r="491" spans="1:10" ht="12.75">
      <c r="A491" s="87">
        <v>282</v>
      </c>
      <c r="B491" s="88">
        <v>40556</v>
      </c>
      <c r="C491" s="89">
        <v>1</v>
      </c>
      <c r="D491" s="89">
        <v>0</v>
      </c>
      <c r="E491" s="89">
        <v>1</v>
      </c>
      <c r="F491" s="89">
        <v>4</v>
      </c>
      <c r="G491" s="89" t="b">
        <v>0</v>
      </c>
      <c r="H491" s="89">
        <v>4</v>
      </c>
      <c r="I491" s="89">
        <v>1</v>
      </c>
      <c r="J491" s="90">
        <v>0.14000000000000001</v>
      </c>
    </row>
    <row r="492" spans="1:10" ht="12.75">
      <c r="A492" s="87">
        <v>283</v>
      </c>
      <c r="B492" s="88">
        <v>40556</v>
      </c>
      <c r="C492" s="89">
        <v>1</v>
      </c>
      <c r="D492" s="89">
        <v>0</v>
      </c>
      <c r="E492" s="89">
        <v>1</v>
      </c>
      <c r="F492" s="89">
        <v>5</v>
      </c>
      <c r="G492" s="89" t="b">
        <v>0</v>
      </c>
      <c r="H492" s="89">
        <v>4</v>
      </c>
      <c r="I492" s="89">
        <v>1</v>
      </c>
      <c r="J492" s="90">
        <v>0.14000000000000001</v>
      </c>
    </row>
    <row r="493" spans="1:10" ht="12.75">
      <c r="A493" s="87">
        <v>286</v>
      </c>
      <c r="B493" s="88">
        <v>40556</v>
      </c>
      <c r="C493" s="89">
        <v>1</v>
      </c>
      <c r="D493" s="89">
        <v>0</v>
      </c>
      <c r="E493" s="89">
        <v>1</v>
      </c>
      <c r="F493" s="89">
        <v>8</v>
      </c>
      <c r="G493" s="89" t="b">
        <v>0</v>
      </c>
      <c r="H493" s="89">
        <v>4</v>
      </c>
      <c r="I493" s="89">
        <v>1</v>
      </c>
      <c r="J493" s="90">
        <v>0.14000000000000001</v>
      </c>
    </row>
    <row r="494" spans="1:10" ht="12.75">
      <c r="A494" s="87">
        <v>287</v>
      </c>
      <c r="B494" s="88">
        <v>40556</v>
      </c>
      <c r="C494" s="89">
        <v>1</v>
      </c>
      <c r="D494" s="89">
        <v>0</v>
      </c>
      <c r="E494" s="89">
        <v>1</v>
      </c>
      <c r="F494" s="89">
        <v>9</v>
      </c>
      <c r="G494" s="89" t="b">
        <v>0</v>
      </c>
      <c r="H494" s="89">
        <v>4</v>
      </c>
      <c r="I494" s="89">
        <v>1</v>
      </c>
      <c r="J494" s="90">
        <v>0.14000000000000001</v>
      </c>
    </row>
    <row r="495" spans="1:10" ht="12.75">
      <c r="A495" s="87">
        <v>299</v>
      </c>
      <c r="B495" s="88">
        <v>40556</v>
      </c>
      <c r="C495" s="89">
        <v>1</v>
      </c>
      <c r="D495" s="89">
        <v>0</v>
      </c>
      <c r="E495" s="89">
        <v>1</v>
      </c>
      <c r="F495" s="89">
        <v>21</v>
      </c>
      <c r="G495" s="89" t="b">
        <v>0</v>
      </c>
      <c r="H495" s="89">
        <v>4</v>
      </c>
      <c r="I495" s="89">
        <v>1</v>
      </c>
      <c r="J495" s="90">
        <v>0.14000000000000001</v>
      </c>
    </row>
    <row r="496" spans="1:10" ht="12.75">
      <c r="A496" s="87">
        <v>300</v>
      </c>
      <c r="B496" s="88">
        <v>40556</v>
      </c>
      <c r="C496" s="89">
        <v>1</v>
      </c>
      <c r="D496" s="89">
        <v>0</v>
      </c>
      <c r="E496" s="89">
        <v>1</v>
      </c>
      <c r="F496" s="89">
        <v>22</v>
      </c>
      <c r="G496" s="89" t="b">
        <v>0</v>
      </c>
      <c r="H496" s="89">
        <v>4</v>
      </c>
      <c r="I496" s="89">
        <v>1</v>
      </c>
      <c r="J496" s="90">
        <v>0.14000000000000001</v>
      </c>
    </row>
    <row r="497" spans="1:10" ht="12.75">
      <c r="A497" s="87">
        <v>310</v>
      </c>
      <c r="B497" s="88">
        <v>40557</v>
      </c>
      <c r="C497" s="89">
        <v>1</v>
      </c>
      <c r="D497" s="89">
        <v>0</v>
      </c>
      <c r="E497" s="89">
        <v>1</v>
      </c>
      <c r="F497" s="89">
        <v>9</v>
      </c>
      <c r="G497" s="89" t="b">
        <v>0</v>
      </c>
      <c r="H497" s="89">
        <v>5</v>
      </c>
      <c r="I497" s="89">
        <v>1</v>
      </c>
      <c r="J497" s="90">
        <v>0.14000000000000001</v>
      </c>
    </row>
    <row r="498" spans="1:10" ht="12.75">
      <c r="A498" s="87">
        <v>331</v>
      </c>
      <c r="B498" s="88">
        <v>40558</v>
      </c>
      <c r="C498" s="89">
        <v>1</v>
      </c>
      <c r="D498" s="89">
        <v>0</v>
      </c>
      <c r="E498" s="89">
        <v>1</v>
      </c>
      <c r="F498" s="89">
        <v>6</v>
      </c>
      <c r="G498" s="89" t="b">
        <v>0</v>
      </c>
      <c r="H498" s="89">
        <v>6</v>
      </c>
      <c r="I498" s="89">
        <v>1</v>
      </c>
      <c r="J498" s="90">
        <v>0.14000000000000001</v>
      </c>
    </row>
    <row r="499" spans="1:10" ht="12.75">
      <c r="A499" s="87">
        <v>332</v>
      </c>
      <c r="B499" s="88">
        <v>40558</v>
      </c>
      <c r="C499" s="89">
        <v>1</v>
      </c>
      <c r="D499" s="89">
        <v>0</v>
      </c>
      <c r="E499" s="89">
        <v>1</v>
      </c>
      <c r="F499" s="89">
        <v>7</v>
      </c>
      <c r="G499" s="89" t="b">
        <v>0</v>
      </c>
      <c r="H499" s="89">
        <v>6</v>
      </c>
      <c r="I499" s="89">
        <v>1</v>
      </c>
      <c r="J499" s="90">
        <v>0.14000000000000001</v>
      </c>
    </row>
    <row r="500" spans="1:10" ht="12.75">
      <c r="A500" s="87">
        <v>333</v>
      </c>
      <c r="B500" s="88">
        <v>40558</v>
      </c>
      <c r="C500" s="89">
        <v>1</v>
      </c>
      <c r="D500" s="89">
        <v>0</v>
      </c>
      <c r="E500" s="89">
        <v>1</v>
      </c>
      <c r="F500" s="89">
        <v>8</v>
      </c>
      <c r="G500" s="89" t="b">
        <v>0</v>
      </c>
      <c r="H500" s="89">
        <v>6</v>
      </c>
      <c r="I500" s="89">
        <v>1</v>
      </c>
      <c r="J500" s="90">
        <v>0.14000000000000001</v>
      </c>
    </row>
    <row r="501" spans="1:10" ht="12.75">
      <c r="A501" s="87">
        <v>395</v>
      </c>
      <c r="B501" s="88">
        <v>40560</v>
      </c>
      <c r="C501" s="89">
        <v>1</v>
      </c>
      <c r="D501" s="89">
        <v>0</v>
      </c>
      <c r="E501" s="89">
        <v>1</v>
      </c>
      <c r="F501" s="89">
        <v>22</v>
      </c>
      <c r="G501" s="89" t="b">
        <v>1</v>
      </c>
      <c r="H501" s="89">
        <v>1</v>
      </c>
      <c r="I501" s="89">
        <v>3</v>
      </c>
      <c r="J501" s="90">
        <v>0.14000000000000001</v>
      </c>
    </row>
    <row r="502" spans="1:10" ht="12.75">
      <c r="A502" s="87">
        <v>473</v>
      </c>
      <c r="B502" s="88">
        <v>40564</v>
      </c>
      <c r="C502" s="89">
        <v>1</v>
      </c>
      <c r="D502" s="89">
        <v>0</v>
      </c>
      <c r="E502" s="89">
        <v>1</v>
      </c>
      <c r="F502" s="89">
        <v>17</v>
      </c>
      <c r="G502" s="89" t="b">
        <v>0</v>
      </c>
      <c r="H502" s="89">
        <v>5</v>
      </c>
      <c r="I502" s="89">
        <v>1</v>
      </c>
      <c r="J502" s="90">
        <v>0.14000000000000001</v>
      </c>
    </row>
    <row r="503" spans="1:10" ht="12.75">
      <c r="A503" s="87">
        <v>512</v>
      </c>
      <c r="B503" s="88">
        <v>40566</v>
      </c>
      <c r="C503" s="89">
        <v>1</v>
      </c>
      <c r="D503" s="89">
        <v>0</v>
      </c>
      <c r="E503" s="89">
        <v>1</v>
      </c>
      <c r="F503" s="89">
        <v>10</v>
      </c>
      <c r="G503" s="89" t="b">
        <v>0</v>
      </c>
      <c r="H503" s="89">
        <v>0</v>
      </c>
      <c r="I503" s="89">
        <v>1</v>
      </c>
      <c r="J503" s="90">
        <v>0.14000000000000001</v>
      </c>
    </row>
    <row r="504" spans="1:10" ht="12.75">
      <c r="A504" s="87">
        <v>513</v>
      </c>
      <c r="B504" s="88">
        <v>40566</v>
      </c>
      <c r="C504" s="89">
        <v>1</v>
      </c>
      <c r="D504" s="89">
        <v>0</v>
      </c>
      <c r="E504" s="89">
        <v>1</v>
      </c>
      <c r="F504" s="89">
        <v>11</v>
      </c>
      <c r="G504" s="89" t="b">
        <v>0</v>
      </c>
      <c r="H504" s="89">
        <v>0</v>
      </c>
      <c r="I504" s="89">
        <v>1</v>
      </c>
      <c r="J504" s="90">
        <v>0.14000000000000001</v>
      </c>
    </row>
    <row r="505" spans="1:10" ht="12.75">
      <c r="A505" s="87">
        <v>515</v>
      </c>
      <c r="B505" s="88">
        <v>40566</v>
      </c>
      <c r="C505" s="89">
        <v>1</v>
      </c>
      <c r="D505" s="89">
        <v>0</v>
      </c>
      <c r="E505" s="89">
        <v>1</v>
      </c>
      <c r="F505" s="89">
        <v>13</v>
      </c>
      <c r="G505" s="89" t="b">
        <v>0</v>
      </c>
      <c r="H505" s="89">
        <v>0</v>
      </c>
      <c r="I505" s="89">
        <v>1</v>
      </c>
      <c r="J505" s="90">
        <v>0.14000000000000001</v>
      </c>
    </row>
    <row r="506" spans="1:10" ht="12.75">
      <c r="A506" s="87">
        <v>519</v>
      </c>
      <c r="B506" s="88">
        <v>40566</v>
      </c>
      <c r="C506" s="89">
        <v>1</v>
      </c>
      <c r="D506" s="89">
        <v>0</v>
      </c>
      <c r="E506" s="89">
        <v>1</v>
      </c>
      <c r="F506" s="89">
        <v>17</v>
      </c>
      <c r="G506" s="89" t="b">
        <v>0</v>
      </c>
      <c r="H506" s="89">
        <v>0</v>
      </c>
      <c r="I506" s="89">
        <v>1</v>
      </c>
      <c r="J506" s="90">
        <v>0.14000000000000001</v>
      </c>
    </row>
    <row r="507" spans="1:10" ht="12.75">
      <c r="A507" s="87">
        <v>538</v>
      </c>
      <c r="B507" s="88">
        <v>40567</v>
      </c>
      <c r="C507" s="89">
        <v>1</v>
      </c>
      <c r="D507" s="89">
        <v>0</v>
      </c>
      <c r="E507" s="89">
        <v>1</v>
      </c>
      <c r="F507" s="89">
        <v>13</v>
      </c>
      <c r="G507" s="89" t="b">
        <v>0</v>
      </c>
      <c r="H507" s="89">
        <v>1</v>
      </c>
      <c r="I507" s="89">
        <v>2</v>
      </c>
      <c r="J507" s="90">
        <v>0.14000000000000001</v>
      </c>
    </row>
    <row r="508" spans="1:10" ht="12.75">
      <c r="A508" s="87">
        <v>539</v>
      </c>
      <c r="B508" s="88">
        <v>40567</v>
      </c>
      <c r="C508" s="89">
        <v>1</v>
      </c>
      <c r="D508" s="89">
        <v>0</v>
      </c>
      <c r="E508" s="89">
        <v>1</v>
      </c>
      <c r="F508" s="89">
        <v>14</v>
      </c>
      <c r="G508" s="89" t="b">
        <v>0</v>
      </c>
      <c r="H508" s="89">
        <v>1</v>
      </c>
      <c r="I508" s="89">
        <v>2</v>
      </c>
      <c r="J508" s="90">
        <v>0.14000000000000001</v>
      </c>
    </row>
    <row r="509" spans="1:10" ht="12.75">
      <c r="A509" s="87">
        <v>542</v>
      </c>
      <c r="B509" s="88">
        <v>40567</v>
      </c>
      <c r="C509" s="89">
        <v>1</v>
      </c>
      <c r="D509" s="89">
        <v>0</v>
      </c>
      <c r="E509" s="89">
        <v>1</v>
      </c>
      <c r="F509" s="89">
        <v>17</v>
      </c>
      <c r="G509" s="89" t="b">
        <v>0</v>
      </c>
      <c r="H509" s="89">
        <v>1</v>
      </c>
      <c r="I509" s="89">
        <v>1</v>
      </c>
      <c r="J509" s="90">
        <v>0.14000000000000001</v>
      </c>
    </row>
    <row r="510" spans="1:10" ht="12.75">
      <c r="A510" s="87">
        <v>543</v>
      </c>
      <c r="B510" s="88">
        <v>40567</v>
      </c>
      <c r="C510" s="89">
        <v>1</v>
      </c>
      <c r="D510" s="89">
        <v>0</v>
      </c>
      <c r="E510" s="89">
        <v>1</v>
      </c>
      <c r="F510" s="89">
        <v>18</v>
      </c>
      <c r="G510" s="89" t="b">
        <v>0</v>
      </c>
      <c r="H510" s="89">
        <v>1</v>
      </c>
      <c r="I510" s="89">
        <v>1</v>
      </c>
      <c r="J510" s="90">
        <v>0.14000000000000001</v>
      </c>
    </row>
    <row r="511" spans="1:10" ht="12.75">
      <c r="A511" s="87">
        <v>544</v>
      </c>
      <c r="B511" s="88">
        <v>40567</v>
      </c>
      <c r="C511" s="89">
        <v>1</v>
      </c>
      <c r="D511" s="89">
        <v>0</v>
      </c>
      <c r="E511" s="89">
        <v>1</v>
      </c>
      <c r="F511" s="89">
        <v>19</v>
      </c>
      <c r="G511" s="89" t="b">
        <v>0</v>
      </c>
      <c r="H511" s="89">
        <v>1</v>
      </c>
      <c r="I511" s="89">
        <v>1</v>
      </c>
      <c r="J511" s="90">
        <v>0.14000000000000001</v>
      </c>
    </row>
    <row r="512" spans="1:10" ht="12.75">
      <c r="A512" s="87">
        <v>545</v>
      </c>
      <c r="B512" s="88">
        <v>40567</v>
      </c>
      <c r="C512" s="89">
        <v>1</v>
      </c>
      <c r="D512" s="89">
        <v>0</v>
      </c>
      <c r="E512" s="89">
        <v>1</v>
      </c>
      <c r="F512" s="89">
        <v>20</v>
      </c>
      <c r="G512" s="89" t="b">
        <v>0</v>
      </c>
      <c r="H512" s="89">
        <v>1</v>
      </c>
      <c r="I512" s="89">
        <v>1</v>
      </c>
      <c r="J512" s="90">
        <v>0.14000000000000001</v>
      </c>
    </row>
    <row r="513" spans="1:10" ht="12.75">
      <c r="A513" s="87">
        <v>546</v>
      </c>
      <c r="B513" s="88">
        <v>40567</v>
      </c>
      <c r="C513" s="89">
        <v>1</v>
      </c>
      <c r="D513" s="89">
        <v>0</v>
      </c>
      <c r="E513" s="89">
        <v>1</v>
      </c>
      <c r="F513" s="89">
        <v>21</v>
      </c>
      <c r="G513" s="89" t="b">
        <v>0</v>
      </c>
      <c r="H513" s="89">
        <v>1</v>
      </c>
      <c r="I513" s="89">
        <v>1</v>
      </c>
      <c r="J513" s="90">
        <v>0.14000000000000001</v>
      </c>
    </row>
    <row r="514" spans="1:10" ht="12.75">
      <c r="A514" s="87">
        <v>547</v>
      </c>
      <c r="B514" s="88">
        <v>40567</v>
      </c>
      <c r="C514" s="89">
        <v>1</v>
      </c>
      <c r="D514" s="89">
        <v>0</v>
      </c>
      <c r="E514" s="89">
        <v>1</v>
      </c>
      <c r="F514" s="89">
        <v>22</v>
      </c>
      <c r="G514" s="89" t="b">
        <v>0</v>
      </c>
      <c r="H514" s="89">
        <v>1</v>
      </c>
      <c r="I514" s="89">
        <v>2</v>
      </c>
      <c r="J514" s="90">
        <v>0.14000000000000001</v>
      </c>
    </row>
    <row r="515" spans="1:10" ht="12.75">
      <c r="A515" s="87">
        <v>552</v>
      </c>
      <c r="B515" s="88">
        <v>40568</v>
      </c>
      <c r="C515" s="89">
        <v>1</v>
      </c>
      <c r="D515" s="89">
        <v>0</v>
      </c>
      <c r="E515" s="89">
        <v>1</v>
      </c>
      <c r="F515" s="89">
        <v>4</v>
      </c>
      <c r="G515" s="89" t="b">
        <v>0</v>
      </c>
      <c r="H515" s="89">
        <v>2</v>
      </c>
      <c r="I515" s="89">
        <v>1</v>
      </c>
      <c r="J515" s="90">
        <v>0.14000000000000001</v>
      </c>
    </row>
    <row r="516" spans="1:10" ht="12.75">
      <c r="A516" s="87">
        <v>553</v>
      </c>
      <c r="B516" s="88">
        <v>40568</v>
      </c>
      <c r="C516" s="89">
        <v>1</v>
      </c>
      <c r="D516" s="89">
        <v>0</v>
      </c>
      <c r="E516" s="89">
        <v>1</v>
      </c>
      <c r="F516" s="89">
        <v>5</v>
      </c>
      <c r="G516" s="89" t="b">
        <v>0</v>
      </c>
      <c r="H516" s="89">
        <v>2</v>
      </c>
      <c r="I516" s="89">
        <v>1</v>
      </c>
      <c r="J516" s="90">
        <v>0.14000000000000001</v>
      </c>
    </row>
    <row r="517" spans="1:10" ht="12.75">
      <c r="A517" s="87">
        <v>74</v>
      </c>
      <c r="B517" s="88">
        <v>40547</v>
      </c>
      <c r="C517" s="89">
        <v>1</v>
      </c>
      <c r="D517" s="89">
        <v>0</v>
      </c>
      <c r="E517" s="89">
        <v>1</v>
      </c>
      <c r="F517" s="89">
        <v>5</v>
      </c>
      <c r="G517" s="89" t="b">
        <v>0</v>
      </c>
      <c r="H517" s="89">
        <v>2</v>
      </c>
      <c r="I517" s="89">
        <v>1</v>
      </c>
      <c r="J517" s="90">
        <v>0.12</v>
      </c>
    </row>
    <row r="518" spans="1:10" ht="12.75">
      <c r="A518" s="87">
        <v>75</v>
      </c>
      <c r="B518" s="88">
        <v>40547</v>
      </c>
      <c r="C518" s="89">
        <v>1</v>
      </c>
      <c r="D518" s="89">
        <v>0</v>
      </c>
      <c r="E518" s="89">
        <v>1</v>
      </c>
      <c r="F518" s="89">
        <v>6</v>
      </c>
      <c r="G518" s="89" t="b">
        <v>0</v>
      </c>
      <c r="H518" s="89">
        <v>2</v>
      </c>
      <c r="I518" s="89">
        <v>1</v>
      </c>
      <c r="J518" s="90">
        <v>0.12</v>
      </c>
    </row>
    <row r="519" spans="1:10" ht="12.75">
      <c r="A519" s="87">
        <v>76</v>
      </c>
      <c r="B519" s="88">
        <v>40547</v>
      </c>
      <c r="C519" s="89">
        <v>1</v>
      </c>
      <c r="D519" s="89">
        <v>0</v>
      </c>
      <c r="E519" s="89">
        <v>1</v>
      </c>
      <c r="F519" s="89">
        <v>7</v>
      </c>
      <c r="G519" s="89" t="b">
        <v>0</v>
      </c>
      <c r="H519" s="89">
        <v>2</v>
      </c>
      <c r="I519" s="89">
        <v>1</v>
      </c>
      <c r="J519" s="90">
        <v>0.12</v>
      </c>
    </row>
    <row r="520" spans="1:10" ht="12.75">
      <c r="A520" s="87">
        <v>182</v>
      </c>
      <c r="B520" s="88">
        <v>40551</v>
      </c>
      <c r="C520" s="89">
        <v>1</v>
      </c>
      <c r="D520" s="89">
        <v>0</v>
      </c>
      <c r="E520" s="89">
        <v>1</v>
      </c>
      <c r="F520" s="89">
        <v>20</v>
      </c>
      <c r="G520" s="89" t="b">
        <v>0</v>
      </c>
      <c r="H520" s="89">
        <v>6</v>
      </c>
      <c r="I520" s="89">
        <v>1</v>
      </c>
      <c r="J520" s="90">
        <v>0.12</v>
      </c>
    </row>
    <row r="521" spans="1:10" ht="12.75">
      <c r="A521" s="87">
        <v>183</v>
      </c>
      <c r="B521" s="88">
        <v>40551</v>
      </c>
      <c r="C521" s="89">
        <v>1</v>
      </c>
      <c r="D521" s="89">
        <v>0</v>
      </c>
      <c r="E521" s="89">
        <v>1</v>
      </c>
      <c r="F521" s="89">
        <v>21</v>
      </c>
      <c r="G521" s="89" t="b">
        <v>0</v>
      </c>
      <c r="H521" s="89">
        <v>6</v>
      </c>
      <c r="I521" s="89">
        <v>1</v>
      </c>
      <c r="J521" s="90">
        <v>0.12</v>
      </c>
    </row>
    <row r="522" spans="1:10" ht="12.75">
      <c r="A522" s="87">
        <v>184</v>
      </c>
      <c r="B522" s="88">
        <v>40551</v>
      </c>
      <c r="C522" s="89">
        <v>1</v>
      </c>
      <c r="D522" s="89">
        <v>0</v>
      </c>
      <c r="E522" s="89">
        <v>1</v>
      </c>
      <c r="F522" s="89">
        <v>22</v>
      </c>
      <c r="G522" s="89" t="b">
        <v>0</v>
      </c>
      <c r="H522" s="89">
        <v>6</v>
      </c>
      <c r="I522" s="89">
        <v>1</v>
      </c>
      <c r="J522" s="90">
        <v>0.12</v>
      </c>
    </row>
    <row r="523" spans="1:10" ht="12.75">
      <c r="A523" s="87">
        <v>195</v>
      </c>
      <c r="B523" s="88">
        <v>40552</v>
      </c>
      <c r="C523" s="89">
        <v>1</v>
      </c>
      <c r="D523" s="89">
        <v>0</v>
      </c>
      <c r="E523" s="89">
        <v>1</v>
      </c>
      <c r="F523" s="89">
        <v>9</v>
      </c>
      <c r="G523" s="89" t="b">
        <v>0</v>
      </c>
      <c r="H523" s="89">
        <v>0</v>
      </c>
      <c r="I523" s="89">
        <v>1</v>
      </c>
      <c r="J523" s="90">
        <v>0.12</v>
      </c>
    </row>
    <row r="524" spans="1:10" ht="12.75">
      <c r="A524" s="87">
        <v>209</v>
      </c>
      <c r="B524" s="88">
        <v>40552</v>
      </c>
      <c r="C524" s="89">
        <v>1</v>
      </c>
      <c r="D524" s="89">
        <v>0</v>
      </c>
      <c r="E524" s="89">
        <v>1</v>
      </c>
      <c r="F524" s="89">
        <v>23</v>
      </c>
      <c r="G524" s="89" t="b">
        <v>0</v>
      </c>
      <c r="H524" s="89">
        <v>0</v>
      </c>
      <c r="I524" s="89">
        <v>1</v>
      </c>
      <c r="J524" s="90">
        <v>0.12</v>
      </c>
    </row>
    <row r="525" spans="1:10" ht="12.75">
      <c r="A525" s="87">
        <v>210</v>
      </c>
      <c r="B525" s="88">
        <v>40553</v>
      </c>
      <c r="C525" s="89">
        <v>1</v>
      </c>
      <c r="D525" s="89">
        <v>0</v>
      </c>
      <c r="E525" s="89">
        <v>1</v>
      </c>
      <c r="F525" s="89">
        <v>0</v>
      </c>
      <c r="G525" s="89" t="b">
        <v>0</v>
      </c>
      <c r="H525" s="89">
        <v>1</v>
      </c>
      <c r="I525" s="89">
        <v>1</v>
      </c>
      <c r="J525" s="90">
        <v>0.12</v>
      </c>
    </row>
    <row r="526" spans="1:10" ht="12.75">
      <c r="A526" s="87">
        <v>211</v>
      </c>
      <c r="B526" s="88">
        <v>40553</v>
      </c>
      <c r="C526" s="89">
        <v>1</v>
      </c>
      <c r="D526" s="89">
        <v>0</v>
      </c>
      <c r="E526" s="89">
        <v>1</v>
      </c>
      <c r="F526" s="89">
        <v>1</v>
      </c>
      <c r="G526" s="89" t="b">
        <v>0</v>
      </c>
      <c r="H526" s="89">
        <v>1</v>
      </c>
      <c r="I526" s="89">
        <v>1</v>
      </c>
      <c r="J526" s="90">
        <v>0.12</v>
      </c>
    </row>
    <row r="527" spans="1:10" ht="12.75">
      <c r="A527" s="87">
        <v>212</v>
      </c>
      <c r="B527" s="88">
        <v>40553</v>
      </c>
      <c r="C527" s="89">
        <v>1</v>
      </c>
      <c r="D527" s="89">
        <v>0</v>
      </c>
      <c r="E527" s="89">
        <v>1</v>
      </c>
      <c r="F527" s="89">
        <v>2</v>
      </c>
      <c r="G527" s="89" t="b">
        <v>0</v>
      </c>
      <c r="H527" s="89">
        <v>1</v>
      </c>
      <c r="I527" s="89">
        <v>1</v>
      </c>
      <c r="J527" s="90">
        <v>0.12</v>
      </c>
    </row>
    <row r="528" spans="1:10" ht="12.75">
      <c r="A528" s="87">
        <v>213</v>
      </c>
      <c r="B528" s="88">
        <v>40553</v>
      </c>
      <c r="C528" s="89">
        <v>1</v>
      </c>
      <c r="D528" s="89">
        <v>0</v>
      </c>
      <c r="E528" s="89">
        <v>1</v>
      </c>
      <c r="F528" s="89">
        <v>3</v>
      </c>
      <c r="G528" s="89" t="b">
        <v>0</v>
      </c>
      <c r="H528" s="89">
        <v>1</v>
      </c>
      <c r="I528" s="89">
        <v>1</v>
      </c>
      <c r="J528" s="90">
        <v>0.12</v>
      </c>
    </row>
    <row r="529" spans="1:10" ht="12.75">
      <c r="A529" s="87">
        <v>216</v>
      </c>
      <c r="B529" s="88">
        <v>40553</v>
      </c>
      <c r="C529" s="89">
        <v>1</v>
      </c>
      <c r="D529" s="89">
        <v>0</v>
      </c>
      <c r="E529" s="89">
        <v>1</v>
      </c>
      <c r="F529" s="89">
        <v>6</v>
      </c>
      <c r="G529" s="89" t="b">
        <v>0</v>
      </c>
      <c r="H529" s="89">
        <v>1</v>
      </c>
      <c r="I529" s="89">
        <v>1</v>
      </c>
      <c r="J529" s="90">
        <v>0.12</v>
      </c>
    </row>
    <row r="530" spans="1:10" ht="12.75">
      <c r="A530" s="87">
        <v>217</v>
      </c>
      <c r="B530" s="88">
        <v>40553</v>
      </c>
      <c r="C530" s="89">
        <v>1</v>
      </c>
      <c r="D530" s="89">
        <v>0</v>
      </c>
      <c r="E530" s="89">
        <v>1</v>
      </c>
      <c r="F530" s="89">
        <v>7</v>
      </c>
      <c r="G530" s="89" t="b">
        <v>0</v>
      </c>
      <c r="H530" s="89">
        <v>1</v>
      </c>
      <c r="I530" s="89">
        <v>1</v>
      </c>
      <c r="J530" s="90">
        <v>0.12</v>
      </c>
    </row>
    <row r="531" spans="1:10" ht="12.75">
      <c r="A531" s="87">
        <v>218</v>
      </c>
      <c r="B531" s="88">
        <v>40553</v>
      </c>
      <c r="C531" s="89">
        <v>1</v>
      </c>
      <c r="D531" s="89">
        <v>0</v>
      </c>
      <c r="E531" s="89">
        <v>1</v>
      </c>
      <c r="F531" s="89">
        <v>8</v>
      </c>
      <c r="G531" s="89" t="b">
        <v>0</v>
      </c>
      <c r="H531" s="89">
        <v>1</v>
      </c>
      <c r="I531" s="89">
        <v>2</v>
      </c>
      <c r="J531" s="90">
        <v>0.12</v>
      </c>
    </row>
    <row r="532" spans="1:10" ht="12.75">
      <c r="A532" s="87">
        <v>260</v>
      </c>
      <c r="B532" s="88">
        <v>40555</v>
      </c>
      <c r="C532" s="89">
        <v>1</v>
      </c>
      <c r="D532" s="89">
        <v>0</v>
      </c>
      <c r="E532" s="89">
        <v>1</v>
      </c>
      <c r="F532" s="89">
        <v>6</v>
      </c>
      <c r="G532" s="89" t="b">
        <v>0</v>
      </c>
      <c r="H532" s="89">
        <v>3</v>
      </c>
      <c r="I532" s="89">
        <v>1</v>
      </c>
      <c r="J532" s="90">
        <v>0.12</v>
      </c>
    </row>
    <row r="533" spans="1:10" ht="12.75">
      <c r="A533" s="87">
        <v>284</v>
      </c>
      <c r="B533" s="88">
        <v>40556</v>
      </c>
      <c r="C533" s="89">
        <v>1</v>
      </c>
      <c r="D533" s="89">
        <v>0</v>
      </c>
      <c r="E533" s="89">
        <v>1</v>
      </c>
      <c r="F533" s="89">
        <v>6</v>
      </c>
      <c r="G533" s="89" t="b">
        <v>0</v>
      </c>
      <c r="H533" s="89">
        <v>4</v>
      </c>
      <c r="I533" s="89">
        <v>1</v>
      </c>
      <c r="J533" s="90">
        <v>0.12</v>
      </c>
    </row>
    <row r="534" spans="1:10" ht="12.75">
      <c r="A534" s="87">
        <v>285</v>
      </c>
      <c r="B534" s="88">
        <v>40556</v>
      </c>
      <c r="C534" s="89">
        <v>1</v>
      </c>
      <c r="D534" s="89">
        <v>0</v>
      </c>
      <c r="E534" s="89">
        <v>1</v>
      </c>
      <c r="F534" s="89">
        <v>7</v>
      </c>
      <c r="G534" s="89" t="b">
        <v>0</v>
      </c>
      <c r="H534" s="89">
        <v>4</v>
      </c>
      <c r="I534" s="89">
        <v>1</v>
      </c>
      <c r="J534" s="90">
        <v>0.12</v>
      </c>
    </row>
    <row r="535" spans="1:10" ht="12.75">
      <c r="A535" s="87">
        <v>301</v>
      </c>
      <c r="B535" s="88">
        <v>40556</v>
      </c>
      <c r="C535" s="89">
        <v>1</v>
      </c>
      <c r="D535" s="89">
        <v>0</v>
      </c>
      <c r="E535" s="89">
        <v>1</v>
      </c>
      <c r="F535" s="89">
        <v>23</v>
      </c>
      <c r="G535" s="89" t="b">
        <v>0</v>
      </c>
      <c r="H535" s="89">
        <v>4</v>
      </c>
      <c r="I535" s="89">
        <v>1</v>
      </c>
      <c r="J535" s="90">
        <v>0.12</v>
      </c>
    </row>
    <row r="536" spans="1:10" ht="12.75">
      <c r="A536" s="87">
        <v>302</v>
      </c>
      <c r="B536" s="88">
        <v>40557</v>
      </c>
      <c r="C536" s="89">
        <v>1</v>
      </c>
      <c r="D536" s="89">
        <v>0</v>
      </c>
      <c r="E536" s="89">
        <v>1</v>
      </c>
      <c r="F536" s="89">
        <v>0</v>
      </c>
      <c r="G536" s="89" t="b">
        <v>0</v>
      </c>
      <c r="H536" s="89">
        <v>5</v>
      </c>
      <c r="I536" s="89">
        <v>1</v>
      </c>
      <c r="J536" s="90">
        <v>0.12</v>
      </c>
    </row>
    <row r="537" spans="1:10" ht="12.75">
      <c r="A537" s="87">
        <v>309</v>
      </c>
      <c r="B537" s="88">
        <v>40557</v>
      </c>
      <c r="C537" s="89">
        <v>1</v>
      </c>
      <c r="D537" s="89">
        <v>0</v>
      </c>
      <c r="E537" s="89">
        <v>1</v>
      </c>
      <c r="F537" s="89">
        <v>8</v>
      </c>
      <c r="G537" s="89" t="b">
        <v>0</v>
      </c>
      <c r="H537" s="89">
        <v>5</v>
      </c>
      <c r="I537" s="89">
        <v>1</v>
      </c>
      <c r="J537" s="90">
        <v>0.12</v>
      </c>
    </row>
    <row r="538" spans="1:10" ht="12.75">
      <c r="A538" s="87">
        <v>474</v>
      </c>
      <c r="B538" s="88">
        <v>40564</v>
      </c>
      <c r="C538" s="89">
        <v>1</v>
      </c>
      <c r="D538" s="89">
        <v>0</v>
      </c>
      <c r="E538" s="89">
        <v>1</v>
      </c>
      <c r="F538" s="89">
        <v>18</v>
      </c>
      <c r="G538" s="89" t="b">
        <v>0</v>
      </c>
      <c r="H538" s="89">
        <v>5</v>
      </c>
      <c r="I538" s="89">
        <v>1</v>
      </c>
      <c r="J538" s="90">
        <v>0.12</v>
      </c>
    </row>
    <row r="539" spans="1:10" ht="12.75">
      <c r="A539" s="87">
        <v>475</v>
      </c>
      <c r="B539" s="88">
        <v>40564</v>
      </c>
      <c r="C539" s="89">
        <v>1</v>
      </c>
      <c r="D539" s="89">
        <v>0</v>
      </c>
      <c r="E539" s="89">
        <v>1</v>
      </c>
      <c r="F539" s="89">
        <v>19</v>
      </c>
      <c r="G539" s="89" t="b">
        <v>0</v>
      </c>
      <c r="H539" s="89">
        <v>5</v>
      </c>
      <c r="I539" s="89">
        <v>1</v>
      </c>
      <c r="J539" s="90">
        <v>0.12</v>
      </c>
    </row>
    <row r="540" spans="1:10" ht="12.75">
      <c r="A540" s="87">
        <v>494</v>
      </c>
      <c r="B540" s="88">
        <v>40565</v>
      </c>
      <c r="C540" s="89">
        <v>1</v>
      </c>
      <c r="D540" s="89">
        <v>0</v>
      </c>
      <c r="E540" s="89">
        <v>1</v>
      </c>
      <c r="F540" s="89">
        <v>15</v>
      </c>
      <c r="G540" s="89" t="b">
        <v>0</v>
      </c>
      <c r="H540" s="89">
        <v>6</v>
      </c>
      <c r="I540" s="89">
        <v>1</v>
      </c>
      <c r="J540" s="90">
        <v>0.12</v>
      </c>
    </row>
    <row r="541" spans="1:10" ht="12.75">
      <c r="A541" s="87">
        <v>495</v>
      </c>
      <c r="B541" s="88">
        <v>40565</v>
      </c>
      <c r="C541" s="89">
        <v>1</v>
      </c>
      <c r="D541" s="89">
        <v>0</v>
      </c>
      <c r="E541" s="89">
        <v>1</v>
      </c>
      <c r="F541" s="89">
        <v>16</v>
      </c>
      <c r="G541" s="89" t="b">
        <v>0</v>
      </c>
      <c r="H541" s="89">
        <v>6</v>
      </c>
      <c r="I541" s="89">
        <v>1</v>
      </c>
      <c r="J541" s="90">
        <v>0.12</v>
      </c>
    </row>
    <row r="542" spans="1:10" ht="12.75">
      <c r="A542" s="87">
        <v>496</v>
      </c>
      <c r="B542" s="88">
        <v>40565</v>
      </c>
      <c r="C542" s="89">
        <v>1</v>
      </c>
      <c r="D542" s="89">
        <v>0</v>
      </c>
      <c r="E542" s="89">
        <v>1</v>
      </c>
      <c r="F542" s="89">
        <v>17</v>
      </c>
      <c r="G542" s="89" t="b">
        <v>0</v>
      </c>
      <c r="H542" s="89">
        <v>6</v>
      </c>
      <c r="I542" s="89">
        <v>1</v>
      </c>
      <c r="J542" s="90">
        <v>0.12</v>
      </c>
    </row>
    <row r="543" spans="1:10" ht="12.75">
      <c r="A543" s="87">
        <v>520</v>
      </c>
      <c r="B543" s="88">
        <v>40566</v>
      </c>
      <c r="C543" s="89">
        <v>1</v>
      </c>
      <c r="D543" s="89">
        <v>0</v>
      </c>
      <c r="E543" s="89">
        <v>1</v>
      </c>
      <c r="F543" s="89">
        <v>18</v>
      </c>
      <c r="G543" s="89" t="b">
        <v>0</v>
      </c>
      <c r="H543" s="89">
        <v>0</v>
      </c>
      <c r="I543" s="89">
        <v>1</v>
      </c>
      <c r="J543" s="90">
        <v>0.12</v>
      </c>
    </row>
    <row r="544" spans="1:10" ht="12.75">
      <c r="A544" s="87">
        <v>521</v>
      </c>
      <c r="B544" s="88">
        <v>40566</v>
      </c>
      <c r="C544" s="89">
        <v>1</v>
      </c>
      <c r="D544" s="89">
        <v>0</v>
      </c>
      <c r="E544" s="89">
        <v>1</v>
      </c>
      <c r="F544" s="89">
        <v>19</v>
      </c>
      <c r="G544" s="89" t="b">
        <v>0</v>
      </c>
      <c r="H544" s="89">
        <v>0</v>
      </c>
      <c r="I544" s="89">
        <v>1</v>
      </c>
      <c r="J544" s="90">
        <v>0.12</v>
      </c>
    </row>
    <row r="545" spans="1:10" ht="12.75">
      <c r="A545" s="87">
        <v>537</v>
      </c>
      <c r="B545" s="88">
        <v>40567</v>
      </c>
      <c r="C545" s="89">
        <v>1</v>
      </c>
      <c r="D545" s="89">
        <v>0</v>
      </c>
      <c r="E545" s="89">
        <v>1</v>
      </c>
      <c r="F545" s="89">
        <v>12</v>
      </c>
      <c r="G545" s="89" t="b">
        <v>0</v>
      </c>
      <c r="H545" s="89">
        <v>1</v>
      </c>
      <c r="I545" s="89">
        <v>2</v>
      </c>
      <c r="J545" s="90">
        <v>0.12</v>
      </c>
    </row>
    <row r="546" spans="1:10" ht="12.75">
      <c r="A546" s="87">
        <v>185</v>
      </c>
      <c r="B546" s="88">
        <v>40551</v>
      </c>
      <c r="C546" s="89">
        <v>1</v>
      </c>
      <c r="D546" s="89">
        <v>0</v>
      </c>
      <c r="E546" s="89">
        <v>1</v>
      </c>
      <c r="F546" s="89">
        <v>23</v>
      </c>
      <c r="G546" s="89" t="b">
        <v>0</v>
      </c>
      <c r="H546" s="89">
        <v>6</v>
      </c>
      <c r="I546" s="89">
        <v>1</v>
      </c>
      <c r="J546" s="90">
        <v>0.1</v>
      </c>
    </row>
    <row r="547" spans="1:10" ht="12.75">
      <c r="A547" s="87">
        <v>186</v>
      </c>
      <c r="B547" s="88">
        <v>40552</v>
      </c>
      <c r="C547" s="89">
        <v>1</v>
      </c>
      <c r="D547" s="89">
        <v>0</v>
      </c>
      <c r="E547" s="89">
        <v>1</v>
      </c>
      <c r="F547" s="89">
        <v>0</v>
      </c>
      <c r="G547" s="89" t="b">
        <v>0</v>
      </c>
      <c r="H547" s="89">
        <v>0</v>
      </c>
      <c r="I547" s="89">
        <v>1</v>
      </c>
      <c r="J547" s="90">
        <v>0.1</v>
      </c>
    </row>
    <row r="548" spans="1:10" ht="12.75">
      <c r="A548" s="87">
        <v>187</v>
      </c>
      <c r="B548" s="88">
        <v>40552</v>
      </c>
      <c r="C548" s="89">
        <v>1</v>
      </c>
      <c r="D548" s="89">
        <v>0</v>
      </c>
      <c r="E548" s="89">
        <v>1</v>
      </c>
      <c r="F548" s="89">
        <v>1</v>
      </c>
      <c r="G548" s="89" t="b">
        <v>0</v>
      </c>
      <c r="H548" s="89">
        <v>0</v>
      </c>
      <c r="I548" s="89">
        <v>1</v>
      </c>
      <c r="J548" s="90">
        <v>0.1</v>
      </c>
    </row>
    <row r="549" spans="1:10" ht="12.75">
      <c r="A549" s="87">
        <v>188</v>
      </c>
      <c r="B549" s="88">
        <v>40552</v>
      </c>
      <c r="C549" s="89">
        <v>1</v>
      </c>
      <c r="D549" s="89">
        <v>0</v>
      </c>
      <c r="E549" s="89">
        <v>1</v>
      </c>
      <c r="F549" s="89">
        <v>2</v>
      </c>
      <c r="G549" s="89" t="b">
        <v>0</v>
      </c>
      <c r="H549" s="89">
        <v>0</v>
      </c>
      <c r="I549" s="89">
        <v>1</v>
      </c>
      <c r="J549" s="90">
        <v>0.1</v>
      </c>
    </row>
    <row r="550" spans="1:10" ht="12.75">
      <c r="A550" s="87">
        <v>189</v>
      </c>
      <c r="B550" s="88">
        <v>40552</v>
      </c>
      <c r="C550" s="89">
        <v>1</v>
      </c>
      <c r="D550" s="89">
        <v>0</v>
      </c>
      <c r="E550" s="89">
        <v>1</v>
      </c>
      <c r="F550" s="89">
        <v>3</v>
      </c>
      <c r="G550" s="89" t="b">
        <v>0</v>
      </c>
      <c r="H550" s="89">
        <v>0</v>
      </c>
      <c r="I550" s="89">
        <v>1</v>
      </c>
      <c r="J550" s="90">
        <v>0.1</v>
      </c>
    </row>
    <row r="551" spans="1:10" ht="12.75">
      <c r="A551" s="87">
        <v>192</v>
      </c>
      <c r="B551" s="88">
        <v>40552</v>
      </c>
      <c r="C551" s="89">
        <v>1</v>
      </c>
      <c r="D551" s="89">
        <v>0</v>
      </c>
      <c r="E551" s="89">
        <v>1</v>
      </c>
      <c r="F551" s="89">
        <v>6</v>
      </c>
      <c r="G551" s="89" t="b">
        <v>0</v>
      </c>
      <c r="H551" s="89">
        <v>0</v>
      </c>
      <c r="I551" s="89">
        <v>1</v>
      </c>
      <c r="J551" s="90">
        <v>0.1</v>
      </c>
    </row>
    <row r="552" spans="1:10" ht="12.75">
      <c r="A552" s="87">
        <v>194</v>
      </c>
      <c r="B552" s="88">
        <v>40552</v>
      </c>
      <c r="C552" s="89">
        <v>1</v>
      </c>
      <c r="D552" s="89">
        <v>0</v>
      </c>
      <c r="E552" s="89">
        <v>1</v>
      </c>
      <c r="F552" s="89">
        <v>8</v>
      </c>
      <c r="G552" s="89" t="b">
        <v>0</v>
      </c>
      <c r="H552" s="89">
        <v>0</v>
      </c>
      <c r="I552" s="89">
        <v>1</v>
      </c>
      <c r="J552" s="90">
        <v>0.1</v>
      </c>
    </row>
    <row r="553" spans="1:10" ht="12.75">
      <c r="A553" s="87">
        <v>214</v>
      </c>
      <c r="B553" s="88">
        <v>40553</v>
      </c>
      <c r="C553" s="89">
        <v>1</v>
      </c>
      <c r="D553" s="89">
        <v>0</v>
      </c>
      <c r="E553" s="89">
        <v>1</v>
      </c>
      <c r="F553" s="89">
        <v>4</v>
      </c>
      <c r="G553" s="89" t="b">
        <v>0</v>
      </c>
      <c r="H553" s="89">
        <v>1</v>
      </c>
      <c r="I553" s="89">
        <v>1</v>
      </c>
      <c r="J553" s="90">
        <v>0.1</v>
      </c>
    </row>
    <row r="554" spans="1:10" ht="12.75">
      <c r="A554" s="87">
        <v>215</v>
      </c>
      <c r="B554" s="88">
        <v>40553</v>
      </c>
      <c r="C554" s="89">
        <v>1</v>
      </c>
      <c r="D554" s="89">
        <v>0</v>
      </c>
      <c r="E554" s="89">
        <v>1</v>
      </c>
      <c r="F554" s="89">
        <v>5</v>
      </c>
      <c r="G554" s="89" t="b">
        <v>0</v>
      </c>
      <c r="H554" s="89">
        <v>1</v>
      </c>
      <c r="I554" s="89">
        <v>1</v>
      </c>
      <c r="J554" s="90">
        <v>0.1</v>
      </c>
    </row>
    <row r="555" spans="1:10" ht="12.75">
      <c r="A555" s="87">
        <v>303</v>
      </c>
      <c r="B555" s="88">
        <v>40557</v>
      </c>
      <c r="C555" s="89">
        <v>1</v>
      </c>
      <c r="D555" s="89">
        <v>0</v>
      </c>
      <c r="E555" s="89">
        <v>1</v>
      </c>
      <c r="F555" s="89">
        <v>1</v>
      </c>
      <c r="G555" s="89" t="b">
        <v>0</v>
      </c>
      <c r="H555" s="89">
        <v>5</v>
      </c>
      <c r="I555" s="89">
        <v>1</v>
      </c>
      <c r="J555" s="90">
        <v>0.1</v>
      </c>
    </row>
    <row r="556" spans="1:10" ht="12.75">
      <c r="A556" s="87">
        <v>304</v>
      </c>
      <c r="B556" s="88">
        <v>40557</v>
      </c>
      <c r="C556" s="89">
        <v>1</v>
      </c>
      <c r="D556" s="89">
        <v>0</v>
      </c>
      <c r="E556" s="89">
        <v>1</v>
      </c>
      <c r="F556" s="89">
        <v>2</v>
      </c>
      <c r="G556" s="89" t="b">
        <v>0</v>
      </c>
      <c r="H556" s="89">
        <v>5</v>
      </c>
      <c r="I556" s="89">
        <v>1</v>
      </c>
      <c r="J556" s="90">
        <v>0.1</v>
      </c>
    </row>
    <row r="557" spans="1:10" ht="12.75">
      <c r="A557" s="87">
        <v>305</v>
      </c>
      <c r="B557" s="88">
        <v>40557</v>
      </c>
      <c r="C557" s="89">
        <v>1</v>
      </c>
      <c r="D557" s="89">
        <v>0</v>
      </c>
      <c r="E557" s="89">
        <v>1</v>
      </c>
      <c r="F557" s="89">
        <v>3</v>
      </c>
      <c r="G557" s="89" t="b">
        <v>0</v>
      </c>
      <c r="H557" s="89">
        <v>5</v>
      </c>
      <c r="I557" s="89">
        <v>1</v>
      </c>
      <c r="J557" s="90">
        <v>0.1</v>
      </c>
    </row>
    <row r="558" spans="1:10" ht="12.75">
      <c r="A558" s="87">
        <v>306</v>
      </c>
      <c r="B558" s="88">
        <v>40557</v>
      </c>
      <c r="C558" s="89">
        <v>1</v>
      </c>
      <c r="D558" s="89">
        <v>0</v>
      </c>
      <c r="E558" s="89">
        <v>1</v>
      </c>
      <c r="F558" s="89">
        <v>5</v>
      </c>
      <c r="G558" s="89" t="b">
        <v>0</v>
      </c>
      <c r="H558" s="89">
        <v>5</v>
      </c>
      <c r="I558" s="89">
        <v>1</v>
      </c>
      <c r="J558" s="90">
        <v>0.1</v>
      </c>
    </row>
    <row r="559" spans="1:10" ht="12.75">
      <c r="A559" s="87">
        <v>307</v>
      </c>
      <c r="B559" s="88">
        <v>40557</v>
      </c>
      <c r="C559" s="89">
        <v>1</v>
      </c>
      <c r="D559" s="89">
        <v>0</v>
      </c>
      <c r="E559" s="89">
        <v>1</v>
      </c>
      <c r="F559" s="89">
        <v>6</v>
      </c>
      <c r="G559" s="89" t="b">
        <v>0</v>
      </c>
      <c r="H559" s="89">
        <v>5</v>
      </c>
      <c r="I559" s="89">
        <v>1</v>
      </c>
      <c r="J559" s="90">
        <v>0.1</v>
      </c>
    </row>
    <row r="560" spans="1:10" ht="12.75">
      <c r="A560" s="87">
        <v>308</v>
      </c>
      <c r="B560" s="88">
        <v>40557</v>
      </c>
      <c r="C560" s="89">
        <v>1</v>
      </c>
      <c r="D560" s="89">
        <v>0</v>
      </c>
      <c r="E560" s="89">
        <v>1</v>
      </c>
      <c r="F560" s="89">
        <v>7</v>
      </c>
      <c r="G560" s="89" t="b">
        <v>0</v>
      </c>
      <c r="H560" s="89">
        <v>5</v>
      </c>
      <c r="I560" s="89">
        <v>1</v>
      </c>
      <c r="J560" s="90">
        <v>0.1</v>
      </c>
    </row>
    <row r="561" spans="1:10" ht="12.75">
      <c r="A561" s="87">
        <v>476</v>
      </c>
      <c r="B561" s="88">
        <v>40564</v>
      </c>
      <c r="C561" s="89">
        <v>1</v>
      </c>
      <c r="D561" s="89">
        <v>0</v>
      </c>
      <c r="E561" s="89">
        <v>1</v>
      </c>
      <c r="F561" s="89">
        <v>20</v>
      </c>
      <c r="G561" s="89" t="b">
        <v>0</v>
      </c>
      <c r="H561" s="89">
        <v>5</v>
      </c>
      <c r="I561" s="89">
        <v>1</v>
      </c>
      <c r="J561" s="90">
        <v>0.1</v>
      </c>
    </row>
    <row r="562" spans="1:10" ht="12.75">
      <c r="A562" s="87">
        <v>493</v>
      </c>
      <c r="B562" s="88">
        <v>40565</v>
      </c>
      <c r="C562" s="89">
        <v>1</v>
      </c>
      <c r="D562" s="89">
        <v>0</v>
      </c>
      <c r="E562" s="89">
        <v>1</v>
      </c>
      <c r="F562" s="89">
        <v>14</v>
      </c>
      <c r="G562" s="89" t="b">
        <v>0</v>
      </c>
      <c r="H562" s="89">
        <v>6</v>
      </c>
      <c r="I562" s="89">
        <v>1</v>
      </c>
      <c r="J562" s="90">
        <v>0.1</v>
      </c>
    </row>
    <row r="563" spans="1:10" ht="12.75">
      <c r="A563" s="87">
        <v>511</v>
      </c>
      <c r="B563" s="88">
        <v>40566</v>
      </c>
      <c r="C563" s="89">
        <v>1</v>
      </c>
      <c r="D563" s="89">
        <v>0</v>
      </c>
      <c r="E563" s="89">
        <v>1</v>
      </c>
      <c r="F563" s="89">
        <v>9</v>
      </c>
      <c r="G563" s="89" t="b">
        <v>0</v>
      </c>
      <c r="H563" s="89">
        <v>0</v>
      </c>
      <c r="I563" s="89">
        <v>1</v>
      </c>
      <c r="J563" s="90">
        <v>0.1</v>
      </c>
    </row>
    <row r="564" spans="1:10" ht="12.75">
      <c r="A564" s="87">
        <v>522</v>
      </c>
      <c r="B564" s="88">
        <v>40566</v>
      </c>
      <c r="C564" s="89">
        <v>1</v>
      </c>
      <c r="D564" s="89">
        <v>0</v>
      </c>
      <c r="E564" s="89">
        <v>1</v>
      </c>
      <c r="F564" s="89">
        <v>20</v>
      </c>
      <c r="G564" s="89" t="b">
        <v>0</v>
      </c>
      <c r="H564" s="89">
        <v>0</v>
      </c>
      <c r="I564" s="89">
        <v>1</v>
      </c>
      <c r="J564" s="90">
        <v>0.1</v>
      </c>
    </row>
    <row r="565" spans="1:10" ht="12.75">
      <c r="A565" s="87">
        <v>523</v>
      </c>
      <c r="B565" s="88">
        <v>40566</v>
      </c>
      <c r="C565" s="89">
        <v>1</v>
      </c>
      <c r="D565" s="89">
        <v>0</v>
      </c>
      <c r="E565" s="89">
        <v>1</v>
      </c>
      <c r="F565" s="89">
        <v>21</v>
      </c>
      <c r="G565" s="89" t="b">
        <v>0</v>
      </c>
      <c r="H565" s="89">
        <v>0</v>
      </c>
      <c r="I565" s="89">
        <v>1</v>
      </c>
      <c r="J565" s="90">
        <v>0.1</v>
      </c>
    </row>
    <row r="566" spans="1:10" ht="12.75">
      <c r="A566" s="87">
        <v>535</v>
      </c>
      <c r="B566" s="88">
        <v>40567</v>
      </c>
      <c r="C566" s="89">
        <v>1</v>
      </c>
      <c r="D566" s="89">
        <v>0</v>
      </c>
      <c r="E566" s="89">
        <v>1</v>
      </c>
      <c r="F566" s="89">
        <v>10</v>
      </c>
      <c r="G566" s="89" t="b">
        <v>0</v>
      </c>
      <c r="H566" s="89">
        <v>1</v>
      </c>
      <c r="I566" s="89">
        <v>1</v>
      </c>
      <c r="J566" s="90">
        <v>0.1</v>
      </c>
    </row>
    <row r="567" spans="1:10" ht="12.75">
      <c r="A567" s="87">
        <v>536</v>
      </c>
      <c r="B567" s="88">
        <v>40567</v>
      </c>
      <c r="C567" s="89">
        <v>1</v>
      </c>
      <c r="D567" s="89">
        <v>0</v>
      </c>
      <c r="E567" s="89">
        <v>1</v>
      </c>
      <c r="F567" s="89">
        <v>11</v>
      </c>
      <c r="G567" s="89" t="b">
        <v>0</v>
      </c>
      <c r="H567" s="89">
        <v>1</v>
      </c>
      <c r="I567" s="89">
        <v>1</v>
      </c>
      <c r="J567" s="90">
        <v>0.1</v>
      </c>
    </row>
    <row r="568" spans="1:10" ht="12.75">
      <c r="A568" s="87">
        <v>190</v>
      </c>
      <c r="B568" s="88">
        <v>40552</v>
      </c>
      <c r="C568" s="89">
        <v>1</v>
      </c>
      <c r="D568" s="89">
        <v>0</v>
      </c>
      <c r="E568" s="89">
        <v>1</v>
      </c>
      <c r="F568" s="89">
        <v>4</v>
      </c>
      <c r="G568" s="89" t="b">
        <v>0</v>
      </c>
      <c r="H568" s="89">
        <v>0</v>
      </c>
      <c r="I568" s="89">
        <v>1</v>
      </c>
      <c r="J568" s="90">
        <v>0.08</v>
      </c>
    </row>
    <row r="569" spans="1:10" ht="12.75">
      <c r="A569" s="87">
        <v>191</v>
      </c>
      <c r="B569" s="88">
        <v>40552</v>
      </c>
      <c r="C569" s="89">
        <v>1</v>
      </c>
      <c r="D569" s="89">
        <v>0</v>
      </c>
      <c r="E569" s="89">
        <v>1</v>
      </c>
      <c r="F569" s="89">
        <v>5</v>
      </c>
      <c r="G569" s="89" t="b">
        <v>0</v>
      </c>
      <c r="H569" s="89">
        <v>0</v>
      </c>
      <c r="I569" s="89">
        <v>1</v>
      </c>
      <c r="J569" s="90">
        <v>0.08</v>
      </c>
    </row>
    <row r="570" spans="1:10" ht="12.75">
      <c r="A570" s="87">
        <v>193</v>
      </c>
      <c r="B570" s="88">
        <v>40552</v>
      </c>
      <c r="C570" s="89">
        <v>1</v>
      </c>
      <c r="D570" s="89">
        <v>0</v>
      </c>
      <c r="E570" s="89">
        <v>1</v>
      </c>
      <c r="F570" s="89">
        <v>7</v>
      </c>
      <c r="G570" s="89" t="b">
        <v>0</v>
      </c>
      <c r="H570" s="89">
        <v>0</v>
      </c>
      <c r="I570" s="89">
        <v>1</v>
      </c>
      <c r="J570" s="90">
        <v>0.08</v>
      </c>
    </row>
    <row r="571" spans="1:10" ht="12.75">
      <c r="A571" s="87">
        <v>477</v>
      </c>
      <c r="B571" s="88">
        <v>40564</v>
      </c>
      <c r="C571" s="89">
        <v>1</v>
      </c>
      <c r="D571" s="89">
        <v>0</v>
      </c>
      <c r="E571" s="89">
        <v>1</v>
      </c>
      <c r="F571" s="89">
        <v>21</v>
      </c>
      <c r="G571" s="89" t="b">
        <v>0</v>
      </c>
      <c r="H571" s="89">
        <v>5</v>
      </c>
      <c r="I571" s="89">
        <v>1</v>
      </c>
      <c r="J571" s="90">
        <v>0.08</v>
      </c>
    </row>
    <row r="572" spans="1:10" ht="12.75">
      <c r="A572" s="87">
        <v>492</v>
      </c>
      <c r="B572" s="88">
        <v>40565</v>
      </c>
      <c r="C572" s="89">
        <v>1</v>
      </c>
      <c r="D572" s="89">
        <v>0</v>
      </c>
      <c r="E572" s="89">
        <v>1</v>
      </c>
      <c r="F572" s="89">
        <v>13</v>
      </c>
      <c r="G572" s="89" t="b">
        <v>0</v>
      </c>
      <c r="H572" s="89">
        <v>6</v>
      </c>
      <c r="I572" s="89">
        <v>1</v>
      </c>
      <c r="J572" s="90">
        <v>0.08</v>
      </c>
    </row>
    <row r="573" spans="1:10" ht="12.75">
      <c r="A573" s="87">
        <v>497</v>
      </c>
      <c r="B573" s="88">
        <v>40565</v>
      </c>
      <c r="C573" s="89">
        <v>1</v>
      </c>
      <c r="D573" s="89">
        <v>0</v>
      </c>
      <c r="E573" s="89">
        <v>1</v>
      </c>
      <c r="F573" s="89">
        <v>18</v>
      </c>
      <c r="G573" s="89" t="b">
        <v>0</v>
      </c>
      <c r="H573" s="89">
        <v>6</v>
      </c>
      <c r="I573" s="89">
        <v>1</v>
      </c>
      <c r="J573" s="90">
        <v>0.08</v>
      </c>
    </row>
    <row r="574" spans="1:10" ht="12.75">
      <c r="A574" s="87">
        <v>498</v>
      </c>
      <c r="B574" s="88">
        <v>40565</v>
      </c>
      <c r="C574" s="89">
        <v>1</v>
      </c>
      <c r="D574" s="89">
        <v>0</v>
      </c>
      <c r="E574" s="89">
        <v>1</v>
      </c>
      <c r="F574" s="89">
        <v>19</v>
      </c>
      <c r="G574" s="89" t="b">
        <v>0</v>
      </c>
      <c r="H574" s="89">
        <v>6</v>
      </c>
      <c r="I574" s="89">
        <v>1</v>
      </c>
      <c r="J574" s="90">
        <v>0.08</v>
      </c>
    </row>
    <row r="575" spans="1:10" ht="12.75">
      <c r="A575" s="87">
        <v>509</v>
      </c>
      <c r="B575" s="88">
        <v>40566</v>
      </c>
      <c r="C575" s="89">
        <v>1</v>
      </c>
      <c r="D575" s="89">
        <v>0</v>
      </c>
      <c r="E575" s="89">
        <v>1</v>
      </c>
      <c r="F575" s="89">
        <v>7</v>
      </c>
      <c r="G575" s="89" t="b">
        <v>0</v>
      </c>
      <c r="H575" s="89">
        <v>0</v>
      </c>
      <c r="I575" s="89">
        <v>1</v>
      </c>
      <c r="J575" s="90">
        <v>0.08</v>
      </c>
    </row>
    <row r="576" spans="1:10" ht="12.75">
      <c r="A576" s="87">
        <v>524</v>
      </c>
      <c r="B576" s="88">
        <v>40566</v>
      </c>
      <c r="C576" s="89">
        <v>1</v>
      </c>
      <c r="D576" s="89">
        <v>0</v>
      </c>
      <c r="E576" s="89">
        <v>1</v>
      </c>
      <c r="F576" s="89">
        <v>22</v>
      </c>
      <c r="G576" s="89" t="b">
        <v>0</v>
      </c>
      <c r="H576" s="89">
        <v>0</v>
      </c>
      <c r="I576" s="89">
        <v>1</v>
      </c>
      <c r="J576" s="90">
        <v>0.08</v>
      </c>
    </row>
    <row r="577" spans="1:10" ht="12.75">
      <c r="A577" s="87">
        <v>478</v>
      </c>
      <c r="B577" s="88">
        <v>40564</v>
      </c>
      <c r="C577" s="89">
        <v>1</v>
      </c>
      <c r="D577" s="89">
        <v>0</v>
      </c>
      <c r="E577" s="89">
        <v>1</v>
      </c>
      <c r="F577" s="89">
        <v>22</v>
      </c>
      <c r="G577" s="89" t="b">
        <v>0</v>
      </c>
      <c r="H577" s="89">
        <v>5</v>
      </c>
      <c r="I577" s="89">
        <v>1</v>
      </c>
      <c r="J577" s="90">
        <v>0.06</v>
      </c>
    </row>
    <row r="578" spans="1:10" ht="12.75">
      <c r="A578" s="87">
        <v>479</v>
      </c>
      <c r="B578" s="88">
        <v>40564</v>
      </c>
      <c r="C578" s="89">
        <v>1</v>
      </c>
      <c r="D578" s="89">
        <v>0</v>
      </c>
      <c r="E578" s="89">
        <v>1</v>
      </c>
      <c r="F578" s="89">
        <v>23</v>
      </c>
      <c r="G578" s="89" t="b">
        <v>0</v>
      </c>
      <c r="H578" s="89">
        <v>5</v>
      </c>
      <c r="I578" s="89">
        <v>1</v>
      </c>
      <c r="J578" s="90">
        <v>0.06</v>
      </c>
    </row>
    <row r="579" spans="1:10" ht="12.75">
      <c r="A579" s="87">
        <v>490</v>
      </c>
      <c r="B579" s="88">
        <v>40565</v>
      </c>
      <c r="C579" s="89">
        <v>1</v>
      </c>
      <c r="D579" s="89">
        <v>0</v>
      </c>
      <c r="E579" s="89">
        <v>1</v>
      </c>
      <c r="F579" s="89">
        <v>11</v>
      </c>
      <c r="G579" s="89" t="b">
        <v>0</v>
      </c>
      <c r="H579" s="89">
        <v>6</v>
      </c>
      <c r="I579" s="89">
        <v>2</v>
      </c>
      <c r="J579" s="90">
        <v>0.06</v>
      </c>
    </row>
    <row r="580" spans="1:10" ht="12.75">
      <c r="A580" s="87">
        <v>491</v>
      </c>
      <c r="B580" s="88">
        <v>40565</v>
      </c>
      <c r="C580" s="89">
        <v>1</v>
      </c>
      <c r="D580" s="89">
        <v>0</v>
      </c>
      <c r="E580" s="89">
        <v>1</v>
      </c>
      <c r="F580" s="89">
        <v>12</v>
      </c>
      <c r="G580" s="89" t="b">
        <v>0</v>
      </c>
      <c r="H580" s="89">
        <v>6</v>
      </c>
      <c r="I580" s="89">
        <v>2</v>
      </c>
      <c r="J580" s="90">
        <v>0.06</v>
      </c>
    </row>
    <row r="581" spans="1:10" ht="12.75">
      <c r="A581" s="87">
        <v>499</v>
      </c>
      <c r="B581" s="88">
        <v>40565</v>
      </c>
      <c r="C581" s="89">
        <v>1</v>
      </c>
      <c r="D581" s="89">
        <v>0</v>
      </c>
      <c r="E581" s="89">
        <v>1</v>
      </c>
      <c r="F581" s="89">
        <v>20</v>
      </c>
      <c r="G581" s="89" t="b">
        <v>0</v>
      </c>
      <c r="H581" s="89">
        <v>6</v>
      </c>
      <c r="I581" s="89">
        <v>1</v>
      </c>
      <c r="J581" s="90">
        <v>0.06</v>
      </c>
    </row>
    <row r="582" spans="1:10" ht="12.75">
      <c r="A582" s="87">
        <v>500</v>
      </c>
      <c r="B582" s="88">
        <v>40565</v>
      </c>
      <c r="C582" s="89">
        <v>1</v>
      </c>
      <c r="D582" s="89">
        <v>0</v>
      </c>
      <c r="E582" s="89">
        <v>1</v>
      </c>
      <c r="F582" s="89">
        <v>21</v>
      </c>
      <c r="G582" s="89" t="b">
        <v>0</v>
      </c>
      <c r="H582" s="89">
        <v>6</v>
      </c>
      <c r="I582" s="89">
        <v>1</v>
      </c>
      <c r="J582" s="90">
        <v>0.06</v>
      </c>
    </row>
    <row r="583" spans="1:10" ht="12.75">
      <c r="A583" s="87">
        <v>501</v>
      </c>
      <c r="B583" s="88">
        <v>40565</v>
      </c>
      <c r="C583" s="89">
        <v>1</v>
      </c>
      <c r="D583" s="89">
        <v>0</v>
      </c>
      <c r="E583" s="89">
        <v>1</v>
      </c>
      <c r="F583" s="89">
        <v>22</v>
      </c>
      <c r="G583" s="89" t="b">
        <v>0</v>
      </c>
      <c r="H583" s="89">
        <v>6</v>
      </c>
      <c r="I583" s="89">
        <v>1</v>
      </c>
      <c r="J583" s="90">
        <v>0.06</v>
      </c>
    </row>
    <row r="584" spans="1:10" ht="12.75">
      <c r="A584" s="87">
        <v>510</v>
      </c>
      <c r="B584" s="88">
        <v>40566</v>
      </c>
      <c r="C584" s="89">
        <v>1</v>
      </c>
      <c r="D584" s="89">
        <v>0</v>
      </c>
      <c r="E584" s="89">
        <v>1</v>
      </c>
      <c r="F584" s="89">
        <v>8</v>
      </c>
      <c r="G584" s="89" t="b">
        <v>0</v>
      </c>
      <c r="H584" s="89">
        <v>0</v>
      </c>
      <c r="I584" s="89">
        <v>1</v>
      </c>
      <c r="J584" s="90">
        <v>0.06</v>
      </c>
    </row>
    <row r="585" spans="1:10" ht="12.75">
      <c r="A585" s="87">
        <v>525</v>
      </c>
      <c r="B585" s="88">
        <v>40566</v>
      </c>
      <c r="C585" s="89">
        <v>1</v>
      </c>
      <c r="D585" s="89">
        <v>0</v>
      </c>
      <c r="E585" s="89">
        <v>1</v>
      </c>
      <c r="F585" s="89">
        <v>23</v>
      </c>
      <c r="G585" s="89" t="b">
        <v>0</v>
      </c>
      <c r="H585" s="89">
        <v>0</v>
      </c>
      <c r="I585" s="89">
        <v>1</v>
      </c>
      <c r="J585" s="90">
        <v>0.06</v>
      </c>
    </row>
    <row r="586" spans="1:10" ht="12.75">
      <c r="A586" s="87">
        <v>526</v>
      </c>
      <c r="B586" s="88">
        <v>40567</v>
      </c>
      <c r="C586" s="89">
        <v>1</v>
      </c>
      <c r="D586" s="89">
        <v>0</v>
      </c>
      <c r="E586" s="89">
        <v>1</v>
      </c>
      <c r="F586" s="89">
        <v>0</v>
      </c>
      <c r="G586" s="89" t="b">
        <v>0</v>
      </c>
      <c r="H586" s="89">
        <v>1</v>
      </c>
      <c r="I586" s="89">
        <v>1</v>
      </c>
      <c r="J586" s="90">
        <v>0.06</v>
      </c>
    </row>
    <row r="587" spans="1:10" ht="12.75">
      <c r="A587" s="87">
        <v>534</v>
      </c>
      <c r="B587" s="88">
        <v>40567</v>
      </c>
      <c r="C587" s="89">
        <v>1</v>
      </c>
      <c r="D587" s="89">
        <v>0</v>
      </c>
      <c r="E587" s="89">
        <v>1</v>
      </c>
      <c r="F587" s="89">
        <v>9</v>
      </c>
      <c r="G587" s="89" t="b">
        <v>0</v>
      </c>
      <c r="H587" s="89">
        <v>1</v>
      </c>
      <c r="I587" s="89">
        <v>1</v>
      </c>
      <c r="J587" s="90">
        <v>0.06</v>
      </c>
    </row>
    <row r="588" spans="1:10" ht="12.75">
      <c r="A588" s="87">
        <v>480</v>
      </c>
      <c r="B588" s="88">
        <v>40565</v>
      </c>
      <c r="C588" s="89">
        <v>1</v>
      </c>
      <c r="D588" s="89">
        <v>0</v>
      </c>
      <c r="E588" s="89">
        <v>1</v>
      </c>
      <c r="F588" s="89">
        <v>0</v>
      </c>
      <c r="G588" s="89" t="b">
        <v>0</v>
      </c>
      <c r="H588" s="89">
        <v>6</v>
      </c>
      <c r="I588" s="89">
        <v>1</v>
      </c>
      <c r="J588" s="90">
        <v>0.04</v>
      </c>
    </row>
    <row r="589" spans="1:10" ht="12.75">
      <c r="A589" s="87">
        <v>481</v>
      </c>
      <c r="B589" s="88">
        <v>40565</v>
      </c>
      <c r="C589" s="89">
        <v>1</v>
      </c>
      <c r="D589" s="89">
        <v>0</v>
      </c>
      <c r="E589" s="89">
        <v>1</v>
      </c>
      <c r="F589" s="89">
        <v>1</v>
      </c>
      <c r="G589" s="89" t="b">
        <v>0</v>
      </c>
      <c r="H589" s="89">
        <v>6</v>
      </c>
      <c r="I589" s="89">
        <v>2</v>
      </c>
      <c r="J589" s="90">
        <v>0.04</v>
      </c>
    </row>
    <row r="590" spans="1:10" ht="12.75">
      <c r="A590" s="87">
        <v>482</v>
      </c>
      <c r="B590" s="88">
        <v>40565</v>
      </c>
      <c r="C590" s="89">
        <v>1</v>
      </c>
      <c r="D590" s="89">
        <v>0</v>
      </c>
      <c r="E590" s="89">
        <v>1</v>
      </c>
      <c r="F590" s="89">
        <v>2</v>
      </c>
      <c r="G590" s="89" t="b">
        <v>0</v>
      </c>
      <c r="H590" s="89">
        <v>6</v>
      </c>
      <c r="I590" s="89">
        <v>2</v>
      </c>
      <c r="J590" s="90">
        <v>0.04</v>
      </c>
    </row>
    <row r="591" spans="1:10" ht="12.75">
      <c r="A591" s="87">
        <v>483</v>
      </c>
      <c r="B591" s="88">
        <v>40565</v>
      </c>
      <c r="C591" s="89">
        <v>1</v>
      </c>
      <c r="D591" s="89">
        <v>0</v>
      </c>
      <c r="E591" s="89">
        <v>1</v>
      </c>
      <c r="F591" s="89">
        <v>3</v>
      </c>
      <c r="G591" s="89" t="b">
        <v>0</v>
      </c>
      <c r="H591" s="89">
        <v>6</v>
      </c>
      <c r="I591" s="89">
        <v>2</v>
      </c>
      <c r="J591" s="90">
        <v>0.04</v>
      </c>
    </row>
    <row r="592" spans="1:10" ht="12.75">
      <c r="A592" s="87">
        <v>488</v>
      </c>
      <c r="B592" s="88">
        <v>40565</v>
      </c>
      <c r="C592" s="89">
        <v>1</v>
      </c>
      <c r="D592" s="89">
        <v>0</v>
      </c>
      <c r="E592" s="89">
        <v>1</v>
      </c>
      <c r="F592" s="89">
        <v>9</v>
      </c>
      <c r="G592" s="89" t="b">
        <v>0</v>
      </c>
      <c r="H592" s="89">
        <v>6</v>
      </c>
      <c r="I592" s="89">
        <v>1</v>
      </c>
      <c r="J592" s="90">
        <v>0.04</v>
      </c>
    </row>
    <row r="593" spans="1:10" ht="12.75">
      <c r="A593" s="87">
        <v>489</v>
      </c>
      <c r="B593" s="88">
        <v>40565</v>
      </c>
      <c r="C593" s="89">
        <v>1</v>
      </c>
      <c r="D593" s="89">
        <v>0</v>
      </c>
      <c r="E593" s="89">
        <v>1</v>
      </c>
      <c r="F593" s="89">
        <v>10</v>
      </c>
      <c r="G593" s="89" t="b">
        <v>0</v>
      </c>
      <c r="H593" s="89">
        <v>6</v>
      </c>
      <c r="I593" s="89">
        <v>2</v>
      </c>
      <c r="J593" s="90">
        <v>0.04</v>
      </c>
    </row>
    <row r="594" spans="1:10" ht="12.75">
      <c r="A594" s="87">
        <v>502</v>
      </c>
      <c r="B594" s="88">
        <v>40565</v>
      </c>
      <c r="C594" s="89">
        <v>1</v>
      </c>
      <c r="D594" s="89">
        <v>0</v>
      </c>
      <c r="E594" s="89">
        <v>1</v>
      </c>
      <c r="F594" s="89">
        <v>23</v>
      </c>
      <c r="G594" s="89" t="b">
        <v>0</v>
      </c>
      <c r="H594" s="89">
        <v>6</v>
      </c>
      <c r="I594" s="89">
        <v>1</v>
      </c>
      <c r="J594" s="90">
        <v>0.04</v>
      </c>
    </row>
    <row r="595" spans="1:10" ht="12.75">
      <c r="A595" s="87">
        <v>503</v>
      </c>
      <c r="B595" s="88">
        <v>40566</v>
      </c>
      <c r="C595" s="89">
        <v>1</v>
      </c>
      <c r="D595" s="89">
        <v>0</v>
      </c>
      <c r="E595" s="89">
        <v>1</v>
      </c>
      <c r="F595" s="89">
        <v>0</v>
      </c>
      <c r="G595" s="89" t="b">
        <v>0</v>
      </c>
      <c r="H595" s="89">
        <v>0</v>
      </c>
      <c r="I595" s="89">
        <v>1</v>
      </c>
      <c r="J595" s="90">
        <v>0.04</v>
      </c>
    </row>
    <row r="596" spans="1:10" ht="12.75">
      <c r="A596" s="87">
        <v>504</v>
      </c>
      <c r="B596" s="88">
        <v>40566</v>
      </c>
      <c r="C596" s="89">
        <v>1</v>
      </c>
      <c r="D596" s="89">
        <v>0</v>
      </c>
      <c r="E596" s="89">
        <v>1</v>
      </c>
      <c r="F596" s="89">
        <v>1</v>
      </c>
      <c r="G596" s="89" t="b">
        <v>0</v>
      </c>
      <c r="H596" s="89">
        <v>0</v>
      </c>
      <c r="I596" s="89">
        <v>1</v>
      </c>
      <c r="J596" s="90">
        <v>0.04</v>
      </c>
    </row>
    <row r="597" spans="1:10" ht="12.75">
      <c r="A597" s="87">
        <v>507</v>
      </c>
      <c r="B597" s="88">
        <v>40566</v>
      </c>
      <c r="C597" s="89">
        <v>1</v>
      </c>
      <c r="D597" s="89">
        <v>0</v>
      </c>
      <c r="E597" s="89">
        <v>1</v>
      </c>
      <c r="F597" s="89">
        <v>5</v>
      </c>
      <c r="G597" s="89" t="b">
        <v>0</v>
      </c>
      <c r="H597" s="89">
        <v>0</v>
      </c>
      <c r="I597" s="89">
        <v>2</v>
      </c>
      <c r="J597" s="90">
        <v>0.04</v>
      </c>
    </row>
    <row r="598" spans="1:10" ht="12.75">
      <c r="A598" s="87">
        <v>508</v>
      </c>
      <c r="B598" s="88">
        <v>40566</v>
      </c>
      <c r="C598" s="89">
        <v>1</v>
      </c>
      <c r="D598" s="89">
        <v>0</v>
      </c>
      <c r="E598" s="89">
        <v>1</v>
      </c>
      <c r="F598" s="89">
        <v>6</v>
      </c>
      <c r="G598" s="89" t="b">
        <v>0</v>
      </c>
      <c r="H598" s="89">
        <v>0</v>
      </c>
      <c r="I598" s="89">
        <v>2</v>
      </c>
      <c r="J598" s="90">
        <v>0.04</v>
      </c>
    </row>
    <row r="599" spans="1:10" ht="12.75">
      <c r="A599" s="87">
        <v>527</v>
      </c>
      <c r="B599" s="88">
        <v>40567</v>
      </c>
      <c r="C599" s="89">
        <v>1</v>
      </c>
      <c r="D599" s="89">
        <v>0</v>
      </c>
      <c r="E599" s="89">
        <v>1</v>
      </c>
      <c r="F599" s="89">
        <v>1</v>
      </c>
      <c r="G599" s="89" t="b">
        <v>0</v>
      </c>
      <c r="H599" s="89">
        <v>1</v>
      </c>
      <c r="I599" s="89">
        <v>1</v>
      </c>
      <c r="J599" s="90">
        <v>0.04</v>
      </c>
    </row>
    <row r="600" spans="1:10" ht="12.75">
      <c r="A600" s="87">
        <v>528</v>
      </c>
      <c r="B600" s="88">
        <v>40567</v>
      </c>
      <c r="C600" s="89">
        <v>1</v>
      </c>
      <c r="D600" s="89">
        <v>0</v>
      </c>
      <c r="E600" s="89">
        <v>1</v>
      </c>
      <c r="F600" s="89">
        <v>3</v>
      </c>
      <c r="G600" s="89" t="b">
        <v>0</v>
      </c>
      <c r="H600" s="89">
        <v>1</v>
      </c>
      <c r="I600" s="89">
        <v>1</v>
      </c>
      <c r="J600" s="90">
        <v>0.04</v>
      </c>
    </row>
    <row r="601" spans="1:10" ht="12.75">
      <c r="A601" s="87">
        <v>533</v>
      </c>
      <c r="B601" s="88">
        <v>40567</v>
      </c>
      <c r="C601" s="89">
        <v>1</v>
      </c>
      <c r="D601" s="89">
        <v>0</v>
      </c>
      <c r="E601" s="89">
        <v>1</v>
      </c>
      <c r="F601" s="89">
        <v>8</v>
      </c>
      <c r="G601" s="89" t="b">
        <v>0</v>
      </c>
      <c r="H601" s="89">
        <v>1</v>
      </c>
      <c r="I601" s="89">
        <v>1</v>
      </c>
      <c r="J601" s="90">
        <v>0.04</v>
      </c>
    </row>
    <row r="602" spans="1:10" ht="12.75">
      <c r="A602" s="87">
        <v>484</v>
      </c>
      <c r="B602" s="88">
        <v>40565</v>
      </c>
      <c r="C602" s="89">
        <v>1</v>
      </c>
      <c r="D602" s="89">
        <v>0</v>
      </c>
      <c r="E602" s="89">
        <v>1</v>
      </c>
      <c r="F602" s="89">
        <v>4</v>
      </c>
      <c r="G602" s="89" t="b">
        <v>0</v>
      </c>
      <c r="H602" s="89">
        <v>6</v>
      </c>
      <c r="I602" s="89">
        <v>2</v>
      </c>
      <c r="J602" s="90">
        <v>0.02</v>
      </c>
    </row>
    <row r="603" spans="1:10" ht="12.75">
      <c r="A603" s="87">
        <v>485</v>
      </c>
      <c r="B603" s="88">
        <v>40565</v>
      </c>
      <c r="C603" s="89">
        <v>1</v>
      </c>
      <c r="D603" s="89">
        <v>0</v>
      </c>
      <c r="E603" s="89">
        <v>1</v>
      </c>
      <c r="F603" s="89">
        <v>6</v>
      </c>
      <c r="G603" s="89" t="b">
        <v>0</v>
      </c>
      <c r="H603" s="89">
        <v>6</v>
      </c>
      <c r="I603" s="89">
        <v>2</v>
      </c>
      <c r="J603" s="90">
        <v>0.02</v>
      </c>
    </row>
    <row r="604" spans="1:10" ht="12.75">
      <c r="A604" s="87">
        <v>486</v>
      </c>
      <c r="B604" s="88">
        <v>40565</v>
      </c>
      <c r="C604" s="89">
        <v>1</v>
      </c>
      <c r="D604" s="89">
        <v>0</v>
      </c>
      <c r="E604" s="89">
        <v>1</v>
      </c>
      <c r="F604" s="89">
        <v>7</v>
      </c>
      <c r="G604" s="89" t="b">
        <v>0</v>
      </c>
      <c r="H604" s="89">
        <v>6</v>
      </c>
      <c r="I604" s="89">
        <v>1</v>
      </c>
      <c r="J604" s="90">
        <v>0.02</v>
      </c>
    </row>
    <row r="605" spans="1:10" ht="12.75">
      <c r="A605" s="87">
        <v>487</v>
      </c>
      <c r="B605" s="88">
        <v>40565</v>
      </c>
      <c r="C605" s="89">
        <v>1</v>
      </c>
      <c r="D605" s="89">
        <v>0</v>
      </c>
      <c r="E605" s="89">
        <v>1</v>
      </c>
      <c r="F605" s="89">
        <v>8</v>
      </c>
      <c r="G605" s="89" t="b">
        <v>0</v>
      </c>
      <c r="H605" s="89">
        <v>6</v>
      </c>
      <c r="I605" s="89">
        <v>1</v>
      </c>
      <c r="J605" s="90">
        <v>0.02</v>
      </c>
    </row>
    <row r="606" spans="1:10" ht="12.75">
      <c r="A606" s="87">
        <v>505</v>
      </c>
      <c r="B606" s="88">
        <v>40566</v>
      </c>
      <c r="C606" s="89">
        <v>1</v>
      </c>
      <c r="D606" s="89">
        <v>0</v>
      </c>
      <c r="E606" s="89">
        <v>1</v>
      </c>
      <c r="F606" s="89">
        <v>2</v>
      </c>
      <c r="G606" s="89" t="b">
        <v>0</v>
      </c>
      <c r="H606" s="89">
        <v>0</v>
      </c>
      <c r="I606" s="89">
        <v>1</v>
      </c>
      <c r="J606" s="90">
        <v>0.02</v>
      </c>
    </row>
    <row r="607" spans="1:10" ht="12.75">
      <c r="A607" s="87">
        <v>506</v>
      </c>
      <c r="B607" s="88">
        <v>40566</v>
      </c>
      <c r="C607" s="89">
        <v>1</v>
      </c>
      <c r="D607" s="89">
        <v>0</v>
      </c>
      <c r="E607" s="89">
        <v>1</v>
      </c>
      <c r="F607" s="89">
        <v>3</v>
      </c>
      <c r="G607" s="89" t="b">
        <v>0</v>
      </c>
      <c r="H607" s="89">
        <v>0</v>
      </c>
      <c r="I607" s="89">
        <v>1</v>
      </c>
      <c r="J607" s="90">
        <v>0.02</v>
      </c>
    </row>
    <row r="608" spans="1:10" ht="12.75">
      <c r="A608" s="87">
        <v>529</v>
      </c>
      <c r="B608" s="88">
        <v>40567</v>
      </c>
      <c r="C608" s="89">
        <v>1</v>
      </c>
      <c r="D608" s="89">
        <v>0</v>
      </c>
      <c r="E608" s="89">
        <v>1</v>
      </c>
      <c r="F608" s="89">
        <v>4</v>
      </c>
      <c r="G608" s="89" t="b">
        <v>0</v>
      </c>
      <c r="H608" s="89">
        <v>1</v>
      </c>
      <c r="I608" s="89">
        <v>1</v>
      </c>
      <c r="J608" s="90">
        <v>0.02</v>
      </c>
    </row>
    <row r="609" spans="1:10" ht="12.75">
      <c r="A609" s="87">
        <v>530</v>
      </c>
      <c r="B609" s="88">
        <v>40567</v>
      </c>
      <c r="C609" s="89">
        <v>1</v>
      </c>
      <c r="D609" s="89">
        <v>0</v>
      </c>
      <c r="E609" s="89">
        <v>1</v>
      </c>
      <c r="F609" s="89">
        <v>5</v>
      </c>
      <c r="G609" s="89" t="b">
        <v>0</v>
      </c>
      <c r="H609" s="89">
        <v>1</v>
      </c>
      <c r="I609" s="89">
        <v>1</v>
      </c>
      <c r="J609" s="90">
        <v>0.02</v>
      </c>
    </row>
    <row r="610" spans="1:10" ht="12.75">
      <c r="A610" s="87">
        <v>531</v>
      </c>
      <c r="B610" s="88">
        <v>40567</v>
      </c>
      <c r="C610" s="89">
        <v>1</v>
      </c>
      <c r="D610" s="89">
        <v>0</v>
      </c>
      <c r="E610" s="89">
        <v>1</v>
      </c>
      <c r="F610" s="89">
        <v>6</v>
      </c>
      <c r="G610" s="89" t="b">
        <v>0</v>
      </c>
      <c r="H610" s="89">
        <v>1</v>
      </c>
      <c r="I610" s="89">
        <v>1</v>
      </c>
      <c r="J610" s="90">
        <v>0.02</v>
      </c>
    </row>
    <row r="611" spans="1:10" ht="12.75">
      <c r="A611" s="97">
        <v>532</v>
      </c>
      <c r="B611" s="98">
        <v>40567</v>
      </c>
      <c r="C611" s="99">
        <v>1</v>
      </c>
      <c r="D611" s="99">
        <v>0</v>
      </c>
      <c r="E611" s="99">
        <v>1</v>
      </c>
      <c r="F611" s="99">
        <v>7</v>
      </c>
      <c r="G611" s="99" t="b">
        <v>0</v>
      </c>
      <c r="H611" s="99">
        <v>1</v>
      </c>
      <c r="I611" s="99">
        <v>1</v>
      </c>
      <c r="J611" s="100">
        <v>0.02</v>
      </c>
    </row>
  </sheetData>
  <mergeCells count="14">
    <mergeCell ref="K9:O9"/>
    <mergeCell ref="K2:O2"/>
    <mergeCell ref="L3:O3"/>
    <mergeCell ref="L4:O4"/>
    <mergeCell ref="L5:P5"/>
    <mergeCell ref="L6:O6"/>
    <mergeCell ref="L21:N21"/>
    <mergeCell ref="L22:M22"/>
    <mergeCell ref="L13:M13"/>
    <mergeCell ref="L14:M14"/>
    <mergeCell ref="K16:O16"/>
    <mergeCell ref="L18:M18"/>
    <mergeCell ref="L19:M19"/>
    <mergeCell ref="L20:M20"/>
  </mergeCells>
  <conditionalFormatting sqref="F1:F1048576">
    <cfRule type="dataBar" priority="2">
      <dataBar>
        <cfvo type="min"/>
        <cfvo type="max"/>
        <color rgb="FFFFB628"/>
      </dataBar>
      <extLst>
        <ext xmlns:x14="http://schemas.microsoft.com/office/spreadsheetml/2009/9/main" uri="{B025F937-C7B1-47D3-B67F-A62EFF666E3E}">
          <x14:id>{F438860F-1793-426A-B163-CD7B867C89A5}</x14:id>
        </ext>
      </extLst>
    </cfRule>
  </conditionalFormatting>
  <conditionalFormatting sqref="G1:G1048576">
    <cfRule type="cellIs" dxfId="29" priority="4" operator="equal">
      <formula>TRUE</formula>
    </cfRule>
  </conditionalFormatting>
  <conditionalFormatting sqref="I1:I1048576">
    <cfRule type="colorScale" priority="1">
      <colorScale>
        <cfvo type="min"/>
        <cfvo type="percentile" val="50"/>
        <cfvo type="max"/>
        <color rgb="FF63BE7B"/>
        <color rgb="FFFFEB84"/>
        <color rgb="FFF8696B"/>
      </colorScale>
    </cfRule>
  </conditionalFormatting>
  <conditionalFormatting sqref="J1:J611">
    <cfRule type="colorScale" priority="5">
      <colorScale>
        <cfvo type="min"/>
        <cfvo type="max"/>
        <color rgb="FF92D050"/>
        <color theme="5"/>
      </colorScale>
    </cfRule>
  </conditionalFormatting>
  <conditionalFormatting sqref="J1:J1048576">
    <cfRule type="colorScale" priority="3">
      <colorScale>
        <cfvo type="min"/>
        <cfvo type="percentile" val="50"/>
        <cfvo type="max"/>
        <color rgb="FF63BE7B"/>
        <color rgb="FFFFEB84"/>
        <color theme="5" tint="-0.249977111117893"/>
      </colorScale>
    </cfRule>
  </conditionalFormatting>
  <pageMargins left="0.7" right="0.7" top="0.75" bottom="0.75" header="0.3" footer="0.3"/>
  <tableParts count="1">
    <tablePart r:id="rId1"/>
  </tableParts>
  <extLst>
    <ext xmlns:x14="http://schemas.microsoft.com/office/spreadsheetml/2009/9/main" uri="{78C0D931-6437-407d-A8EE-F0AAD7539E65}">
      <x14:conditionalFormattings>
        <x14:conditionalFormatting xmlns:xm="http://schemas.microsoft.com/office/excel/2006/main">
          <x14:cfRule type="dataBar" id="{F438860F-1793-426A-B163-CD7B867C89A5}">
            <x14:dataBar minLength="0" maxLength="100" border="1" negativeBarBorderColorSameAsPositive="0">
              <x14:cfvo type="autoMin"/>
              <x14:cfvo type="autoMax"/>
              <x14:borderColor rgb="FFFFB628"/>
              <x14:negativeFillColor rgb="FFFF0000"/>
              <x14:negativeBorderColor rgb="FFFF0000"/>
              <x14:axisColor rgb="FF000000"/>
            </x14:dataBar>
          </x14:cfRule>
          <xm:sqref>F1:F1048576</xm:sqref>
        </x14:conditionalFormatting>
      </x14:conditionalFormatting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61E7C4-1A06-4310-977A-D8121AFDC06D}">
  <dimension ref="A1:P611"/>
  <sheetViews>
    <sheetView tabSelected="1" workbookViewId="0">
      <selection activeCell="Q11" sqref="Q11"/>
    </sheetView>
  </sheetViews>
  <sheetFormatPr defaultRowHeight="12.75"/>
  <cols>
    <col min="1" max="1" width="15" customWidth="1"/>
    <col min="2" max="2" width="10" customWidth="1"/>
    <col min="3" max="3" width="9.28515625" customWidth="1"/>
    <col min="5" max="5" width="14.140625" customWidth="1"/>
    <col min="6" max="6" width="9.5703125" customWidth="1"/>
    <col min="7" max="7" width="13.7109375" customWidth="1"/>
    <col min="9" max="9" width="13.42578125" customWidth="1"/>
  </cols>
  <sheetData>
    <row r="1" spans="1:16" ht="14.25">
      <c r="A1" s="103" t="s">
        <v>10</v>
      </c>
      <c r="B1" s="104" t="s">
        <v>0</v>
      </c>
      <c r="C1" s="104" t="s">
        <v>11</v>
      </c>
      <c r="D1" s="104" t="s">
        <v>12</v>
      </c>
      <c r="E1" s="104" t="s">
        <v>13</v>
      </c>
      <c r="F1" s="104" t="s">
        <v>14</v>
      </c>
      <c r="G1" s="104" t="s">
        <v>15</v>
      </c>
      <c r="H1" s="105" t="s">
        <v>16</v>
      </c>
      <c r="I1" s="105" t="s">
        <v>138</v>
      </c>
      <c r="J1" s="113"/>
    </row>
    <row r="2" spans="1:16" ht="15">
      <c r="A2" s="106">
        <v>439</v>
      </c>
      <c r="B2" s="107">
        <v>440</v>
      </c>
      <c r="C2" s="107">
        <v>0.21210000000000001</v>
      </c>
      <c r="D2" s="107">
        <v>0.55000000000000004</v>
      </c>
      <c r="E2" s="107">
        <v>0.28360000000000002</v>
      </c>
      <c r="F2" s="107">
        <v>2</v>
      </c>
      <c r="G2" s="107">
        <v>247</v>
      </c>
      <c r="H2" s="108">
        <v>249</v>
      </c>
      <c r="I2" s="105">
        <f>SUM(Table2[[#This Row],[casual]],Table2[[#This Row],[registered]])</f>
        <v>249</v>
      </c>
      <c r="J2" s="113"/>
      <c r="K2" s="117" t="s">
        <v>117</v>
      </c>
      <c r="L2" s="117"/>
      <c r="M2" s="117"/>
      <c r="N2" s="117"/>
      <c r="O2" s="117"/>
    </row>
    <row r="3" spans="1:16" ht="14.25">
      <c r="A3" s="106">
        <v>555</v>
      </c>
      <c r="B3" s="107">
        <v>556</v>
      </c>
      <c r="C3" s="107">
        <v>0.18179999999999999</v>
      </c>
      <c r="D3" s="107">
        <v>0.74</v>
      </c>
      <c r="E3" s="107">
        <v>0.1343</v>
      </c>
      <c r="F3" s="107">
        <v>5</v>
      </c>
      <c r="G3" s="107">
        <v>233</v>
      </c>
      <c r="H3" s="108">
        <v>238</v>
      </c>
      <c r="I3" s="105">
        <f>SUM(Table2[[#This Row],[casual]],Table2[[#This Row],[registered]])</f>
        <v>238</v>
      </c>
      <c r="J3" s="113"/>
    </row>
    <row r="4" spans="1:16" ht="15">
      <c r="A4" s="106">
        <v>565</v>
      </c>
      <c r="B4" s="107">
        <v>566</v>
      </c>
      <c r="C4" s="107">
        <v>0.31819999999999998</v>
      </c>
      <c r="D4" s="107">
        <v>0.49</v>
      </c>
      <c r="E4" s="107">
        <v>8.9599999999999999E-2</v>
      </c>
      <c r="F4" s="107">
        <v>7</v>
      </c>
      <c r="G4" s="107">
        <v>218</v>
      </c>
      <c r="H4" s="108">
        <v>225</v>
      </c>
      <c r="I4" s="105">
        <f>SUM(Table2[[#This Row],[casual]],Table2[[#This Row],[registered]])</f>
        <v>225</v>
      </c>
      <c r="J4" s="113"/>
      <c r="K4" s="117" t="s">
        <v>139</v>
      </c>
      <c r="L4" s="117"/>
      <c r="M4" s="117"/>
      <c r="N4" s="117"/>
      <c r="O4" s="117"/>
      <c r="P4" s="117"/>
    </row>
    <row r="5" spans="1:16" ht="15">
      <c r="A5" s="106">
        <v>564</v>
      </c>
      <c r="B5" s="107">
        <v>565</v>
      </c>
      <c r="C5" s="107">
        <v>0.33329999999999999</v>
      </c>
      <c r="D5" s="107">
        <v>0.45</v>
      </c>
      <c r="E5" s="107">
        <v>0</v>
      </c>
      <c r="F5" s="107">
        <v>14</v>
      </c>
      <c r="G5" s="107">
        <v>208</v>
      </c>
      <c r="H5" s="108">
        <v>222</v>
      </c>
      <c r="I5" s="105">
        <f>SUM(Table2[[#This Row],[casual]],Table2[[#This Row],[registered]])</f>
        <v>222</v>
      </c>
      <c r="J5" s="113"/>
      <c r="K5" s="117" t="s">
        <v>140</v>
      </c>
      <c r="L5" s="117"/>
      <c r="M5" s="117"/>
      <c r="N5" s="117"/>
      <c r="O5" s="93"/>
      <c r="P5" s="93"/>
    </row>
    <row r="6" spans="1:16" ht="15">
      <c r="A6" s="106">
        <v>122</v>
      </c>
      <c r="B6" s="107">
        <v>123</v>
      </c>
      <c r="C6" s="107">
        <v>0.2273</v>
      </c>
      <c r="D6" s="107">
        <v>0.59</v>
      </c>
      <c r="E6" s="107">
        <v>0</v>
      </c>
      <c r="F6" s="107">
        <v>3</v>
      </c>
      <c r="G6" s="107">
        <v>216</v>
      </c>
      <c r="H6" s="108">
        <v>219</v>
      </c>
      <c r="I6" s="105">
        <f>SUM(Table2[[#This Row],[casual]],Table2[[#This Row],[registered]])</f>
        <v>219</v>
      </c>
      <c r="J6" s="113"/>
      <c r="K6" s="117" t="s">
        <v>141</v>
      </c>
      <c r="L6" s="117"/>
      <c r="M6" s="117"/>
      <c r="N6" s="117"/>
      <c r="O6" s="117"/>
      <c r="P6" s="117"/>
    </row>
    <row r="7" spans="1:16" ht="15">
      <c r="A7" s="106">
        <v>239</v>
      </c>
      <c r="B7" s="107">
        <v>240</v>
      </c>
      <c r="C7" s="107">
        <v>0.21210000000000001</v>
      </c>
      <c r="D7" s="107">
        <v>0.51</v>
      </c>
      <c r="E7" s="107">
        <v>8.9599999999999999E-2</v>
      </c>
      <c r="F7" s="107">
        <v>3</v>
      </c>
      <c r="G7" s="107">
        <v>214</v>
      </c>
      <c r="H7" s="108">
        <v>217</v>
      </c>
      <c r="I7" s="105">
        <f>SUM(Table2[[#This Row],[casual]],Table2[[#This Row],[registered]])</f>
        <v>217</v>
      </c>
      <c r="J7" s="113"/>
      <c r="K7" s="117" t="s">
        <v>150</v>
      </c>
      <c r="L7" s="117"/>
      <c r="M7" s="117"/>
      <c r="N7" s="117"/>
      <c r="O7" s="117"/>
      <c r="P7" s="93"/>
    </row>
    <row r="8" spans="1:16" ht="15">
      <c r="A8" s="106">
        <v>463</v>
      </c>
      <c r="B8" s="107">
        <v>464</v>
      </c>
      <c r="C8" s="107">
        <v>0.18179999999999999</v>
      </c>
      <c r="D8" s="107">
        <v>0.47</v>
      </c>
      <c r="E8" s="107">
        <v>0.32840000000000003</v>
      </c>
      <c r="F8" s="107">
        <v>7</v>
      </c>
      <c r="G8" s="107">
        <v>210</v>
      </c>
      <c r="H8" s="108">
        <v>217</v>
      </c>
      <c r="I8" s="105">
        <f>SUM(Table2[[#This Row],[casual]],Table2[[#This Row],[registered]])</f>
        <v>217</v>
      </c>
      <c r="J8" s="113"/>
      <c r="K8" s="93" t="s">
        <v>142</v>
      </c>
      <c r="L8" s="93"/>
      <c r="M8" s="93"/>
      <c r="N8" s="93"/>
      <c r="O8" s="93"/>
      <c r="P8" s="93"/>
    </row>
    <row r="9" spans="1:16" ht="15">
      <c r="A9" s="106">
        <v>448</v>
      </c>
      <c r="B9" s="107">
        <v>449</v>
      </c>
      <c r="C9" s="107">
        <v>0.31819999999999998</v>
      </c>
      <c r="D9" s="107">
        <v>0.49</v>
      </c>
      <c r="E9" s="107">
        <v>0.1045</v>
      </c>
      <c r="F9" s="107">
        <v>8</v>
      </c>
      <c r="G9" s="107">
        <v>207</v>
      </c>
      <c r="H9" s="108">
        <v>215</v>
      </c>
      <c r="I9" s="105">
        <f>SUM(Table2[[#This Row],[casual]],Table2[[#This Row],[registered]])</f>
        <v>215</v>
      </c>
      <c r="J9" s="113"/>
      <c r="K9" s="93"/>
      <c r="L9" s="93"/>
      <c r="M9" s="93"/>
      <c r="N9" s="93"/>
      <c r="O9" s="93"/>
      <c r="P9" s="93"/>
    </row>
    <row r="10" spans="1:16" ht="15">
      <c r="A10" s="106">
        <v>85</v>
      </c>
      <c r="B10" s="107">
        <v>86</v>
      </c>
      <c r="C10" s="107">
        <v>0.2727</v>
      </c>
      <c r="D10" s="107">
        <v>0.48</v>
      </c>
      <c r="E10" s="107">
        <v>0.22389999999999999</v>
      </c>
      <c r="F10" s="107">
        <v>10</v>
      </c>
      <c r="G10" s="107">
        <v>202</v>
      </c>
      <c r="H10" s="108">
        <v>212</v>
      </c>
      <c r="I10" s="105">
        <f>SUM(Table2[[#This Row],[casual]],Table2[[#This Row],[registered]])</f>
        <v>212</v>
      </c>
      <c r="J10" s="113"/>
      <c r="K10" s="93"/>
      <c r="L10" s="93"/>
      <c r="M10" s="93"/>
      <c r="N10" s="93"/>
      <c r="O10" s="93"/>
      <c r="P10" s="93"/>
    </row>
    <row r="11" spans="1:16" ht="15">
      <c r="A11" s="106">
        <v>145</v>
      </c>
      <c r="B11" s="107">
        <v>146</v>
      </c>
      <c r="C11" s="107">
        <v>0.19700000000000001</v>
      </c>
      <c r="D11" s="107">
        <v>0.51</v>
      </c>
      <c r="E11" s="107">
        <v>0.25369999999999998</v>
      </c>
      <c r="F11" s="107">
        <v>20</v>
      </c>
      <c r="G11" s="107">
        <v>190</v>
      </c>
      <c r="H11" s="108">
        <v>210</v>
      </c>
      <c r="I11" s="105">
        <f>SUM(Table2[[#This Row],[casual]],Table2[[#This Row],[registered]])</f>
        <v>210</v>
      </c>
      <c r="J11" s="113"/>
      <c r="K11" s="117" t="s">
        <v>143</v>
      </c>
      <c r="L11" s="117"/>
      <c r="M11" s="117"/>
      <c r="N11" s="117"/>
      <c r="O11" s="117"/>
      <c r="P11" s="93"/>
    </row>
    <row r="12" spans="1:16" ht="15">
      <c r="A12" s="106">
        <v>285</v>
      </c>
      <c r="B12" s="107">
        <v>286</v>
      </c>
      <c r="C12" s="107">
        <v>0.13639999999999999</v>
      </c>
      <c r="D12" s="107">
        <v>0.5</v>
      </c>
      <c r="E12" s="107">
        <v>0.19400000000000001</v>
      </c>
      <c r="F12" s="107">
        <v>5</v>
      </c>
      <c r="G12" s="107">
        <v>197</v>
      </c>
      <c r="H12" s="108">
        <v>202</v>
      </c>
      <c r="I12" s="105">
        <f>SUM(Table2[[#This Row],[casual]],Table2[[#This Row],[registered]])</f>
        <v>202</v>
      </c>
      <c r="J12" s="113"/>
      <c r="K12" s="93"/>
      <c r="L12" s="93"/>
      <c r="M12" s="93"/>
      <c r="N12" s="93"/>
      <c r="O12" s="93"/>
      <c r="P12" s="93"/>
    </row>
    <row r="13" spans="1:16" ht="15">
      <c r="A13" s="106">
        <v>415</v>
      </c>
      <c r="B13" s="107">
        <v>416</v>
      </c>
      <c r="C13" s="107">
        <v>0.2576</v>
      </c>
      <c r="D13" s="107">
        <v>0.93</v>
      </c>
      <c r="E13" s="107">
        <v>0.1045</v>
      </c>
      <c r="F13" s="107">
        <v>1</v>
      </c>
      <c r="G13" s="107">
        <v>196</v>
      </c>
      <c r="H13" s="108">
        <v>197</v>
      </c>
      <c r="I13" s="105">
        <f>SUM(Table2[[#This Row],[casual]],Table2[[#This Row],[registered]])</f>
        <v>197</v>
      </c>
      <c r="J13" s="113"/>
      <c r="K13" s="117" t="s">
        <v>144</v>
      </c>
      <c r="L13" s="117"/>
      <c r="M13" s="117"/>
      <c r="N13" s="117"/>
      <c r="O13" s="93">
        <f>SUM(H:H)</f>
        <v>33898</v>
      </c>
      <c r="P13" s="93"/>
    </row>
    <row r="14" spans="1:16" ht="15">
      <c r="A14" s="106">
        <v>424</v>
      </c>
      <c r="B14" s="107">
        <v>425</v>
      </c>
      <c r="C14" s="107">
        <v>0.33329999999999999</v>
      </c>
      <c r="D14" s="107">
        <v>0.56999999999999995</v>
      </c>
      <c r="E14" s="107">
        <v>0.32840000000000003</v>
      </c>
      <c r="F14" s="107">
        <v>7</v>
      </c>
      <c r="G14" s="107">
        <v>190</v>
      </c>
      <c r="H14" s="108">
        <v>197</v>
      </c>
      <c r="I14" s="105">
        <f>SUM(Table2[[#This Row],[casual]],Table2[[#This Row],[registered]])</f>
        <v>197</v>
      </c>
      <c r="J14" s="113"/>
      <c r="K14" s="117" t="s">
        <v>145</v>
      </c>
      <c r="L14" s="117"/>
      <c r="M14" s="117"/>
      <c r="N14" s="117"/>
      <c r="O14" s="93">
        <f>AVERAGE(H:H)</f>
        <v>55.570491803278685</v>
      </c>
      <c r="P14" s="93"/>
    </row>
    <row r="15" spans="1:16" ht="15">
      <c r="A15" s="106">
        <v>99</v>
      </c>
      <c r="B15" s="107">
        <v>100</v>
      </c>
      <c r="C15" s="107">
        <v>0.18179999999999999</v>
      </c>
      <c r="D15" s="107">
        <v>0.4</v>
      </c>
      <c r="E15" s="107">
        <v>0.29849999999999999</v>
      </c>
      <c r="F15" s="107">
        <v>3</v>
      </c>
      <c r="G15" s="107">
        <v>192</v>
      </c>
      <c r="H15" s="108">
        <v>195</v>
      </c>
      <c r="I15" s="105">
        <f>SUM(Table2[[#This Row],[casual]],Table2[[#This Row],[registered]])</f>
        <v>195</v>
      </c>
      <c r="J15" s="113"/>
      <c r="K15" s="117" t="s">
        <v>146</v>
      </c>
      <c r="L15" s="117"/>
      <c r="M15" s="117"/>
      <c r="N15" s="117"/>
      <c r="O15" s="93">
        <f>COUNT(H:H)</f>
        <v>610</v>
      </c>
      <c r="P15" s="93"/>
    </row>
    <row r="16" spans="1:16" ht="14.25">
      <c r="A16" s="106">
        <v>108</v>
      </c>
      <c r="B16" s="107">
        <v>109</v>
      </c>
      <c r="C16" s="107">
        <v>0.2273</v>
      </c>
      <c r="D16" s="107">
        <v>0.38</v>
      </c>
      <c r="E16" s="107">
        <v>0.19400000000000001</v>
      </c>
      <c r="F16" s="107">
        <v>4</v>
      </c>
      <c r="G16" s="107">
        <v>186</v>
      </c>
      <c r="H16" s="108">
        <v>190</v>
      </c>
      <c r="I16" s="105">
        <f>SUM(Table2[[#This Row],[casual]],Table2[[#This Row],[registered]])</f>
        <v>190</v>
      </c>
      <c r="J16" s="113"/>
      <c r="K16" s="119"/>
      <c r="L16" s="119"/>
      <c r="M16" s="119"/>
      <c r="N16" s="119"/>
    </row>
    <row r="17" spans="1:14" ht="14.25">
      <c r="A17" s="106">
        <v>217</v>
      </c>
      <c r="B17" s="107">
        <v>218</v>
      </c>
      <c r="C17" s="107">
        <v>0.1212</v>
      </c>
      <c r="D17" s="107">
        <v>0.5</v>
      </c>
      <c r="E17" s="107">
        <v>0.28360000000000002</v>
      </c>
      <c r="F17" s="107">
        <v>4</v>
      </c>
      <c r="G17" s="107">
        <v>184</v>
      </c>
      <c r="H17" s="108">
        <v>188</v>
      </c>
      <c r="I17" s="105">
        <f>SUM(Table2[[#This Row],[casual]],Table2[[#This Row],[registered]])</f>
        <v>188</v>
      </c>
      <c r="J17" s="113"/>
      <c r="K17" s="119"/>
      <c r="L17" s="119"/>
      <c r="M17" s="119"/>
      <c r="N17" s="119"/>
    </row>
    <row r="18" spans="1:14" ht="14.25">
      <c r="A18" s="106">
        <v>154</v>
      </c>
      <c r="B18" s="107">
        <v>155</v>
      </c>
      <c r="C18" s="107">
        <v>0.2576</v>
      </c>
      <c r="D18" s="107">
        <v>0.37</v>
      </c>
      <c r="E18" s="107">
        <v>0</v>
      </c>
      <c r="F18" s="107">
        <v>9</v>
      </c>
      <c r="G18" s="107">
        <v>178</v>
      </c>
      <c r="H18" s="108">
        <v>187</v>
      </c>
      <c r="I18" s="105">
        <f>SUM(Table2[[#This Row],[casual]],Table2[[#This Row],[registered]])</f>
        <v>187</v>
      </c>
      <c r="J18" s="113"/>
      <c r="N18" s="109"/>
    </row>
    <row r="19" spans="1:14" ht="14.25">
      <c r="A19" s="106">
        <v>449</v>
      </c>
      <c r="B19" s="107">
        <v>450</v>
      </c>
      <c r="C19" s="107">
        <v>0.2576</v>
      </c>
      <c r="D19" s="107">
        <v>0.56000000000000005</v>
      </c>
      <c r="E19" s="107">
        <v>0.19400000000000001</v>
      </c>
      <c r="F19" s="107">
        <v>1</v>
      </c>
      <c r="G19" s="107">
        <v>184</v>
      </c>
      <c r="H19" s="108">
        <v>185</v>
      </c>
      <c r="I19" s="105">
        <f>SUM(Table2[[#This Row],[casual]],Table2[[#This Row],[registered]])</f>
        <v>185</v>
      </c>
      <c r="J19" s="113"/>
      <c r="N19" s="110"/>
    </row>
    <row r="20" spans="1:14" ht="14.25">
      <c r="A20" s="106">
        <v>541</v>
      </c>
      <c r="B20" s="107">
        <v>542</v>
      </c>
      <c r="C20" s="107">
        <v>0.1212</v>
      </c>
      <c r="D20" s="107">
        <v>0.5</v>
      </c>
      <c r="E20" s="107">
        <v>0.25369999999999998</v>
      </c>
      <c r="F20" s="107">
        <v>6</v>
      </c>
      <c r="G20" s="107">
        <v>178</v>
      </c>
      <c r="H20" s="108">
        <v>184</v>
      </c>
      <c r="I20" s="105">
        <f>SUM(Table2[[#This Row],[casual]],Table2[[#This Row],[registered]])</f>
        <v>184</v>
      </c>
      <c r="J20" s="113"/>
    </row>
    <row r="21" spans="1:14" ht="14.25">
      <c r="A21" s="106">
        <v>86</v>
      </c>
      <c r="B21" s="107">
        <v>87</v>
      </c>
      <c r="C21" s="107">
        <v>0.2576</v>
      </c>
      <c r="D21" s="107">
        <v>0.48</v>
      </c>
      <c r="E21" s="107">
        <v>0.19400000000000001</v>
      </c>
      <c r="F21" s="107">
        <v>3</v>
      </c>
      <c r="G21" s="107">
        <v>179</v>
      </c>
      <c r="H21" s="108">
        <v>182</v>
      </c>
      <c r="I21" s="105">
        <f>SUM(Table2[[#This Row],[casual]],Table2[[#This Row],[registered]])</f>
        <v>182</v>
      </c>
      <c r="J21" s="113"/>
    </row>
    <row r="22" spans="1:14" ht="14.25">
      <c r="A22" s="106">
        <v>76</v>
      </c>
      <c r="B22" s="107">
        <v>77</v>
      </c>
      <c r="C22" s="107">
        <v>0.1515</v>
      </c>
      <c r="D22" s="107">
        <v>0.69</v>
      </c>
      <c r="E22" s="107">
        <v>0.16420000000000001</v>
      </c>
      <c r="F22" s="107">
        <v>2</v>
      </c>
      <c r="G22" s="107">
        <v>177</v>
      </c>
      <c r="H22" s="108">
        <v>179</v>
      </c>
      <c r="I22" s="105">
        <f>SUM(Table2[[#This Row],[casual]],Table2[[#This Row],[registered]])</f>
        <v>179</v>
      </c>
      <c r="J22" s="113"/>
    </row>
    <row r="23" spans="1:14" ht="14.25">
      <c r="A23" s="106">
        <v>226</v>
      </c>
      <c r="B23" s="107">
        <v>227</v>
      </c>
      <c r="C23" s="107">
        <v>0.2273</v>
      </c>
      <c r="D23" s="107">
        <v>0.4</v>
      </c>
      <c r="E23" s="107">
        <v>0.1045</v>
      </c>
      <c r="F23" s="107">
        <v>4</v>
      </c>
      <c r="G23" s="107">
        <v>174</v>
      </c>
      <c r="H23" s="108">
        <v>178</v>
      </c>
      <c r="I23" s="105">
        <f>SUM(Table2[[#This Row],[casual]],Table2[[#This Row],[registered]])</f>
        <v>178</v>
      </c>
      <c r="J23" s="113"/>
    </row>
    <row r="24" spans="1:14" ht="14.25">
      <c r="A24" s="106">
        <v>532</v>
      </c>
      <c r="B24" s="107">
        <v>533</v>
      </c>
      <c r="C24" s="107">
        <v>0.13639999999999999</v>
      </c>
      <c r="D24" s="107">
        <v>0.49</v>
      </c>
      <c r="E24" s="107">
        <v>0</v>
      </c>
      <c r="F24" s="107">
        <v>6</v>
      </c>
      <c r="G24" s="107">
        <v>171</v>
      </c>
      <c r="H24" s="108">
        <v>177</v>
      </c>
      <c r="I24" s="105">
        <f>SUM(Table2[[#This Row],[casual]],Table2[[#This Row],[registered]])</f>
        <v>177</v>
      </c>
      <c r="J24" s="113"/>
    </row>
    <row r="25" spans="1:14" ht="14.25">
      <c r="A25" s="106">
        <v>131</v>
      </c>
      <c r="B25" s="107">
        <v>132</v>
      </c>
      <c r="C25" s="107">
        <v>0.2273</v>
      </c>
      <c r="D25" s="107">
        <v>0.51</v>
      </c>
      <c r="E25" s="107">
        <v>0.16420000000000001</v>
      </c>
      <c r="F25" s="107">
        <v>9</v>
      </c>
      <c r="G25" s="107">
        <v>163</v>
      </c>
      <c r="H25" s="108">
        <v>172</v>
      </c>
      <c r="I25" s="105">
        <f>SUM(Table2[[#This Row],[casual]],Table2[[#This Row],[registered]])</f>
        <v>172</v>
      </c>
      <c r="J25" s="113"/>
    </row>
    <row r="26" spans="1:14" ht="14.25">
      <c r="A26" s="106">
        <v>109</v>
      </c>
      <c r="B26" s="107">
        <v>110</v>
      </c>
      <c r="C26" s="107">
        <v>0.2424</v>
      </c>
      <c r="D26" s="107">
        <v>0.38</v>
      </c>
      <c r="E26" s="107">
        <v>0.1343</v>
      </c>
      <c r="F26" s="107">
        <v>3</v>
      </c>
      <c r="G26" s="107">
        <v>166</v>
      </c>
      <c r="H26" s="108">
        <v>169</v>
      </c>
      <c r="I26" s="105">
        <f>SUM(Table2[[#This Row],[casual]],Table2[[#This Row],[registered]])</f>
        <v>169</v>
      </c>
      <c r="J26" s="113"/>
    </row>
    <row r="27" spans="1:14" ht="14.25">
      <c r="A27" s="106">
        <v>464</v>
      </c>
      <c r="B27" s="107">
        <v>465</v>
      </c>
      <c r="C27" s="107">
        <v>0.18179999999999999</v>
      </c>
      <c r="D27" s="107">
        <v>0.51</v>
      </c>
      <c r="E27" s="107">
        <v>0.35820000000000002</v>
      </c>
      <c r="F27" s="107">
        <v>7</v>
      </c>
      <c r="G27" s="107">
        <v>159</v>
      </c>
      <c r="H27" s="108">
        <v>166</v>
      </c>
      <c r="I27" s="105">
        <f>SUM(Table2[[#This Row],[casual]],Table2[[#This Row],[registered]])</f>
        <v>166</v>
      </c>
      <c r="J27" s="113"/>
    </row>
    <row r="28" spans="1:14" ht="14.25">
      <c r="A28" s="106">
        <v>132</v>
      </c>
      <c r="B28" s="107">
        <v>133</v>
      </c>
      <c r="C28" s="107">
        <v>0.2273</v>
      </c>
      <c r="D28" s="107">
        <v>0.51</v>
      </c>
      <c r="E28" s="107">
        <v>0.1343</v>
      </c>
      <c r="F28" s="107">
        <v>5</v>
      </c>
      <c r="G28" s="107">
        <v>158</v>
      </c>
      <c r="H28" s="108">
        <v>163</v>
      </c>
      <c r="I28" s="105">
        <f>SUM(Table2[[#This Row],[casual]],Table2[[#This Row],[registered]])</f>
        <v>163</v>
      </c>
      <c r="J28" s="113"/>
    </row>
    <row r="29" spans="1:14" ht="14.25">
      <c r="A29" s="106">
        <v>294</v>
      </c>
      <c r="B29" s="107">
        <v>295</v>
      </c>
      <c r="C29" s="107">
        <v>0.18179999999999999</v>
      </c>
      <c r="D29" s="107">
        <v>0.4</v>
      </c>
      <c r="E29" s="107">
        <v>0.28360000000000002</v>
      </c>
      <c r="F29" s="107">
        <v>4</v>
      </c>
      <c r="G29" s="107">
        <v>158</v>
      </c>
      <c r="H29" s="108">
        <v>162</v>
      </c>
      <c r="I29" s="105">
        <f>SUM(Table2[[#This Row],[casual]],Table2[[#This Row],[registered]])</f>
        <v>162</v>
      </c>
      <c r="J29" s="113"/>
    </row>
    <row r="30" spans="1:14" ht="14.25">
      <c r="A30" s="106">
        <v>425</v>
      </c>
      <c r="B30" s="107">
        <v>426</v>
      </c>
      <c r="C30" s="107">
        <v>0.31819999999999998</v>
      </c>
      <c r="D30" s="107">
        <v>0.61</v>
      </c>
      <c r="E30" s="107">
        <v>0.28360000000000002</v>
      </c>
      <c r="F30" s="107">
        <v>5</v>
      </c>
      <c r="G30" s="107">
        <v>156</v>
      </c>
      <c r="H30" s="108">
        <v>161</v>
      </c>
      <c r="I30" s="105">
        <f>SUM(Table2[[#This Row],[casual]],Table2[[#This Row],[registered]])</f>
        <v>161</v>
      </c>
      <c r="J30" s="113"/>
    </row>
    <row r="31" spans="1:14" ht="14.25">
      <c r="A31" s="106">
        <v>472</v>
      </c>
      <c r="B31" s="107">
        <v>473</v>
      </c>
      <c r="C31" s="107">
        <v>0.1212</v>
      </c>
      <c r="D31" s="107">
        <v>0.28000000000000003</v>
      </c>
      <c r="E31" s="107">
        <v>0.35820000000000002</v>
      </c>
      <c r="F31" s="107">
        <v>10</v>
      </c>
      <c r="G31" s="107">
        <v>151</v>
      </c>
      <c r="H31" s="108">
        <v>161</v>
      </c>
      <c r="I31" s="105">
        <f>SUM(Table2[[#This Row],[casual]],Table2[[#This Row],[registered]])</f>
        <v>161</v>
      </c>
      <c r="J31" s="113"/>
    </row>
    <row r="32" spans="1:14" ht="14.25">
      <c r="A32" s="106">
        <v>317</v>
      </c>
      <c r="B32" s="107">
        <v>318</v>
      </c>
      <c r="C32" s="107">
        <v>0.2273</v>
      </c>
      <c r="D32" s="107">
        <v>0.41</v>
      </c>
      <c r="E32" s="107">
        <v>0.16420000000000001</v>
      </c>
      <c r="F32" s="107">
        <v>4</v>
      </c>
      <c r="G32" s="107">
        <v>155</v>
      </c>
      <c r="H32" s="108">
        <v>159</v>
      </c>
      <c r="I32" s="105">
        <f>SUM(Table2[[#This Row],[casual]],Table2[[#This Row],[registered]])</f>
        <v>159</v>
      </c>
      <c r="J32" s="113"/>
    </row>
    <row r="33" spans="1:10" ht="14.25">
      <c r="A33" s="106">
        <v>308</v>
      </c>
      <c r="B33" s="107">
        <v>309</v>
      </c>
      <c r="C33" s="107">
        <v>0.16669999999999999</v>
      </c>
      <c r="D33" s="107">
        <v>0.68</v>
      </c>
      <c r="E33" s="107">
        <v>0</v>
      </c>
      <c r="F33" s="107">
        <v>2</v>
      </c>
      <c r="G33" s="107">
        <v>156</v>
      </c>
      <c r="H33" s="108">
        <v>158</v>
      </c>
      <c r="I33" s="105">
        <f>SUM(Table2[[#This Row],[casual]],Table2[[#This Row],[registered]])</f>
        <v>158</v>
      </c>
      <c r="J33" s="113"/>
    </row>
    <row r="34" spans="1:10" ht="14.25">
      <c r="A34" s="106">
        <v>62</v>
      </c>
      <c r="B34" s="107">
        <v>63</v>
      </c>
      <c r="C34" s="107">
        <v>0.2273</v>
      </c>
      <c r="D34" s="107">
        <v>0.3</v>
      </c>
      <c r="E34" s="107">
        <v>0.22389999999999999</v>
      </c>
      <c r="F34" s="107">
        <v>11</v>
      </c>
      <c r="G34" s="107">
        <v>146</v>
      </c>
      <c r="H34" s="108">
        <v>157</v>
      </c>
      <c r="I34" s="105">
        <f>SUM(Table2[[#This Row],[casual]],Table2[[#This Row],[registered]])</f>
        <v>157</v>
      </c>
      <c r="J34" s="113"/>
    </row>
    <row r="35" spans="1:10" ht="14.25">
      <c r="A35" s="106">
        <v>63</v>
      </c>
      <c r="B35" s="107">
        <v>64</v>
      </c>
      <c r="C35" s="107">
        <v>0.2576</v>
      </c>
      <c r="D35" s="107">
        <v>0.32</v>
      </c>
      <c r="E35" s="107">
        <v>0.1045</v>
      </c>
      <c r="F35" s="107">
        <v>9</v>
      </c>
      <c r="G35" s="107">
        <v>148</v>
      </c>
      <c r="H35" s="108">
        <v>157</v>
      </c>
      <c r="I35" s="105">
        <f>SUM(Table2[[#This Row],[casual]],Table2[[#This Row],[registered]])</f>
        <v>157</v>
      </c>
      <c r="J35" s="113"/>
    </row>
    <row r="36" spans="1:10" ht="14.25">
      <c r="A36" s="106">
        <v>602</v>
      </c>
      <c r="B36" s="107">
        <v>603</v>
      </c>
      <c r="C36" s="107">
        <v>0.19700000000000001</v>
      </c>
      <c r="D36" s="107">
        <v>0.86</v>
      </c>
      <c r="E36" s="107">
        <v>8.9599999999999999E-2</v>
      </c>
      <c r="F36" s="107">
        <v>2</v>
      </c>
      <c r="G36" s="107">
        <v>155</v>
      </c>
      <c r="H36" s="108">
        <v>157</v>
      </c>
      <c r="I36" s="105">
        <f>SUM(Table2[[#This Row],[casual]],Table2[[#This Row],[registered]])</f>
        <v>157</v>
      </c>
      <c r="J36" s="113"/>
    </row>
    <row r="37" spans="1:10" ht="14.25">
      <c r="A37" s="106">
        <v>227</v>
      </c>
      <c r="B37" s="107">
        <v>228</v>
      </c>
      <c r="C37" s="107">
        <v>0.19700000000000001</v>
      </c>
      <c r="D37" s="107">
        <v>0.4</v>
      </c>
      <c r="E37" s="107">
        <v>0.22389999999999999</v>
      </c>
      <c r="F37" s="107">
        <v>1</v>
      </c>
      <c r="G37" s="107">
        <v>154</v>
      </c>
      <c r="H37" s="108">
        <v>155</v>
      </c>
      <c r="I37" s="105">
        <f>SUM(Table2[[#This Row],[casual]],Table2[[#This Row],[registered]])</f>
        <v>155</v>
      </c>
      <c r="J37" s="113"/>
    </row>
    <row r="38" spans="1:10" ht="14.25">
      <c r="A38" s="106">
        <v>53</v>
      </c>
      <c r="B38" s="107">
        <v>54</v>
      </c>
      <c r="C38" s="107">
        <v>0.1212</v>
      </c>
      <c r="D38" s="107">
        <v>0.5</v>
      </c>
      <c r="E38" s="107">
        <v>0.28360000000000002</v>
      </c>
      <c r="F38" s="107">
        <v>1</v>
      </c>
      <c r="G38" s="107">
        <v>153</v>
      </c>
      <c r="H38" s="108">
        <v>154</v>
      </c>
      <c r="I38" s="105">
        <f>SUM(Table2[[#This Row],[casual]],Table2[[#This Row],[registered]])</f>
        <v>154</v>
      </c>
      <c r="J38" s="113"/>
    </row>
    <row r="39" spans="1:10" ht="14.25">
      <c r="A39" s="106">
        <v>542</v>
      </c>
      <c r="B39" s="107">
        <v>543</v>
      </c>
      <c r="C39" s="107">
        <v>0.13639999999999999</v>
      </c>
      <c r="D39" s="107">
        <v>0.59</v>
      </c>
      <c r="E39" s="107">
        <v>0.19400000000000001</v>
      </c>
      <c r="F39" s="107">
        <v>8</v>
      </c>
      <c r="G39" s="107">
        <v>145</v>
      </c>
      <c r="H39" s="108">
        <v>153</v>
      </c>
      <c r="I39" s="105">
        <f>SUM(Table2[[#This Row],[casual]],Table2[[#This Row],[registered]])</f>
        <v>153</v>
      </c>
      <c r="J39" s="113"/>
    </row>
    <row r="40" spans="1:10" ht="14.25">
      <c r="A40" s="106">
        <v>450</v>
      </c>
      <c r="B40" s="107">
        <v>451</v>
      </c>
      <c r="C40" s="107">
        <v>0.2273</v>
      </c>
      <c r="D40" s="107">
        <v>0.56000000000000005</v>
      </c>
      <c r="E40" s="107">
        <v>0.32840000000000003</v>
      </c>
      <c r="F40" s="107">
        <v>6</v>
      </c>
      <c r="G40" s="107">
        <v>146</v>
      </c>
      <c r="H40" s="108">
        <v>152</v>
      </c>
      <c r="I40" s="105">
        <f>SUM(Table2[[#This Row],[casual]],Table2[[#This Row],[registered]])</f>
        <v>152</v>
      </c>
      <c r="J40" s="113"/>
    </row>
    <row r="41" spans="1:10" ht="14.25">
      <c r="A41" s="106">
        <v>566</v>
      </c>
      <c r="B41" s="107">
        <v>567</v>
      </c>
      <c r="C41" s="107">
        <v>0.2576</v>
      </c>
      <c r="D41" s="107">
        <v>0.65</v>
      </c>
      <c r="E41" s="107">
        <v>0.16420000000000001</v>
      </c>
      <c r="F41" s="107">
        <v>13</v>
      </c>
      <c r="G41" s="107">
        <v>133</v>
      </c>
      <c r="H41" s="108">
        <v>146</v>
      </c>
      <c r="I41" s="105">
        <f>SUM(Table2[[#This Row],[casual]],Table2[[#This Row],[registered]])</f>
        <v>146</v>
      </c>
      <c r="J41" s="113"/>
    </row>
    <row r="42" spans="1:10" ht="14.25">
      <c r="A42" s="106">
        <v>295</v>
      </c>
      <c r="B42" s="107">
        <v>296</v>
      </c>
      <c r="C42" s="107">
        <v>0.18179999999999999</v>
      </c>
      <c r="D42" s="107">
        <v>0.4</v>
      </c>
      <c r="E42" s="107">
        <v>0.32840000000000003</v>
      </c>
      <c r="F42" s="107">
        <v>3</v>
      </c>
      <c r="G42" s="107">
        <v>141</v>
      </c>
      <c r="H42" s="108">
        <v>144</v>
      </c>
      <c r="I42" s="105">
        <f>SUM(Table2[[#This Row],[casual]],Table2[[#This Row],[registered]])</f>
        <v>144</v>
      </c>
      <c r="J42" s="113"/>
    </row>
    <row r="43" spans="1:10" ht="14.25">
      <c r="A43" s="106">
        <v>556</v>
      </c>
      <c r="B43" s="107">
        <v>557</v>
      </c>
      <c r="C43" s="107">
        <v>0.2273</v>
      </c>
      <c r="D43" s="107">
        <v>0.64</v>
      </c>
      <c r="E43" s="107">
        <v>8.9599999999999999E-2</v>
      </c>
      <c r="F43" s="107">
        <v>10</v>
      </c>
      <c r="G43" s="107">
        <v>134</v>
      </c>
      <c r="H43" s="108">
        <v>144</v>
      </c>
      <c r="I43" s="105">
        <f>SUM(Table2[[#This Row],[casual]],Table2[[#This Row],[registered]])</f>
        <v>144</v>
      </c>
      <c r="J43" s="113"/>
    </row>
    <row r="44" spans="1:10" ht="14.25">
      <c r="A44" s="106">
        <v>440</v>
      </c>
      <c r="B44" s="107">
        <v>441</v>
      </c>
      <c r="C44" s="107">
        <v>0.2273</v>
      </c>
      <c r="D44" s="107">
        <v>0.52</v>
      </c>
      <c r="E44" s="107">
        <v>0.22389999999999999</v>
      </c>
      <c r="F44" s="107">
        <v>3</v>
      </c>
      <c r="G44" s="107">
        <v>140</v>
      </c>
      <c r="H44" s="108">
        <v>143</v>
      </c>
      <c r="I44" s="105">
        <f>SUM(Table2[[#This Row],[casual]],Table2[[#This Row],[registered]])</f>
        <v>143</v>
      </c>
      <c r="J44" s="113"/>
    </row>
    <row r="45" spans="1:10" ht="14.25">
      <c r="A45" s="106">
        <v>270</v>
      </c>
      <c r="B45" s="107">
        <v>271</v>
      </c>
      <c r="C45" s="107">
        <v>0.18179999999999999</v>
      </c>
      <c r="D45" s="107">
        <v>0.47</v>
      </c>
      <c r="E45" s="107">
        <v>0.35820000000000002</v>
      </c>
      <c r="F45" s="107">
        <v>0</v>
      </c>
      <c r="G45" s="107">
        <v>139</v>
      </c>
      <c r="H45" s="108">
        <v>139</v>
      </c>
      <c r="I45" s="105">
        <f>SUM(Table2[[#This Row],[casual]],Table2[[#This Row],[registered]])</f>
        <v>139</v>
      </c>
      <c r="J45" s="113"/>
    </row>
    <row r="46" spans="1:10" ht="14.25">
      <c r="A46" s="106">
        <v>286</v>
      </c>
      <c r="B46" s="107">
        <v>287</v>
      </c>
      <c r="C46" s="107">
        <v>0.1212</v>
      </c>
      <c r="D46" s="107">
        <v>0.5</v>
      </c>
      <c r="E46" s="107">
        <v>0.32840000000000003</v>
      </c>
      <c r="F46" s="107">
        <v>2</v>
      </c>
      <c r="G46" s="107">
        <v>137</v>
      </c>
      <c r="H46" s="108">
        <v>139</v>
      </c>
      <c r="I46" s="105">
        <f>SUM(Table2[[#This Row],[casual]],Table2[[#This Row],[registered]])</f>
        <v>139</v>
      </c>
      <c r="J46" s="113"/>
    </row>
    <row r="47" spans="1:10" ht="14.25">
      <c r="A47" s="106">
        <v>318</v>
      </c>
      <c r="B47" s="107">
        <v>319</v>
      </c>
      <c r="C47" s="107">
        <v>0.2576</v>
      </c>
      <c r="D47" s="107">
        <v>0.47</v>
      </c>
      <c r="E47" s="107">
        <v>0</v>
      </c>
      <c r="F47" s="107">
        <v>5</v>
      </c>
      <c r="G47" s="107">
        <v>134</v>
      </c>
      <c r="H47" s="108">
        <v>139</v>
      </c>
      <c r="I47" s="105">
        <f>SUM(Table2[[#This Row],[casual]],Table2[[#This Row],[registered]])</f>
        <v>139</v>
      </c>
      <c r="J47" s="113"/>
    </row>
    <row r="48" spans="1:10" ht="14.25">
      <c r="A48" s="106">
        <v>271</v>
      </c>
      <c r="B48" s="107">
        <v>272</v>
      </c>
      <c r="C48" s="107">
        <v>0.1515</v>
      </c>
      <c r="D48" s="107">
        <v>0.47</v>
      </c>
      <c r="E48" s="107">
        <v>0.52239999999999998</v>
      </c>
      <c r="F48" s="107">
        <v>2</v>
      </c>
      <c r="G48" s="107">
        <v>135</v>
      </c>
      <c r="H48" s="108">
        <v>137</v>
      </c>
      <c r="I48" s="105">
        <f>SUM(Table2[[#This Row],[casual]],Table2[[#This Row],[registered]])</f>
        <v>137</v>
      </c>
      <c r="J48" s="113"/>
    </row>
    <row r="49" spans="1:10" ht="14.25">
      <c r="A49" s="106">
        <v>248</v>
      </c>
      <c r="B49" s="107">
        <v>249</v>
      </c>
      <c r="C49" s="107">
        <v>0.1515</v>
      </c>
      <c r="D49" s="107">
        <v>0.86</v>
      </c>
      <c r="E49" s="107">
        <v>0.22389999999999999</v>
      </c>
      <c r="F49" s="107">
        <v>6</v>
      </c>
      <c r="G49" s="107">
        <v>130</v>
      </c>
      <c r="H49" s="108">
        <v>136</v>
      </c>
      <c r="I49" s="105">
        <f>SUM(Table2[[#This Row],[casual]],Table2[[#This Row],[registered]])</f>
        <v>136</v>
      </c>
      <c r="J49" s="113"/>
    </row>
    <row r="50" spans="1:10" ht="14.25">
      <c r="A50" s="106">
        <v>146</v>
      </c>
      <c r="B50" s="107">
        <v>147</v>
      </c>
      <c r="C50" s="107">
        <v>0.18179999999999999</v>
      </c>
      <c r="D50" s="107">
        <v>0.47</v>
      </c>
      <c r="E50" s="107">
        <v>0.29849999999999999</v>
      </c>
      <c r="F50" s="107">
        <v>9</v>
      </c>
      <c r="G50" s="107">
        <v>125</v>
      </c>
      <c r="H50" s="108">
        <v>134</v>
      </c>
      <c r="I50" s="105">
        <f>SUM(Table2[[#This Row],[casual]],Table2[[#This Row],[registered]])</f>
        <v>134</v>
      </c>
      <c r="J50" s="113"/>
    </row>
    <row r="51" spans="1:10" ht="14.25">
      <c r="A51" s="106">
        <v>402</v>
      </c>
      <c r="B51" s="107">
        <v>403</v>
      </c>
      <c r="C51" s="107">
        <v>0.2273</v>
      </c>
      <c r="D51" s="107">
        <v>0.8</v>
      </c>
      <c r="E51" s="107">
        <v>0.16420000000000001</v>
      </c>
      <c r="F51" s="107">
        <v>1</v>
      </c>
      <c r="G51" s="107">
        <v>132</v>
      </c>
      <c r="H51" s="108">
        <v>133</v>
      </c>
      <c r="I51" s="105">
        <f>SUM(Table2[[#This Row],[casual]],Table2[[#This Row],[registered]])</f>
        <v>133</v>
      </c>
      <c r="J51" s="113"/>
    </row>
    <row r="52" spans="1:10" ht="14.25">
      <c r="A52" s="106">
        <v>110</v>
      </c>
      <c r="B52" s="107">
        <v>111</v>
      </c>
      <c r="C52" s="107">
        <v>0.2576</v>
      </c>
      <c r="D52" s="107">
        <v>0.38</v>
      </c>
      <c r="E52" s="107">
        <v>0.1045</v>
      </c>
      <c r="F52" s="107">
        <v>5</v>
      </c>
      <c r="G52" s="107">
        <v>127</v>
      </c>
      <c r="H52" s="108">
        <v>132</v>
      </c>
      <c r="I52" s="105">
        <f>SUM(Table2[[#This Row],[casual]],Table2[[#This Row],[registered]])</f>
        <v>132</v>
      </c>
      <c r="J52" s="113"/>
    </row>
    <row r="53" spans="1:10" ht="14.25">
      <c r="A53" s="106">
        <v>240</v>
      </c>
      <c r="B53" s="107">
        <v>241</v>
      </c>
      <c r="C53" s="107">
        <v>0.19700000000000001</v>
      </c>
      <c r="D53" s="107">
        <v>0.51</v>
      </c>
      <c r="E53" s="107">
        <v>0.16420000000000001</v>
      </c>
      <c r="F53" s="107">
        <v>3</v>
      </c>
      <c r="G53" s="107">
        <v>127</v>
      </c>
      <c r="H53" s="108">
        <v>130</v>
      </c>
      <c r="I53" s="105">
        <f>SUM(Table2[[#This Row],[casual]],Table2[[#This Row],[registered]])</f>
        <v>130</v>
      </c>
      <c r="J53" s="113"/>
    </row>
    <row r="54" spans="1:10" ht="14.25">
      <c r="A54" s="106">
        <v>339</v>
      </c>
      <c r="B54" s="107">
        <v>340</v>
      </c>
      <c r="C54" s="107">
        <v>0.31819999999999998</v>
      </c>
      <c r="D54" s="107">
        <v>0.36</v>
      </c>
      <c r="E54" s="107">
        <v>0.19400000000000001</v>
      </c>
      <c r="F54" s="107">
        <v>21</v>
      </c>
      <c r="G54" s="107">
        <v>108</v>
      </c>
      <c r="H54" s="108">
        <v>129</v>
      </c>
      <c r="I54" s="105">
        <f>SUM(Table2[[#This Row],[casual]],Table2[[#This Row],[registered]])</f>
        <v>129</v>
      </c>
      <c r="J54" s="113"/>
    </row>
    <row r="55" spans="1:10" ht="14.25">
      <c r="A55" s="106">
        <v>261</v>
      </c>
      <c r="B55" s="107">
        <v>262</v>
      </c>
      <c r="C55" s="107">
        <v>0.16669999999999999</v>
      </c>
      <c r="D55" s="107">
        <v>0.59</v>
      </c>
      <c r="E55" s="107">
        <v>0.16420000000000001</v>
      </c>
      <c r="F55" s="107">
        <v>3</v>
      </c>
      <c r="G55" s="107">
        <v>125</v>
      </c>
      <c r="H55" s="108">
        <v>128</v>
      </c>
      <c r="I55" s="105">
        <f>SUM(Table2[[#This Row],[casual]],Table2[[#This Row],[registered]])</f>
        <v>128</v>
      </c>
      <c r="J55" s="113"/>
    </row>
    <row r="56" spans="1:10" ht="14.25">
      <c r="A56" s="106">
        <v>340</v>
      </c>
      <c r="B56" s="107">
        <v>341</v>
      </c>
      <c r="C56" s="107">
        <v>0.33329999999999999</v>
      </c>
      <c r="D56" s="107">
        <v>0.34</v>
      </c>
      <c r="E56" s="107">
        <v>0.19400000000000001</v>
      </c>
      <c r="F56" s="107">
        <v>33</v>
      </c>
      <c r="G56" s="107">
        <v>95</v>
      </c>
      <c r="H56" s="108">
        <v>128</v>
      </c>
      <c r="I56" s="105">
        <f>SUM(Table2[[#This Row],[casual]],Table2[[#This Row],[registered]])</f>
        <v>128</v>
      </c>
      <c r="J56" s="113"/>
    </row>
    <row r="57" spans="1:10" ht="14.25">
      <c r="A57" s="106">
        <v>451</v>
      </c>
      <c r="B57" s="107">
        <v>452</v>
      </c>
      <c r="C57" s="107">
        <v>0.2424</v>
      </c>
      <c r="D57" s="107">
        <v>0.6</v>
      </c>
      <c r="E57" s="107">
        <v>0.28360000000000002</v>
      </c>
      <c r="F57" s="107">
        <v>2</v>
      </c>
      <c r="G57" s="107">
        <v>124</v>
      </c>
      <c r="H57" s="108">
        <v>126</v>
      </c>
      <c r="I57" s="105">
        <f>SUM(Table2[[#This Row],[casual]],Table2[[#This Row],[registered]])</f>
        <v>126</v>
      </c>
      <c r="J57" s="113"/>
    </row>
    <row r="58" spans="1:10" ht="14.25">
      <c r="A58" s="106">
        <v>401</v>
      </c>
      <c r="B58" s="107">
        <v>402</v>
      </c>
      <c r="C58" s="107">
        <v>0.2273</v>
      </c>
      <c r="D58" s="107">
        <v>0.82</v>
      </c>
      <c r="E58" s="107">
        <v>0.19400000000000001</v>
      </c>
      <c r="F58" s="107">
        <v>1</v>
      </c>
      <c r="G58" s="107">
        <v>124</v>
      </c>
      <c r="H58" s="108">
        <v>125</v>
      </c>
      <c r="I58" s="105">
        <f>SUM(Table2[[#This Row],[casual]],Table2[[#This Row],[registered]])</f>
        <v>125</v>
      </c>
      <c r="J58" s="113"/>
    </row>
    <row r="59" spans="1:10" ht="14.25">
      <c r="A59" s="106">
        <v>155</v>
      </c>
      <c r="B59" s="107">
        <v>156</v>
      </c>
      <c r="C59" s="107">
        <v>0.2273</v>
      </c>
      <c r="D59" s="107">
        <v>0.4</v>
      </c>
      <c r="E59" s="107">
        <v>8.9599999999999999E-2</v>
      </c>
      <c r="F59" s="107">
        <v>7</v>
      </c>
      <c r="G59" s="107">
        <v>116</v>
      </c>
      <c r="H59" s="108">
        <v>123</v>
      </c>
      <c r="I59" s="105">
        <f>SUM(Table2[[#This Row],[casual]],Table2[[#This Row],[registered]])</f>
        <v>123</v>
      </c>
      <c r="J59" s="113"/>
    </row>
    <row r="60" spans="1:10" ht="14.25">
      <c r="A60" s="106">
        <v>123</v>
      </c>
      <c r="B60" s="107">
        <v>124</v>
      </c>
      <c r="C60" s="107">
        <v>0.2424</v>
      </c>
      <c r="D60" s="107">
        <v>0.51</v>
      </c>
      <c r="E60" s="107">
        <v>0</v>
      </c>
      <c r="F60" s="107">
        <v>6</v>
      </c>
      <c r="G60" s="107">
        <v>116</v>
      </c>
      <c r="H60" s="108">
        <v>122</v>
      </c>
      <c r="I60" s="105">
        <f>SUM(Table2[[#This Row],[casual]],Table2[[#This Row],[registered]])</f>
        <v>122</v>
      </c>
      <c r="J60" s="113"/>
    </row>
    <row r="61" spans="1:10" ht="14.25">
      <c r="A61" s="106">
        <v>473</v>
      </c>
      <c r="B61" s="107">
        <v>474</v>
      </c>
      <c r="C61" s="107">
        <v>0.1212</v>
      </c>
      <c r="D61" s="107">
        <v>0.3</v>
      </c>
      <c r="E61" s="107">
        <v>0.25369999999999998</v>
      </c>
      <c r="F61" s="107">
        <v>1</v>
      </c>
      <c r="G61" s="107">
        <v>119</v>
      </c>
      <c r="H61" s="108">
        <v>120</v>
      </c>
      <c r="I61" s="105">
        <f>SUM(Table2[[#This Row],[casual]],Table2[[#This Row],[registered]])</f>
        <v>120</v>
      </c>
      <c r="J61" s="113"/>
    </row>
    <row r="62" spans="1:10" ht="14.25">
      <c r="A62" s="106">
        <v>567</v>
      </c>
      <c r="B62" s="107">
        <v>568</v>
      </c>
      <c r="C62" s="107">
        <v>0.2273</v>
      </c>
      <c r="D62" s="107">
        <v>0.65</v>
      </c>
      <c r="E62" s="107">
        <v>0.19400000000000001</v>
      </c>
      <c r="F62" s="107">
        <v>16</v>
      </c>
      <c r="G62" s="107">
        <v>103</v>
      </c>
      <c r="H62" s="108">
        <v>119</v>
      </c>
      <c r="I62" s="105">
        <f>SUM(Table2[[#This Row],[casual]],Table2[[#This Row],[registered]])</f>
        <v>119</v>
      </c>
      <c r="J62" s="113"/>
    </row>
    <row r="63" spans="1:10" ht="14.25">
      <c r="A63" s="106">
        <v>338</v>
      </c>
      <c r="B63" s="107">
        <v>339</v>
      </c>
      <c r="C63" s="107">
        <v>0.28789999999999999</v>
      </c>
      <c r="D63" s="107">
        <v>0.39</v>
      </c>
      <c r="E63" s="107">
        <v>0.28360000000000002</v>
      </c>
      <c r="F63" s="107">
        <v>26</v>
      </c>
      <c r="G63" s="107">
        <v>92</v>
      </c>
      <c r="H63" s="108">
        <v>118</v>
      </c>
      <c r="I63" s="105">
        <f>SUM(Table2[[#This Row],[casual]],Table2[[#This Row],[registered]])</f>
        <v>118</v>
      </c>
      <c r="J63" s="113"/>
    </row>
    <row r="64" spans="1:10" ht="14.25">
      <c r="A64" s="106">
        <v>361</v>
      </c>
      <c r="B64" s="107">
        <v>362</v>
      </c>
      <c r="C64" s="107">
        <v>0.2273</v>
      </c>
      <c r="D64" s="107">
        <v>0.35</v>
      </c>
      <c r="E64" s="107">
        <v>0.29849999999999999</v>
      </c>
      <c r="F64" s="107">
        <v>23</v>
      </c>
      <c r="G64" s="107">
        <v>95</v>
      </c>
      <c r="H64" s="108">
        <v>118</v>
      </c>
      <c r="I64" s="105">
        <f>SUM(Table2[[#This Row],[casual]],Table2[[#This Row],[registered]])</f>
        <v>118</v>
      </c>
      <c r="J64" s="113"/>
    </row>
    <row r="65" spans="1:10" ht="14.25">
      <c r="A65" s="106">
        <v>309</v>
      </c>
      <c r="B65" s="107">
        <v>310</v>
      </c>
      <c r="C65" s="107">
        <v>0.1515</v>
      </c>
      <c r="D65" s="107">
        <v>0.69</v>
      </c>
      <c r="E65" s="107">
        <v>0.1343</v>
      </c>
      <c r="F65" s="107">
        <v>0</v>
      </c>
      <c r="G65" s="107">
        <v>117</v>
      </c>
      <c r="H65" s="108">
        <v>117</v>
      </c>
      <c r="I65" s="105">
        <f>SUM(Table2[[#This Row],[casual]],Table2[[#This Row],[registered]])</f>
        <v>117</v>
      </c>
      <c r="J65" s="113"/>
    </row>
    <row r="66" spans="1:10" ht="14.25">
      <c r="A66" s="106">
        <v>513</v>
      </c>
      <c r="B66" s="107">
        <v>514</v>
      </c>
      <c r="C66" s="107">
        <v>0.1212</v>
      </c>
      <c r="D66" s="107">
        <v>0.37</v>
      </c>
      <c r="E66" s="107">
        <v>0.4627</v>
      </c>
      <c r="F66" s="107">
        <v>24</v>
      </c>
      <c r="G66" s="107">
        <v>92</v>
      </c>
      <c r="H66" s="108">
        <v>116</v>
      </c>
      <c r="I66" s="105">
        <f>SUM(Table2[[#This Row],[casual]],Table2[[#This Row],[registered]])</f>
        <v>116</v>
      </c>
      <c r="J66" s="113"/>
    </row>
    <row r="67" spans="1:10" ht="14.25">
      <c r="A67" s="106">
        <v>563</v>
      </c>
      <c r="B67" s="107">
        <v>564</v>
      </c>
      <c r="C67" s="107">
        <v>0.34849999999999998</v>
      </c>
      <c r="D67" s="107">
        <v>0.42</v>
      </c>
      <c r="E67" s="107">
        <v>0</v>
      </c>
      <c r="F67" s="107">
        <v>14</v>
      </c>
      <c r="G67" s="107">
        <v>102</v>
      </c>
      <c r="H67" s="108">
        <v>116</v>
      </c>
      <c r="I67" s="105">
        <f>SUM(Table2[[#This Row],[casual]],Table2[[#This Row],[registered]])</f>
        <v>116</v>
      </c>
      <c r="J67" s="113"/>
    </row>
    <row r="68" spans="1:10" ht="14.25">
      <c r="A68" s="106">
        <v>100</v>
      </c>
      <c r="B68" s="107">
        <v>101</v>
      </c>
      <c r="C68" s="107">
        <v>0.19700000000000001</v>
      </c>
      <c r="D68" s="107">
        <v>0.37</v>
      </c>
      <c r="E68" s="107">
        <v>0.32840000000000003</v>
      </c>
      <c r="F68" s="107">
        <v>6</v>
      </c>
      <c r="G68" s="107">
        <v>109</v>
      </c>
      <c r="H68" s="108">
        <v>115</v>
      </c>
      <c r="I68" s="105">
        <f>SUM(Table2[[#This Row],[casual]],Table2[[#This Row],[registered]])</f>
        <v>115</v>
      </c>
      <c r="J68" s="113"/>
    </row>
    <row r="69" spans="1:10" ht="14.25">
      <c r="A69" s="106">
        <v>363</v>
      </c>
      <c r="B69" s="107">
        <v>364</v>
      </c>
      <c r="C69" s="107">
        <v>0.2424</v>
      </c>
      <c r="D69" s="107">
        <v>0.38</v>
      </c>
      <c r="E69" s="107">
        <v>0.25369999999999998</v>
      </c>
      <c r="F69" s="107">
        <v>35</v>
      </c>
      <c r="G69" s="107">
        <v>78</v>
      </c>
      <c r="H69" s="108">
        <v>113</v>
      </c>
      <c r="I69" s="105">
        <f>SUM(Table2[[#This Row],[casual]],Table2[[#This Row],[registered]])</f>
        <v>113</v>
      </c>
      <c r="J69" s="113"/>
    </row>
    <row r="70" spans="1:10" ht="14.25">
      <c r="A70" s="106">
        <v>87</v>
      </c>
      <c r="B70" s="107">
        <v>88</v>
      </c>
      <c r="C70" s="107">
        <v>0.2576</v>
      </c>
      <c r="D70" s="107">
        <v>0.48</v>
      </c>
      <c r="E70" s="107">
        <v>0.1045</v>
      </c>
      <c r="F70" s="107">
        <v>2</v>
      </c>
      <c r="G70" s="107">
        <v>110</v>
      </c>
      <c r="H70" s="108">
        <v>112</v>
      </c>
      <c r="I70" s="105">
        <f>SUM(Table2[[#This Row],[casual]],Table2[[#This Row],[registered]])</f>
        <v>112</v>
      </c>
      <c r="J70" s="113"/>
    </row>
    <row r="71" spans="1:10" ht="14.25">
      <c r="A71" s="106">
        <v>133</v>
      </c>
      <c r="B71" s="107">
        <v>134</v>
      </c>
      <c r="C71" s="107">
        <v>0.2576</v>
      </c>
      <c r="D71" s="107">
        <v>0.55000000000000004</v>
      </c>
      <c r="E71" s="107">
        <v>8.9599999999999999E-2</v>
      </c>
      <c r="F71" s="107">
        <v>3</v>
      </c>
      <c r="G71" s="107">
        <v>109</v>
      </c>
      <c r="H71" s="108">
        <v>112</v>
      </c>
      <c r="I71" s="105">
        <f>SUM(Table2[[#This Row],[casual]],Table2[[#This Row],[registered]])</f>
        <v>112</v>
      </c>
      <c r="J71" s="113"/>
    </row>
    <row r="72" spans="1:10" ht="14.25">
      <c r="A72" s="106">
        <v>426</v>
      </c>
      <c r="B72" s="107">
        <v>427</v>
      </c>
      <c r="C72" s="107">
        <v>0.28789999999999999</v>
      </c>
      <c r="D72" s="107">
        <v>0.56999999999999995</v>
      </c>
      <c r="E72" s="107">
        <v>0.41789999999999999</v>
      </c>
      <c r="F72" s="107">
        <v>4</v>
      </c>
      <c r="G72" s="107">
        <v>108</v>
      </c>
      <c r="H72" s="108">
        <v>112</v>
      </c>
      <c r="I72" s="105">
        <f>SUM(Table2[[#This Row],[casual]],Table2[[#This Row],[registered]])</f>
        <v>112</v>
      </c>
      <c r="J72" s="113"/>
    </row>
    <row r="73" spans="1:10" ht="14.25">
      <c r="A73" s="106">
        <v>15</v>
      </c>
      <c r="B73" s="107">
        <v>16</v>
      </c>
      <c r="C73" s="107">
        <v>0.43940000000000001</v>
      </c>
      <c r="D73" s="107">
        <v>0.77</v>
      </c>
      <c r="E73" s="107">
        <v>0.29849999999999999</v>
      </c>
      <c r="F73" s="107">
        <v>40</v>
      </c>
      <c r="G73" s="107">
        <v>70</v>
      </c>
      <c r="H73" s="108">
        <v>110</v>
      </c>
      <c r="I73" s="105">
        <f>SUM(Table2[[#This Row],[casual]],Table2[[#This Row],[registered]])</f>
        <v>110</v>
      </c>
      <c r="J73" s="113"/>
    </row>
    <row r="74" spans="1:10" ht="14.25">
      <c r="A74" s="106">
        <v>64</v>
      </c>
      <c r="B74" s="107">
        <v>65</v>
      </c>
      <c r="C74" s="107">
        <v>0.2576</v>
      </c>
      <c r="D74" s="107">
        <v>0.47</v>
      </c>
      <c r="E74" s="107">
        <v>0</v>
      </c>
      <c r="F74" s="107">
        <v>8</v>
      </c>
      <c r="G74" s="107">
        <v>102</v>
      </c>
      <c r="H74" s="108">
        <v>110</v>
      </c>
      <c r="I74" s="105">
        <f>SUM(Table2[[#This Row],[casual]],Table2[[#This Row],[registered]])</f>
        <v>110</v>
      </c>
      <c r="J74" s="113"/>
    </row>
    <row r="75" spans="1:10" ht="14.25">
      <c r="A75" s="106">
        <v>515</v>
      </c>
      <c r="B75" s="107">
        <v>516</v>
      </c>
      <c r="C75" s="107">
        <v>0.13639999999999999</v>
      </c>
      <c r="D75" s="107">
        <v>0.28000000000000003</v>
      </c>
      <c r="E75" s="107">
        <v>0.35820000000000002</v>
      </c>
      <c r="F75" s="107">
        <v>17</v>
      </c>
      <c r="G75" s="107">
        <v>93</v>
      </c>
      <c r="H75" s="108">
        <v>110</v>
      </c>
      <c r="I75" s="105">
        <f>SUM(Table2[[#This Row],[casual]],Table2[[#This Row],[registered]])</f>
        <v>110</v>
      </c>
      <c r="J75" s="113"/>
    </row>
    <row r="76" spans="1:10" ht="14.25">
      <c r="A76" s="106">
        <v>416</v>
      </c>
      <c r="B76" s="107">
        <v>417</v>
      </c>
      <c r="C76" s="107">
        <v>0.2576</v>
      </c>
      <c r="D76" s="107">
        <v>0.93</v>
      </c>
      <c r="E76" s="107">
        <v>0.1045</v>
      </c>
      <c r="F76" s="107">
        <v>2</v>
      </c>
      <c r="G76" s="107">
        <v>107</v>
      </c>
      <c r="H76" s="108">
        <v>109</v>
      </c>
      <c r="I76" s="105">
        <f>SUM(Table2[[#This Row],[casual]],Table2[[#This Row],[registered]])</f>
        <v>109</v>
      </c>
      <c r="J76" s="113"/>
    </row>
    <row r="77" spans="1:10" ht="14.25">
      <c r="A77" s="106">
        <v>554</v>
      </c>
      <c r="B77" s="107">
        <v>555</v>
      </c>
      <c r="C77" s="107">
        <v>0.1515</v>
      </c>
      <c r="D77" s="107">
        <v>0.74</v>
      </c>
      <c r="E77" s="107">
        <v>0.22389999999999999</v>
      </c>
      <c r="F77" s="107">
        <v>5</v>
      </c>
      <c r="G77" s="107">
        <v>103</v>
      </c>
      <c r="H77" s="108">
        <v>108</v>
      </c>
      <c r="I77" s="105">
        <f>SUM(Table2[[#This Row],[casual]],Table2[[#This Row],[registered]])</f>
        <v>108</v>
      </c>
      <c r="J77" s="113"/>
    </row>
    <row r="78" spans="1:10" ht="14.25">
      <c r="A78" s="106">
        <v>14</v>
      </c>
      <c r="B78" s="107">
        <v>15</v>
      </c>
      <c r="C78" s="107">
        <v>0.45450000000000002</v>
      </c>
      <c r="D78" s="107">
        <v>0.72</v>
      </c>
      <c r="E78" s="107">
        <v>0.28360000000000002</v>
      </c>
      <c r="F78" s="107">
        <v>35</v>
      </c>
      <c r="G78" s="107">
        <v>71</v>
      </c>
      <c r="H78" s="108">
        <v>106</v>
      </c>
      <c r="I78" s="105">
        <f>SUM(Table2[[#This Row],[casual]],Table2[[#This Row],[registered]])</f>
        <v>106</v>
      </c>
      <c r="J78" s="113"/>
    </row>
    <row r="79" spans="1:10" ht="14.25">
      <c r="A79" s="106">
        <v>543</v>
      </c>
      <c r="B79" s="107">
        <v>544</v>
      </c>
      <c r="C79" s="107">
        <v>0.1515</v>
      </c>
      <c r="D79" s="107">
        <v>0.54</v>
      </c>
      <c r="E79" s="107">
        <v>0.16420000000000001</v>
      </c>
      <c r="F79" s="107">
        <v>5</v>
      </c>
      <c r="G79" s="107">
        <v>101</v>
      </c>
      <c r="H79" s="108">
        <v>106</v>
      </c>
      <c r="I79" s="105">
        <f>SUM(Table2[[#This Row],[casual]],Table2[[#This Row],[registered]])</f>
        <v>106</v>
      </c>
      <c r="J79" s="113"/>
    </row>
    <row r="80" spans="1:10" ht="14.25">
      <c r="A80" s="106">
        <v>559</v>
      </c>
      <c r="B80" s="107">
        <v>560</v>
      </c>
      <c r="C80" s="107">
        <v>0.28789999999999999</v>
      </c>
      <c r="D80" s="107">
        <v>0.56000000000000005</v>
      </c>
      <c r="E80" s="107">
        <v>8.9599999999999999E-2</v>
      </c>
      <c r="F80" s="107">
        <v>21</v>
      </c>
      <c r="G80" s="107">
        <v>85</v>
      </c>
      <c r="H80" s="108">
        <v>106</v>
      </c>
      <c r="I80" s="105">
        <f>SUM(Table2[[#This Row],[casual]],Table2[[#This Row],[registered]])</f>
        <v>106</v>
      </c>
      <c r="J80" s="113"/>
    </row>
    <row r="81" spans="1:10" ht="14.25">
      <c r="A81" s="106">
        <v>365</v>
      </c>
      <c r="B81" s="107">
        <v>366</v>
      </c>
      <c r="C81" s="107">
        <v>0.21210000000000001</v>
      </c>
      <c r="D81" s="107">
        <v>0.37</v>
      </c>
      <c r="E81" s="107">
        <v>0.25369999999999998</v>
      </c>
      <c r="F81" s="107">
        <v>23</v>
      </c>
      <c r="G81" s="107">
        <v>82</v>
      </c>
      <c r="H81" s="108">
        <v>105</v>
      </c>
      <c r="I81" s="105">
        <f>SUM(Table2[[#This Row],[casual]],Table2[[#This Row],[registered]])</f>
        <v>105</v>
      </c>
      <c r="J81" s="113"/>
    </row>
    <row r="82" spans="1:10" ht="14.25">
      <c r="A82" s="106">
        <v>360</v>
      </c>
      <c r="B82" s="107">
        <v>361</v>
      </c>
      <c r="C82" s="107">
        <v>0.21210000000000001</v>
      </c>
      <c r="D82" s="107">
        <v>0.41</v>
      </c>
      <c r="E82" s="107">
        <v>0.28360000000000002</v>
      </c>
      <c r="F82" s="107">
        <v>29</v>
      </c>
      <c r="G82" s="107">
        <v>75</v>
      </c>
      <c r="H82" s="108">
        <v>104</v>
      </c>
      <c r="I82" s="105">
        <f>SUM(Table2[[#This Row],[casual]],Table2[[#This Row],[registered]])</f>
        <v>104</v>
      </c>
      <c r="J82" s="113"/>
    </row>
    <row r="83" spans="1:10" ht="14.25">
      <c r="A83" s="106">
        <v>423</v>
      </c>
      <c r="B83" s="107">
        <v>424</v>
      </c>
      <c r="C83" s="107">
        <v>0.39389999999999997</v>
      </c>
      <c r="D83" s="107">
        <v>0.57999999999999996</v>
      </c>
      <c r="E83" s="107">
        <v>0.3881</v>
      </c>
      <c r="F83" s="107">
        <v>10</v>
      </c>
      <c r="G83" s="107">
        <v>94</v>
      </c>
      <c r="H83" s="108">
        <v>104</v>
      </c>
      <c r="I83" s="105">
        <f>SUM(Table2[[#This Row],[casual]],Table2[[#This Row],[registered]])</f>
        <v>104</v>
      </c>
      <c r="J83" s="113"/>
    </row>
    <row r="84" spans="1:10" ht="14.25">
      <c r="A84" s="106">
        <v>589</v>
      </c>
      <c r="B84" s="107">
        <v>590</v>
      </c>
      <c r="C84" s="107">
        <v>0.2273</v>
      </c>
      <c r="D84" s="107">
        <v>0.69</v>
      </c>
      <c r="E84" s="107">
        <v>8.9599999999999999E-2</v>
      </c>
      <c r="F84" s="107">
        <v>3</v>
      </c>
      <c r="G84" s="107">
        <v>101</v>
      </c>
      <c r="H84" s="108">
        <v>104</v>
      </c>
      <c r="I84" s="105">
        <f>SUM(Table2[[#This Row],[casual]],Table2[[#This Row],[registered]])</f>
        <v>104</v>
      </c>
      <c r="J84" s="113"/>
    </row>
    <row r="85" spans="1:10" ht="14.25">
      <c r="A85" s="106">
        <v>493</v>
      </c>
      <c r="B85" s="107">
        <v>494</v>
      </c>
      <c r="C85" s="107">
        <v>0.1515</v>
      </c>
      <c r="D85" s="107">
        <v>0.28000000000000003</v>
      </c>
      <c r="E85" s="107">
        <v>0</v>
      </c>
      <c r="F85" s="107">
        <v>10</v>
      </c>
      <c r="G85" s="107">
        <v>93</v>
      </c>
      <c r="H85" s="108">
        <v>103</v>
      </c>
      <c r="I85" s="105">
        <f>SUM(Table2[[#This Row],[casual]],Table2[[#This Row],[registered]])</f>
        <v>103</v>
      </c>
      <c r="J85" s="113"/>
    </row>
    <row r="86" spans="1:10" ht="14.25">
      <c r="A86" s="106">
        <v>174</v>
      </c>
      <c r="B86" s="107">
        <v>175</v>
      </c>
      <c r="C86" s="107">
        <v>0.18179999999999999</v>
      </c>
      <c r="D86" s="107">
        <v>0.44</v>
      </c>
      <c r="E86" s="107">
        <v>0.32840000000000003</v>
      </c>
      <c r="F86" s="107">
        <v>7</v>
      </c>
      <c r="G86" s="107">
        <v>95</v>
      </c>
      <c r="H86" s="108">
        <v>102</v>
      </c>
      <c r="I86" s="105">
        <f>SUM(Table2[[#This Row],[casual]],Table2[[#This Row],[registered]])</f>
        <v>102</v>
      </c>
      <c r="J86" s="113"/>
    </row>
    <row r="87" spans="1:10" ht="14.25">
      <c r="A87" s="106">
        <v>533</v>
      </c>
      <c r="B87" s="107">
        <v>534</v>
      </c>
      <c r="C87" s="107">
        <v>0.1515</v>
      </c>
      <c r="D87" s="107">
        <v>0.41</v>
      </c>
      <c r="E87" s="107">
        <v>0</v>
      </c>
      <c r="F87" s="107">
        <v>4</v>
      </c>
      <c r="G87" s="107">
        <v>98</v>
      </c>
      <c r="H87" s="108">
        <v>102</v>
      </c>
      <c r="I87" s="105">
        <f>SUM(Table2[[#This Row],[casual]],Table2[[#This Row],[registered]])</f>
        <v>102</v>
      </c>
      <c r="J87" s="113"/>
    </row>
    <row r="88" spans="1:10" ht="14.25">
      <c r="A88" s="106">
        <v>337</v>
      </c>
      <c r="B88" s="107">
        <v>338</v>
      </c>
      <c r="C88" s="107">
        <v>0.2576</v>
      </c>
      <c r="D88" s="107">
        <v>0.38</v>
      </c>
      <c r="E88" s="107">
        <v>0.29849999999999999</v>
      </c>
      <c r="F88" s="107">
        <v>21</v>
      </c>
      <c r="G88" s="107">
        <v>80</v>
      </c>
      <c r="H88" s="108">
        <v>101</v>
      </c>
      <c r="I88" s="105">
        <f>SUM(Table2[[#This Row],[casual]],Table2[[#This Row],[registered]])</f>
        <v>101</v>
      </c>
      <c r="J88" s="113"/>
    </row>
    <row r="89" spans="1:10" ht="14.25">
      <c r="A89" s="106">
        <v>438</v>
      </c>
      <c r="B89" s="107">
        <v>439</v>
      </c>
      <c r="C89" s="107">
        <v>0.21210000000000001</v>
      </c>
      <c r="D89" s="107">
        <v>0.55000000000000004</v>
      </c>
      <c r="E89" s="107">
        <v>0.22389999999999999</v>
      </c>
      <c r="F89" s="107">
        <v>1</v>
      </c>
      <c r="G89" s="107">
        <v>100</v>
      </c>
      <c r="H89" s="108">
        <v>101</v>
      </c>
      <c r="I89" s="105">
        <f>SUM(Table2[[#This Row],[casual]],Table2[[#This Row],[registered]])</f>
        <v>101</v>
      </c>
      <c r="J89" s="113"/>
    </row>
    <row r="90" spans="1:10" ht="14.25">
      <c r="A90" s="106">
        <v>603</v>
      </c>
      <c r="B90" s="107">
        <v>604</v>
      </c>
      <c r="C90" s="107">
        <v>0.21210000000000001</v>
      </c>
      <c r="D90" s="107">
        <v>0.86</v>
      </c>
      <c r="E90" s="107">
        <v>8.9599999999999999E-2</v>
      </c>
      <c r="F90" s="107">
        <v>6</v>
      </c>
      <c r="G90" s="107">
        <v>95</v>
      </c>
      <c r="H90" s="108">
        <v>101</v>
      </c>
      <c r="I90" s="105">
        <f>SUM(Table2[[#This Row],[casual]],Table2[[#This Row],[registered]])</f>
        <v>101</v>
      </c>
      <c r="J90" s="113"/>
    </row>
    <row r="91" spans="1:10" ht="14.25">
      <c r="A91" s="106">
        <v>77</v>
      </c>
      <c r="B91" s="107">
        <v>78</v>
      </c>
      <c r="C91" s="107">
        <v>0.1515</v>
      </c>
      <c r="D91" s="107">
        <v>0.64</v>
      </c>
      <c r="E91" s="107">
        <v>0.22389999999999999</v>
      </c>
      <c r="F91" s="107">
        <v>2</v>
      </c>
      <c r="G91" s="107">
        <v>98</v>
      </c>
      <c r="H91" s="108">
        <v>100</v>
      </c>
      <c r="I91" s="105">
        <f>SUM(Table2[[#This Row],[casual]],Table2[[#This Row],[registered]])</f>
        <v>100</v>
      </c>
      <c r="J91" s="113"/>
    </row>
    <row r="92" spans="1:10" ht="14.25">
      <c r="A92" s="106">
        <v>238</v>
      </c>
      <c r="B92" s="107">
        <v>239</v>
      </c>
      <c r="C92" s="107">
        <v>0.2273</v>
      </c>
      <c r="D92" s="107">
        <v>0.55000000000000004</v>
      </c>
      <c r="E92" s="107">
        <v>0</v>
      </c>
      <c r="F92" s="107">
        <v>2</v>
      </c>
      <c r="G92" s="107">
        <v>97</v>
      </c>
      <c r="H92" s="108">
        <v>99</v>
      </c>
      <c r="I92" s="105">
        <f>SUM(Table2[[#This Row],[casual]],Table2[[#This Row],[registered]])</f>
        <v>99</v>
      </c>
      <c r="J92" s="113"/>
    </row>
    <row r="93" spans="1:10" ht="14.25">
      <c r="A93" s="106">
        <v>296</v>
      </c>
      <c r="B93" s="107">
        <v>297</v>
      </c>
      <c r="C93" s="107">
        <v>0.1515</v>
      </c>
      <c r="D93" s="107">
        <v>0.47</v>
      </c>
      <c r="E93" s="107">
        <v>0.25369999999999998</v>
      </c>
      <c r="F93" s="107">
        <v>1</v>
      </c>
      <c r="G93" s="107">
        <v>98</v>
      </c>
      <c r="H93" s="108">
        <v>99</v>
      </c>
      <c r="I93" s="105">
        <f>SUM(Table2[[#This Row],[casual]],Table2[[#This Row],[registered]])</f>
        <v>99</v>
      </c>
      <c r="J93" s="113"/>
    </row>
    <row r="94" spans="1:10" ht="14.25">
      <c r="A94" s="106">
        <v>364</v>
      </c>
      <c r="B94" s="107">
        <v>365</v>
      </c>
      <c r="C94" s="107">
        <v>0.2273</v>
      </c>
      <c r="D94" s="107">
        <v>0.38</v>
      </c>
      <c r="E94" s="107">
        <v>0.22389999999999999</v>
      </c>
      <c r="F94" s="107">
        <v>22</v>
      </c>
      <c r="G94" s="107">
        <v>77</v>
      </c>
      <c r="H94" s="108">
        <v>99</v>
      </c>
      <c r="I94" s="105">
        <f>SUM(Table2[[#This Row],[casual]],Table2[[#This Row],[registered]])</f>
        <v>99</v>
      </c>
      <c r="J94" s="113"/>
    </row>
    <row r="95" spans="1:10" ht="14.25">
      <c r="A95" s="106">
        <v>403</v>
      </c>
      <c r="B95" s="107">
        <v>404</v>
      </c>
      <c r="C95" s="107">
        <v>0.2273</v>
      </c>
      <c r="D95" s="107">
        <v>0.8</v>
      </c>
      <c r="E95" s="107">
        <v>0.1343</v>
      </c>
      <c r="F95" s="107">
        <v>1</v>
      </c>
      <c r="G95" s="107">
        <v>98</v>
      </c>
      <c r="H95" s="108">
        <v>99</v>
      </c>
      <c r="I95" s="105">
        <f>SUM(Table2[[#This Row],[casual]],Table2[[#This Row],[registered]])</f>
        <v>99</v>
      </c>
      <c r="J95" s="113"/>
    </row>
    <row r="96" spans="1:10" ht="14.25">
      <c r="A96" s="106">
        <v>512</v>
      </c>
      <c r="B96" s="107">
        <v>513</v>
      </c>
      <c r="C96" s="107">
        <v>0.13639999999999999</v>
      </c>
      <c r="D96" s="107">
        <v>0.43</v>
      </c>
      <c r="E96" s="107">
        <v>0.22389999999999999</v>
      </c>
      <c r="F96" s="107">
        <v>22</v>
      </c>
      <c r="G96" s="107">
        <v>77</v>
      </c>
      <c r="H96" s="108">
        <v>99</v>
      </c>
      <c r="I96" s="105">
        <f>SUM(Table2[[#This Row],[casual]],Table2[[#This Row],[registered]])</f>
        <v>99</v>
      </c>
      <c r="J96" s="113"/>
    </row>
    <row r="97" spans="1:10" ht="14.25">
      <c r="A97" s="106">
        <v>173</v>
      </c>
      <c r="B97" s="107">
        <v>174</v>
      </c>
      <c r="C97" s="107">
        <v>0.18179999999999999</v>
      </c>
      <c r="D97" s="107">
        <v>0.59</v>
      </c>
      <c r="E97" s="107">
        <v>0.35820000000000002</v>
      </c>
      <c r="F97" s="107">
        <v>8</v>
      </c>
      <c r="G97" s="107">
        <v>90</v>
      </c>
      <c r="H97" s="108">
        <v>98</v>
      </c>
      <c r="I97" s="105">
        <f>SUM(Table2[[#This Row],[casual]],Table2[[#This Row],[registered]])</f>
        <v>98</v>
      </c>
      <c r="J97" s="113"/>
    </row>
    <row r="98" spans="1:10" ht="14.25">
      <c r="A98" s="106">
        <v>444</v>
      </c>
      <c r="B98" s="107">
        <v>445</v>
      </c>
      <c r="C98" s="107">
        <v>0.28789999999999999</v>
      </c>
      <c r="D98" s="107">
        <v>0.45</v>
      </c>
      <c r="E98" s="107">
        <v>0.1045</v>
      </c>
      <c r="F98" s="107">
        <v>12</v>
      </c>
      <c r="G98" s="107">
        <v>86</v>
      </c>
      <c r="H98" s="108">
        <v>98</v>
      </c>
      <c r="I98" s="105">
        <f>SUM(Table2[[#This Row],[casual]],Table2[[#This Row],[registered]])</f>
        <v>98</v>
      </c>
      <c r="J98" s="113"/>
    </row>
    <row r="99" spans="1:10" ht="14.25">
      <c r="A99" s="106">
        <v>81</v>
      </c>
      <c r="B99" s="107">
        <v>82</v>
      </c>
      <c r="C99" s="107">
        <v>0.2273</v>
      </c>
      <c r="D99" s="107">
        <v>0.56000000000000005</v>
      </c>
      <c r="E99" s="107">
        <v>0.19400000000000001</v>
      </c>
      <c r="F99" s="107">
        <v>18</v>
      </c>
      <c r="G99" s="107">
        <v>79</v>
      </c>
      <c r="H99" s="108">
        <v>97</v>
      </c>
      <c r="I99" s="105">
        <f>SUM(Table2[[#This Row],[casual]],Table2[[#This Row],[registered]])</f>
        <v>97</v>
      </c>
      <c r="J99" s="113"/>
    </row>
    <row r="100" spans="1:10" ht="14.25">
      <c r="A100" s="106">
        <v>471</v>
      </c>
      <c r="B100" s="107">
        <v>472</v>
      </c>
      <c r="C100" s="107">
        <v>0.13639999999999999</v>
      </c>
      <c r="D100" s="107">
        <v>0.26</v>
      </c>
      <c r="E100" s="107">
        <v>0.35820000000000002</v>
      </c>
      <c r="F100" s="107">
        <v>0</v>
      </c>
      <c r="G100" s="107">
        <v>97</v>
      </c>
      <c r="H100" s="108">
        <v>97</v>
      </c>
      <c r="I100" s="105">
        <f>SUM(Table2[[#This Row],[casual]],Table2[[#This Row],[registered]])</f>
        <v>97</v>
      </c>
      <c r="J100" s="113"/>
    </row>
    <row r="101" spans="1:10" ht="14.25">
      <c r="A101" s="106">
        <v>474</v>
      </c>
      <c r="B101" s="107">
        <v>475</v>
      </c>
      <c r="C101" s="107">
        <v>0.1061</v>
      </c>
      <c r="D101" s="107">
        <v>0.3</v>
      </c>
      <c r="E101" s="107">
        <v>0.32840000000000003</v>
      </c>
      <c r="F101" s="107">
        <v>3</v>
      </c>
      <c r="G101" s="107">
        <v>93</v>
      </c>
      <c r="H101" s="108">
        <v>96</v>
      </c>
      <c r="I101" s="105">
        <f>SUM(Table2[[#This Row],[casual]],Table2[[#This Row],[registered]])</f>
        <v>96</v>
      </c>
      <c r="J101" s="113"/>
    </row>
    <row r="102" spans="1:10" ht="14.25">
      <c r="A102" s="106">
        <v>121</v>
      </c>
      <c r="B102" s="107">
        <v>122</v>
      </c>
      <c r="C102" s="107">
        <v>0.2273</v>
      </c>
      <c r="D102" s="107">
        <v>0.59</v>
      </c>
      <c r="E102" s="107">
        <v>0</v>
      </c>
      <c r="F102" s="107">
        <v>0</v>
      </c>
      <c r="G102" s="107">
        <v>95</v>
      </c>
      <c r="H102" s="108">
        <v>95</v>
      </c>
      <c r="I102" s="105">
        <f>SUM(Table2[[#This Row],[casual]],Table2[[#This Row],[registered]])</f>
        <v>95</v>
      </c>
      <c r="J102" s="113"/>
    </row>
    <row r="103" spans="1:10" ht="14.25">
      <c r="A103" s="106">
        <v>156</v>
      </c>
      <c r="B103" s="107">
        <v>157</v>
      </c>
      <c r="C103" s="107">
        <v>0.19700000000000001</v>
      </c>
      <c r="D103" s="107">
        <v>0.55000000000000004</v>
      </c>
      <c r="E103" s="107">
        <v>8.9599999999999999E-2</v>
      </c>
      <c r="F103" s="107">
        <v>3</v>
      </c>
      <c r="G103" s="107">
        <v>92</v>
      </c>
      <c r="H103" s="108">
        <v>95</v>
      </c>
      <c r="I103" s="105">
        <f>SUM(Table2[[#This Row],[casual]],Table2[[#This Row],[registered]])</f>
        <v>95</v>
      </c>
      <c r="J103" s="113"/>
    </row>
    <row r="104" spans="1:10" ht="14.25">
      <c r="A104" s="106">
        <v>175</v>
      </c>
      <c r="B104" s="107">
        <v>176</v>
      </c>
      <c r="C104" s="107">
        <v>0.16669999999999999</v>
      </c>
      <c r="D104" s="107">
        <v>0.32</v>
      </c>
      <c r="E104" s="107">
        <v>0.49249999999999999</v>
      </c>
      <c r="F104" s="107">
        <v>12</v>
      </c>
      <c r="G104" s="107">
        <v>83</v>
      </c>
      <c r="H104" s="108">
        <v>95</v>
      </c>
      <c r="I104" s="105">
        <f>SUM(Table2[[#This Row],[casual]],Table2[[#This Row],[registered]])</f>
        <v>95</v>
      </c>
      <c r="J104" s="113"/>
    </row>
    <row r="105" spans="1:10" ht="14.25">
      <c r="A105" s="106">
        <v>228</v>
      </c>
      <c r="B105" s="107">
        <v>229</v>
      </c>
      <c r="C105" s="107">
        <v>0.16669999999999999</v>
      </c>
      <c r="D105" s="107">
        <v>0.47</v>
      </c>
      <c r="E105" s="107">
        <v>0.16420000000000001</v>
      </c>
      <c r="F105" s="107">
        <v>3</v>
      </c>
      <c r="G105" s="107">
        <v>92</v>
      </c>
      <c r="H105" s="108">
        <v>95</v>
      </c>
      <c r="I105" s="105">
        <f>SUM(Table2[[#This Row],[casual]],Table2[[#This Row],[registered]])</f>
        <v>95</v>
      </c>
      <c r="J105" s="113"/>
    </row>
    <row r="106" spans="1:10" ht="14.25">
      <c r="A106" s="106">
        <v>249</v>
      </c>
      <c r="B106" s="107">
        <v>250</v>
      </c>
      <c r="C106" s="107">
        <v>0.18179999999999999</v>
      </c>
      <c r="D106" s="107">
        <v>0.93</v>
      </c>
      <c r="E106" s="107">
        <v>0.1045</v>
      </c>
      <c r="F106" s="107">
        <v>1</v>
      </c>
      <c r="G106" s="107">
        <v>94</v>
      </c>
      <c r="H106" s="108">
        <v>95</v>
      </c>
      <c r="I106" s="105">
        <f>SUM(Table2[[#This Row],[casual]],Table2[[#This Row],[registered]])</f>
        <v>95</v>
      </c>
      <c r="J106" s="113"/>
    </row>
    <row r="107" spans="1:10" ht="14.25">
      <c r="A107" s="106">
        <v>13</v>
      </c>
      <c r="B107" s="107">
        <v>14</v>
      </c>
      <c r="C107" s="107">
        <v>0.45450000000000002</v>
      </c>
      <c r="D107" s="107">
        <v>0.72</v>
      </c>
      <c r="E107" s="107">
        <v>0.29849999999999999</v>
      </c>
      <c r="F107" s="107">
        <v>47</v>
      </c>
      <c r="G107" s="107">
        <v>47</v>
      </c>
      <c r="H107" s="108">
        <v>94</v>
      </c>
      <c r="I107" s="105">
        <f>SUM(Table2[[#This Row],[casual]],Table2[[#This Row],[registered]])</f>
        <v>94</v>
      </c>
      <c r="J107" s="113"/>
    </row>
    <row r="108" spans="1:10" ht="14.25">
      <c r="A108" s="106">
        <v>75</v>
      </c>
      <c r="B108" s="107">
        <v>76</v>
      </c>
      <c r="C108" s="107">
        <v>0.1515</v>
      </c>
      <c r="D108" s="107">
        <v>0.74</v>
      </c>
      <c r="E108" s="107">
        <v>0.1343</v>
      </c>
      <c r="F108" s="107">
        <v>2</v>
      </c>
      <c r="G108" s="107">
        <v>92</v>
      </c>
      <c r="H108" s="108">
        <v>94</v>
      </c>
      <c r="I108" s="105">
        <f>SUM(Table2[[#This Row],[casual]],Table2[[#This Row],[registered]])</f>
        <v>94</v>
      </c>
      <c r="J108" s="113"/>
    </row>
    <row r="109" spans="1:10" ht="14.25">
      <c r="A109" s="106">
        <v>218</v>
      </c>
      <c r="B109" s="107">
        <v>219</v>
      </c>
      <c r="C109" s="107">
        <v>0.1212</v>
      </c>
      <c r="D109" s="107">
        <v>0.5</v>
      </c>
      <c r="E109" s="107">
        <v>0.25369999999999998</v>
      </c>
      <c r="F109" s="107">
        <v>2</v>
      </c>
      <c r="G109" s="107">
        <v>92</v>
      </c>
      <c r="H109" s="108">
        <v>94</v>
      </c>
      <c r="I109" s="105">
        <f>SUM(Table2[[#This Row],[casual]],Table2[[#This Row],[registered]])</f>
        <v>94</v>
      </c>
      <c r="J109" s="113"/>
    </row>
    <row r="110" spans="1:10" ht="14.25">
      <c r="A110" s="106">
        <v>16</v>
      </c>
      <c r="B110" s="107">
        <v>17</v>
      </c>
      <c r="C110" s="107">
        <v>0.42420000000000002</v>
      </c>
      <c r="D110" s="107">
        <v>0.82</v>
      </c>
      <c r="E110" s="107">
        <v>0.29849999999999999</v>
      </c>
      <c r="F110" s="107">
        <v>41</v>
      </c>
      <c r="G110" s="107">
        <v>52</v>
      </c>
      <c r="H110" s="108">
        <v>93</v>
      </c>
      <c r="I110" s="105">
        <f>SUM(Table2[[#This Row],[casual]],Table2[[#This Row],[registered]])</f>
        <v>93</v>
      </c>
      <c r="J110" s="113"/>
    </row>
    <row r="111" spans="1:10" ht="14.25">
      <c r="A111" s="106">
        <v>35</v>
      </c>
      <c r="B111" s="107">
        <v>36</v>
      </c>
      <c r="C111" s="107">
        <v>0.33329999999999999</v>
      </c>
      <c r="D111" s="107">
        <v>0.66</v>
      </c>
      <c r="E111" s="107">
        <v>0.29849999999999999</v>
      </c>
      <c r="F111" s="107">
        <v>20</v>
      </c>
      <c r="G111" s="107">
        <v>73</v>
      </c>
      <c r="H111" s="108">
        <v>93</v>
      </c>
      <c r="I111" s="105">
        <f>SUM(Table2[[#This Row],[casual]],Table2[[#This Row],[registered]])</f>
        <v>93</v>
      </c>
      <c r="J111" s="113"/>
    </row>
    <row r="112" spans="1:10" ht="14.25">
      <c r="A112" s="106">
        <v>359</v>
      </c>
      <c r="B112" s="107">
        <v>360</v>
      </c>
      <c r="C112" s="107">
        <v>0.2273</v>
      </c>
      <c r="D112" s="107">
        <v>0.44</v>
      </c>
      <c r="E112" s="107">
        <v>0.25369999999999998</v>
      </c>
      <c r="F112" s="107">
        <v>23</v>
      </c>
      <c r="G112" s="107">
        <v>70</v>
      </c>
      <c r="H112" s="108">
        <v>93</v>
      </c>
      <c r="I112" s="105">
        <f>SUM(Table2[[#This Row],[casual]],Table2[[#This Row],[registered]])</f>
        <v>93</v>
      </c>
      <c r="J112" s="113"/>
    </row>
    <row r="113" spans="1:10" ht="14.25">
      <c r="A113" s="106">
        <v>385</v>
      </c>
      <c r="B113" s="107">
        <v>386</v>
      </c>
      <c r="C113" s="107">
        <v>0.19700000000000001</v>
      </c>
      <c r="D113" s="107">
        <v>0.47</v>
      </c>
      <c r="E113" s="107">
        <v>0.1343</v>
      </c>
      <c r="F113" s="107">
        <v>13</v>
      </c>
      <c r="G113" s="107">
        <v>80</v>
      </c>
      <c r="H113" s="108">
        <v>93</v>
      </c>
      <c r="I113" s="105">
        <f>SUM(Table2[[#This Row],[casual]],Table2[[#This Row],[registered]])</f>
        <v>93</v>
      </c>
      <c r="J113" s="113"/>
    </row>
    <row r="114" spans="1:10" ht="14.25">
      <c r="A114" s="106">
        <v>387</v>
      </c>
      <c r="B114" s="107">
        <v>388</v>
      </c>
      <c r="C114" s="107">
        <v>0.21210000000000001</v>
      </c>
      <c r="D114" s="107">
        <v>0.47</v>
      </c>
      <c r="E114" s="107">
        <v>0.16420000000000001</v>
      </c>
      <c r="F114" s="107">
        <v>21</v>
      </c>
      <c r="G114" s="107">
        <v>72</v>
      </c>
      <c r="H114" s="108">
        <v>93</v>
      </c>
      <c r="I114" s="105">
        <f>SUM(Table2[[#This Row],[casual]],Table2[[#This Row],[registered]])</f>
        <v>93</v>
      </c>
      <c r="J114" s="113"/>
    </row>
    <row r="115" spans="1:10" ht="14.25">
      <c r="A115" s="106">
        <v>560</v>
      </c>
      <c r="B115" s="107">
        <v>561</v>
      </c>
      <c r="C115" s="107">
        <v>0.2727</v>
      </c>
      <c r="D115" s="107">
        <v>0.56000000000000005</v>
      </c>
      <c r="E115" s="107">
        <v>0.1343</v>
      </c>
      <c r="F115" s="107">
        <v>21</v>
      </c>
      <c r="G115" s="107">
        <v>72</v>
      </c>
      <c r="H115" s="108">
        <v>93</v>
      </c>
      <c r="I115" s="105">
        <f>SUM(Table2[[#This Row],[casual]],Table2[[#This Row],[registered]])</f>
        <v>93</v>
      </c>
      <c r="J115" s="113"/>
    </row>
    <row r="116" spans="1:10" ht="14.25">
      <c r="A116" s="106">
        <v>201</v>
      </c>
      <c r="B116" s="107">
        <v>202</v>
      </c>
      <c r="C116" s="107">
        <v>0.16669999999999999</v>
      </c>
      <c r="D116" s="107">
        <v>0.34</v>
      </c>
      <c r="E116" s="107">
        <v>0.44779999999999998</v>
      </c>
      <c r="F116" s="107">
        <v>13</v>
      </c>
      <c r="G116" s="107">
        <v>79</v>
      </c>
      <c r="H116" s="108">
        <v>92</v>
      </c>
      <c r="I116" s="105">
        <f>SUM(Table2[[#This Row],[casual]],Table2[[#This Row],[registered]])</f>
        <v>92</v>
      </c>
      <c r="J116" s="113"/>
    </row>
    <row r="117" spans="1:10" ht="14.25">
      <c r="A117" s="106">
        <v>319</v>
      </c>
      <c r="B117" s="107">
        <v>320</v>
      </c>
      <c r="C117" s="107">
        <v>0.19700000000000001</v>
      </c>
      <c r="D117" s="107">
        <v>0.59</v>
      </c>
      <c r="E117" s="107">
        <v>8.9599999999999999E-2</v>
      </c>
      <c r="F117" s="107">
        <v>3</v>
      </c>
      <c r="G117" s="107">
        <v>89</v>
      </c>
      <c r="H117" s="108">
        <v>92</v>
      </c>
      <c r="I117" s="105">
        <f>SUM(Table2[[#This Row],[casual]],Table2[[#This Row],[registered]])</f>
        <v>92</v>
      </c>
      <c r="J117" s="113"/>
    </row>
    <row r="118" spans="1:10" ht="14.25">
      <c r="A118" s="106">
        <v>390</v>
      </c>
      <c r="B118" s="107">
        <v>391</v>
      </c>
      <c r="C118" s="107">
        <v>0.16669999999999999</v>
      </c>
      <c r="D118" s="107">
        <v>0.55000000000000004</v>
      </c>
      <c r="E118" s="107">
        <v>0.25369999999999998</v>
      </c>
      <c r="F118" s="107">
        <v>7</v>
      </c>
      <c r="G118" s="107">
        <v>85</v>
      </c>
      <c r="H118" s="108">
        <v>92</v>
      </c>
      <c r="I118" s="105">
        <f>SUM(Table2[[#This Row],[casual]],Table2[[#This Row],[registered]])</f>
        <v>92</v>
      </c>
      <c r="J118" s="113"/>
    </row>
    <row r="119" spans="1:10" ht="14.25">
      <c r="A119" s="106">
        <v>362</v>
      </c>
      <c r="B119" s="107">
        <v>363</v>
      </c>
      <c r="C119" s="107">
        <v>0.2727</v>
      </c>
      <c r="D119" s="107">
        <v>0.36</v>
      </c>
      <c r="E119" s="107">
        <v>0.25369999999999998</v>
      </c>
      <c r="F119" s="107">
        <v>22</v>
      </c>
      <c r="G119" s="107">
        <v>69</v>
      </c>
      <c r="H119" s="108">
        <v>91</v>
      </c>
      <c r="I119" s="105">
        <f>SUM(Table2[[#This Row],[casual]],Table2[[#This Row],[registered]])</f>
        <v>91</v>
      </c>
      <c r="J119" s="113"/>
    </row>
    <row r="120" spans="1:10" ht="14.25">
      <c r="A120" s="106">
        <v>447</v>
      </c>
      <c r="B120" s="107">
        <v>448</v>
      </c>
      <c r="C120" s="107">
        <v>0.30299999999999999</v>
      </c>
      <c r="D120" s="107">
        <v>0.49</v>
      </c>
      <c r="E120" s="107">
        <v>0.1343</v>
      </c>
      <c r="F120" s="107">
        <v>8</v>
      </c>
      <c r="G120" s="107">
        <v>83</v>
      </c>
      <c r="H120" s="108">
        <v>91</v>
      </c>
      <c r="I120" s="105">
        <f>SUM(Table2[[#This Row],[casual]],Table2[[#This Row],[registered]])</f>
        <v>91</v>
      </c>
      <c r="J120" s="113"/>
    </row>
    <row r="121" spans="1:10" ht="14.25">
      <c r="A121" s="106">
        <v>316</v>
      </c>
      <c r="B121" s="107">
        <v>317</v>
      </c>
      <c r="C121" s="107">
        <v>0.2424</v>
      </c>
      <c r="D121" s="107">
        <v>0.41</v>
      </c>
      <c r="E121" s="107">
        <v>0.1045</v>
      </c>
      <c r="F121" s="107">
        <v>3</v>
      </c>
      <c r="G121" s="107">
        <v>87</v>
      </c>
      <c r="H121" s="108">
        <v>90</v>
      </c>
      <c r="I121" s="105">
        <f>SUM(Table2[[#This Row],[casual]],Table2[[#This Row],[registered]])</f>
        <v>90</v>
      </c>
      <c r="J121" s="113"/>
    </row>
    <row r="122" spans="1:10" ht="14.25">
      <c r="A122" s="106">
        <v>414</v>
      </c>
      <c r="B122" s="107">
        <v>415</v>
      </c>
      <c r="C122" s="107">
        <v>0.2576</v>
      </c>
      <c r="D122" s="107">
        <v>0.92</v>
      </c>
      <c r="E122" s="107">
        <v>0.1045</v>
      </c>
      <c r="F122" s="107">
        <v>1</v>
      </c>
      <c r="G122" s="107">
        <v>89</v>
      </c>
      <c r="H122" s="108">
        <v>90</v>
      </c>
      <c r="I122" s="105">
        <f>SUM(Table2[[#This Row],[casual]],Table2[[#This Row],[registered]])</f>
        <v>90</v>
      </c>
      <c r="J122" s="113"/>
    </row>
    <row r="123" spans="1:10" ht="14.25">
      <c r="A123" s="106">
        <v>107</v>
      </c>
      <c r="B123" s="107">
        <v>108</v>
      </c>
      <c r="C123" s="107">
        <v>0.31819999999999998</v>
      </c>
      <c r="D123" s="107">
        <v>0.28000000000000003</v>
      </c>
      <c r="E123" s="107">
        <v>8.9599999999999999E-2</v>
      </c>
      <c r="F123" s="107">
        <v>4</v>
      </c>
      <c r="G123" s="107">
        <v>85</v>
      </c>
      <c r="H123" s="108">
        <v>89</v>
      </c>
      <c r="I123" s="105">
        <f>SUM(Table2[[#This Row],[casual]],Table2[[#This Row],[registered]])</f>
        <v>89</v>
      </c>
      <c r="J123" s="113"/>
    </row>
    <row r="124" spans="1:10" ht="14.25">
      <c r="A124" s="106">
        <v>111</v>
      </c>
      <c r="B124" s="107">
        <v>112</v>
      </c>
      <c r="C124" s="107">
        <v>0.2273</v>
      </c>
      <c r="D124" s="107">
        <v>0.47</v>
      </c>
      <c r="E124" s="107">
        <v>0.16420000000000001</v>
      </c>
      <c r="F124" s="107">
        <v>7</v>
      </c>
      <c r="G124" s="107">
        <v>82</v>
      </c>
      <c r="H124" s="108">
        <v>89</v>
      </c>
      <c r="I124" s="105">
        <f>SUM(Table2[[#This Row],[casual]],Table2[[#This Row],[registered]])</f>
        <v>89</v>
      </c>
      <c r="J124" s="113"/>
    </row>
    <row r="125" spans="1:10" ht="14.25">
      <c r="A125" s="106">
        <v>336</v>
      </c>
      <c r="B125" s="107">
        <v>337</v>
      </c>
      <c r="C125" s="107">
        <v>0.2273</v>
      </c>
      <c r="D125" s="107">
        <v>0.48</v>
      </c>
      <c r="E125" s="107">
        <v>0.22389999999999999</v>
      </c>
      <c r="F125" s="107">
        <v>15</v>
      </c>
      <c r="G125" s="107">
        <v>74</v>
      </c>
      <c r="H125" s="108">
        <v>89</v>
      </c>
      <c r="I125" s="105">
        <f>SUM(Table2[[#This Row],[casual]],Table2[[#This Row],[registered]])</f>
        <v>89</v>
      </c>
      <c r="J125" s="113"/>
    </row>
    <row r="126" spans="1:10" ht="14.25">
      <c r="A126" s="106">
        <v>54</v>
      </c>
      <c r="B126" s="107">
        <v>55</v>
      </c>
      <c r="C126" s="107">
        <v>0.13639999999999999</v>
      </c>
      <c r="D126" s="107">
        <v>0.43</v>
      </c>
      <c r="E126" s="107">
        <v>0.3881</v>
      </c>
      <c r="F126" s="107">
        <v>7</v>
      </c>
      <c r="G126" s="107">
        <v>81</v>
      </c>
      <c r="H126" s="108">
        <v>88</v>
      </c>
      <c r="I126" s="105">
        <f>SUM(Table2[[#This Row],[casual]],Table2[[#This Row],[registered]])</f>
        <v>88</v>
      </c>
      <c r="J126" s="113"/>
    </row>
    <row r="127" spans="1:10" ht="14.25">
      <c r="A127" s="106">
        <v>98</v>
      </c>
      <c r="B127" s="107">
        <v>99</v>
      </c>
      <c r="C127" s="107">
        <v>0.18179999999999999</v>
      </c>
      <c r="D127" s="107">
        <v>0.43</v>
      </c>
      <c r="E127" s="107">
        <v>0.19400000000000001</v>
      </c>
      <c r="F127" s="107">
        <v>1</v>
      </c>
      <c r="G127" s="107">
        <v>87</v>
      </c>
      <c r="H127" s="108">
        <v>88</v>
      </c>
      <c r="I127" s="105">
        <f>SUM(Table2[[#This Row],[casual]],Table2[[#This Row],[registered]])</f>
        <v>88</v>
      </c>
      <c r="J127" s="113"/>
    </row>
    <row r="128" spans="1:10" ht="14.25">
      <c r="A128" s="106">
        <v>153</v>
      </c>
      <c r="B128" s="107">
        <v>154</v>
      </c>
      <c r="C128" s="107">
        <v>0.21210000000000001</v>
      </c>
      <c r="D128" s="107">
        <v>0.37</v>
      </c>
      <c r="E128" s="107">
        <v>0.16420000000000001</v>
      </c>
      <c r="F128" s="107">
        <v>5</v>
      </c>
      <c r="G128" s="107">
        <v>82</v>
      </c>
      <c r="H128" s="108">
        <v>87</v>
      </c>
      <c r="I128" s="105">
        <f>SUM(Table2[[#This Row],[casual]],Table2[[#This Row],[registered]])</f>
        <v>87</v>
      </c>
      <c r="J128" s="113"/>
    </row>
    <row r="129" spans="1:10" ht="14.25">
      <c r="A129" s="106">
        <v>514</v>
      </c>
      <c r="B129" s="107">
        <v>515</v>
      </c>
      <c r="C129" s="107">
        <v>0.1061</v>
      </c>
      <c r="D129" s="107">
        <v>0.33</v>
      </c>
      <c r="E129" s="107">
        <v>0.3881</v>
      </c>
      <c r="F129" s="107">
        <v>12</v>
      </c>
      <c r="G129" s="107">
        <v>75</v>
      </c>
      <c r="H129" s="108">
        <v>87</v>
      </c>
      <c r="I129" s="105">
        <f>SUM(Table2[[#This Row],[casual]],Table2[[#This Row],[registered]])</f>
        <v>87</v>
      </c>
      <c r="J129" s="113"/>
    </row>
    <row r="130" spans="1:10" ht="14.25">
      <c r="A130" s="106">
        <v>130</v>
      </c>
      <c r="B130" s="107">
        <v>131</v>
      </c>
      <c r="C130" s="107">
        <v>0.2576</v>
      </c>
      <c r="D130" s="107">
        <v>0.38</v>
      </c>
      <c r="E130" s="107">
        <v>0.16420000000000001</v>
      </c>
      <c r="F130" s="107">
        <v>12</v>
      </c>
      <c r="G130" s="107">
        <v>74</v>
      </c>
      <c r="H130" s="108">
        <v>86</v>
      </c>
      <c r="I130" s="105">
        <f>SUM(Table2[[#This Row],[casual]],Table2[[#This Row],[registered]])</f>
        <v>86</v>
      </c>
      <c r="J130" s="113"/>
    </row>
    <row r="131" spans="1:10" ht="14.25">
      <c r="A131" s="106">
        <v>386</v>
      </c>
      <c r="B131" s="107">
        <v>387</v>
      </c>
      <c r="C131" s="107">
        <v>0.21210000000000001</v>
      </c>
      <c r="D131" s="107">
        <v>0.43</v>
      </c>
      <c r="E131" s="107">
        <v>0.1045</v>
      </c>
      <c r="F131" s="107">
        <v>12</v>
      </c>
      <c r="G131" s="107">
        <v>74</v>
      </c>
      <c r="H131" s="108">
        <v>86</v>
      </c>
      <c r="I131" s="105">
        <f>SUM(Table2[[#This Row],[casual]],Table2[[#This Row],[registered]])</f>
        <v>86</v>
      </c>
      <c r="J131" s="113"/>
    </row>
    <row r="132" spans="1:10" ht="14.25">
      <c r="A132" s="106">
        <v>12</v>
      </c>
      <c r="B132" s="107">
        <v>13</v>
      </c>
      <c r="C132" s="107">
        <v>0.42420000000000002</v>
      </c>
      <c r="D132" s="107">
        <v>0.77</v>
      </c>
      <c r="E132" s="107">
        <v>0.28360000000000002</v>
      </c>
      <c r="F132" s="107">
        <v>29</v>
      </c>
      <c r="G132" s="107">
        <v>55</v>
      </c>
      <c r="H132" s="108">
        <v>84</v>
      </c>
      <c r="I132" s="105">
        <f>SUM(Table2[[#This Row],[casual]],Table2[[#This Row],[registered]])</f>
        <v>84</v>
      </c>
      <c r="J132" s="113"/>
    </row>
    <row r="133" spans="1:10" ht="14.25">
      <c r="A133" s="106">
        <v>126</v>
      </c>
      <c r="B133" s="107">
        <v>127</v>
      </c>
      <c r="C133" s="107">
        <v>0.28789999999999999</v>
      </c>
      <c r="D133" s="107">
        <v>0.35</v>
      </c>
      <c r="E133" s="107">
        <v>0</v>
      </c>
      <c r="F133" s="107">
        <v>6</v>
      </c>
      <c r="G133" s="107">
        <v>78</v>
      </c>
      <c r="H133" s="108">
        <v>84</v>
      </c>
      <c r="I133" s="105">
        <f>SUM(Table2[[#This Row],[casual]],Table2[[#This Row],[registered]])</f>
        <v>84</v>
      </c>
      <c r="J133" s="113"/>
    </row>
    <row r="134" spans="1:10" ht="14.25">
      <c r="A134" s="106">
        <v>144</v>
      </c>
      <c r="B134" s="107">
        <v>145</v>
      </c>
      <c r="C134" s="107">
        <v>0.21210000000000001</v>
      </c>
      <c r="D134" s="107">
        <v>0.69</v>
      </c>
      <c r="E134" s="107">
        <v>0.1343</v>
      </c>
      <c r="F134" s="107">
        <v>8</v>
      </c>
      <c r="G134" s="107">
        <v>76</v>
      </c>
      <c r="H134" s="108">
        <v>84</v>
      </c>
      <c r="I134" s="105">
        <f>SUM(Table2[[#This Row],[casual]],Table2[[#This Row],[registered]])</f>
        <v>84</v>
      </c>
      <c r="J134" s="113"/>
    </row>
    <row r="135" spans="1:10" ht="14.25">
      <c r="A135" s="106">
        <v>342</v>
      </c>
      <c r="B135" s="107">
        <v>343</v>
      </c>
      <c r="C135" s="107">
        <v>0.28789999999999999</v>
      </c>
      <c r="D135" s="107">
        <v>0.45</v>
      </c>
      <c r="E135" s="107">
        <v>0.25369999999999998</v>
      </c>
      <c r="F135" s="107">
        <v>15</v>
      </c>
      <c r="G135" s="107">
        <v>69</v>
      </c>
      <c r="H135" s="108">
        <v>84</v>
      </c>
      <c r="I135" s="105">
        <f>SUM(Table2[[#This Row],[casual]],Table2[[#This Row],[registered]])</f>
        <v>84</v>
      </c>
      <c r="J135" s="113"/>
    </row>
    <row r="136" spans="1:10" ht="14.25">
      <c r="A136" s="106">
        <v>443</v>
      </c>
      <c r="B136" s="107">
        <v>444</v>
      </c>
      <c r="C136" s="107">
        <v>0.33329999999999999</v>
      </c>
      <c r="D136" s="107">
        <v>0.42</v>
      </c>
      <c r="E136" s="107">
        <v>0</v>
      </c>
      <c r="F136" s="107">
        <v>7</v>
      </c>
      <c r="G136" s="107">
        <v>77</v>
      </c>
      <c r="H136" s="108">
        <v>84</v>
      </c>
      <c r="I136" s="105">
        <f>SUM(Table2[[#This Row],[casual]],Table2[[#This Row],[registered]])</f>
        <v>84</v>
      </c>
      <c r="J136" s="113"/>
    </row>
    <row r="137" spans="1:10" ht="14.25">
      <c r="A137" s="106">
        <v>491</v>
      </c>
      <c r="B137" s="107">
        <v>492</v>
      </c>
      <c r="C137" s="107">
        <v>0.16669999999999999</v>
      </c>
      <c r="D137" s="107">
        <v>0.35</v>
      </c>
      <c r="E137" s="107">
        <v>0</v>
      </c>
      <c r="F137" s="107">
        <v>12</v>
      </c>
      <c r="G137" s="107">
        <v>72</v>
      </c>
      <c r="H137" s="108">
        <v>84</v>
      </c>
      <c r="I137" s="105">
        <f>SUM(Table2[[#This Row],[casual]],Table2[[#This Row],[registered]])</f>
        <v>84</v>
      </c>
      <c r="J137" s="113"/>
    </row>
    <row r="138" spans="1:10" ht="14.25">
      <c r="A138" s="106">
        <v>531</v>
      </c>
      <c r="B138" s="107">
        <v>532</v>
      </c>
      <c r="C138" s="107">
        <v>0.1212</v>
      </c>
      <c r="D138" s="107">
        <v>0.48</v>
      </c>
      <c r="E138" s="107">
        <v>0</v>
      </c>
      <c r="F138" s="107">
        <v>5</v>
      </c>
      <c r="G138" s="107">
        <v>79</v>
      </c>
      <c r="H138" s="108">
        <v>84</v>
      </c>
      <c r="I138" s="105">
        <f>SUM(Table2[[#This Row],[casual]],Table2[[#This Row],[registered]])</f>
        <v>84</v>
      </c>
      <c r="J138" s="113"/>
    </row>
    <row r="139" spans="1:10" ht="14.25">
      <c r="A139" s="106">
        <v>562</v>
      </c>
      <c r="B139" s="107">
        <v>563</v>
      </c>
      <c r="C139" s="107">
        <v>0.34849999999999998</v>
      </c>
      <c r="D139" s="107">
        <v>0.42</v>
      </c>
      <c r="E139" s="107">
        <v>0</v>
      </c>
      <c r="F139" s="107">
        <v>21</v>
      </c>
      <c r="G139" s="107">
        <v>63</v>
      </c>
      <c r="H139" s="108">
        <v>84</v>
      </c>
      <c r="I139" s="105">
        <f>SUM(Table2[[#This Row],[casual]],Table2[[#This Row],[registered]])</f>
        <v>84</v>
      </c>
      <c r="J139" s="113"/>
    </row>
    <row r="140" spans="1:10" ht="14.25">
      <c r="A140" s="106">
        <v>588</v>
      </c>
      <c r="B140" s="107">
        <v>589</v>
      </c>
      <c r="C140" s="107">
        <v>0.2424</v>
      </c>
      <c r="D140" s="107">
        <v>0.55000000000000004</v>
      </c>
      <c r="E140" s="107">
        <v>0.1045</v>
      </c>
      <c r="F140" s="107">
        <v>2</v>
      </c>
      <c r="G140" s="107">
        <v>82</v>
      </c>
      <c r="H140" s="108">
        <v>84</v>
      </c>
      <c r="I140" s="105">
        <f>SUM(Table2[[#This Row],[casual]],Table2[[#This Row],[registered]])</f>
        <v>84</v>
      </c>
      <c r="J140" s="113"/>
    </row>
    <row r="141" spans="1:10" ht="14.25">
      <c r="A141" s="106">
        <v>84</v>
      </c>
      <c r="B141" s="107">
        <v>85</v>
      </c>
      <c r="C141" s="107">
        <v>0.28789999999999999</v>
      </c>
      <c r="D141" s="107">
        <v>0.49</v>
      </c>
      <c r="E141" s="107">
        <v>0.25369999999999998</v>
      </c>
      <c r="F141" s="107">
        <v>15</v>
      </c>
      <c r="G141" s="107">
        <v>68</v>
      </c>
      <c r="H141" s="108">
        <v>83</v>
      </c>
      <c r="I141" s="105">
        <f>SUM(Table2[[#This Row],[casual]],Table2[[#This Row],[registered]])</f>
        <v>83</v>
      </c>
      <c r="J141" s="113"/>
    </row>
    <row r="142" spans="1:10" ht="14.25">
      <c r="A142" s="106">
        <v>197</v>
      </c>
      <c r="B142" s="107">
        <v>198</v>
      </c>
      <c r="C142" s="107">
        <v>0.13639999999999999</v>
      </c>
      <c r="D142" s="107">
        <v>0.37</v>
      </c>
      <c r="E142" s="107">
        <v>0.44779999999999998</v>
      </c>
      <c r="F142" s="107">
        <v>4</v>
      </c>
      <c r="G142" s="107">
        <v>79</v>
      </c>
      <c r="H142" s="108">
        <v>83</v>
      </c>
      <c r="I142" s="105">
        <f>SUM(Table2[[#This Row],[casual]],Table2[[#This Row],[registered]])</f>
        <v>83</v>
      </c>
      <c r="J142" s="113"/>
    </row>
    <row r="143" spans="1:10" ht="14.25">
      <c r="A143" s="106">
        <v>272</v>
      </c>
      <c r="B143" s="107">
        <v>273</v>
      </c>
      <c r="C143" s="107">
        <v>0.1515</v>
      </c>
      <c r="D143" s="107">
        <v>0.47</v>
      </c>
      <c r="E143" s="107">
        <v>0.41789999999999999</v>
      </c>
      <c r="F143" s="107">
        <v>1</v>
      </c>
      <c r="G143" s="107">
        <v>82</v>
      </c>
      <c r="H143" s="108">
        <v>83</v>
      </c>
      <c r="I143" s="105">
        <f>SUM(Table2[[#This Row],[casual]],Table2[[#This Row],[registered]])</f>
        <v>83</v>
      </c>
      <c r="J143" s="113"/>
    </row>
    <row r="144" spans="1:10" ht="14.25">
      <c r="A144" s="106">
        <v>290</v>
      </c>
      <c r="B144" s="107">
        <v>291</v>
      </c>
      <c r="C144" s="107">
        <v>0.19700000000000001</v>
      </c>
      <c r="D144" s="107">
        <v>0.41</v>
      </c>
      <c r="E144" s="107">
        <v>0.44779999999999998</v>
      </c>
      <c r="F144" s="107">
        <v>2</v>
      </c>
      <c r="G144" s="107">
        <v>81</v>
      </c>
      <c r="H144" s="108">
        <v>83</v>
      </c>
      <c r="I144" s="105">
        <f>SUM(Table2[[#This Row],[casual]],Table2[[#This Row],[registered]])</f>
        <v>83</v>
      </c>
      <c r="J144" s="113"/>
    </row>
    <row r="145" spans="1:10" ht="14.25">
      <c r="A145" s="106">
        <v>341</v>
      </c>
      <c r="B145" s="107">
        <v>342</v>
      </c>
      <c r="C145" s="107">
        <v>0.30299999999999999</v>
      </c>
      <c r="D145" s="107">
        <v>0.36</v>
      </c>
      <c r="E145" s="107">
        <v>0.28360000000000002</v>
      </c>
      <c r="F145" s="107">
        <v>29</v>
      </c>
      <c r="G145" s="107">
        <v>54</v>
      </c>
      <c r="H145" s="108">
        <v>83</v>
      </c>
      <c r="I145" s="105">
        <f>SUM(Table2[[#This Row],[casual]],Table2[[#This Row],[registered]])</f>
        <v>83</v>
      </c>
      <c r="J145" s="113"/>
    </row>
    <row r="146" spans="1:10" ht="14.25">
      <c r="A146" s="106">
        <v>404</v>
      </c>
      <c r="B146" s="107">
        <v>405</v>
      </c>
      <c r="C146" s="107">
        <v>0.2727</v>
      </c>
      <c r="D146" s="107">
        <v>0.87</v>
      </c>
      <c r="E146" s="107">
        <v>0</v>
      </c>
      <c r="F146" s="107">
        <v>0</v>
      </c>
      <c r="G146" s="107">
        <v>83</v>
      </c>
      <c r="H146" s="108">
        <v>83</v>
      </c>
      <c r="I146" s="105">
        <f>SUM(Table2[[#This Row],[casual]],Table2[[#This Row],[registered]])</f>
        <v>83</v>
      </c>
      <c r="J146" s="113"/>
    </row>
    <row r="147" spans="1:10" ht="14.25">
      <c r="A147" s="106">
        <v>494</v>
      </c>
      <c r="B147" s="107">
        <v>495</v>
      </c>
      <c r="C147" s="107">
        <v>0.13639999999999999</v>
      </c>
      <c r="D147" s="107">
        <v>0.28000000000000003</v>
      </c>
      <c r="E147" s="107">
        <v>0.19400000000000001</v>
      </c>
      <c r="F147" s="107">
        <v>11</v>
      </c>
      <c r="G147" s="107">
        <v>72</v>
      </c>
      <c r="H147" s="108">
        <v>83</v>
      </c>
      <c r="I147" s="105">
        <f>SUM(Table2[[#This Row],[casual]],Table2[[#This Row],[registered]])</f>
        <v>83</v>
      </c>
      <c r="J147" s="113"/>
    </row>
    <row r="148" spans="1:10" ht="14.25">
      <c r="A148" s="106">
        <v>200</v>
      </c>
      <c r="B148" s="107">
        <v>201</v>
      </c>
      <c r="C148" s="107">
        <v>0.19700000000000001</v>
      </c>
      <c r="D148" s="107">
        <v>0.35</v>
      </c>
      <c r="E148" s="107">
        <v>0.35820000000000002</v>
      </c>
      <c r="F148" s="107">
        <v>5</v>
      </c>
      <c r="G148" s="107">
        <v>77</v>
      </c>
      <c r="H148" s="108">
        <v>82</v>
      </c>
      <c r="I148" s="105">
        <f>SUM(Table2[[#This Row],[casual]],Table2[[#This Row],[registered]])</f>
        <v>82</v>
      </c>
      <c r="J148" s="113"/>
    </row>
    <row r="149" spans="1:10" ht="14.25">
      <c r="A149" s="106">
        <v>388</v>
      </c>
      <c r="B149" s="107">
        <v>389</v>
      </c>
      <c r="C149" s="107">
        <v>0.21210000000000001</v>
      </c>
      <c r="D149" s="107">
        <v>0.47</v>
      </c>
      <c r="E149" s="107">
        <v>0.16420000000000001</v>
      </c>
      <c r="F149" s="107">
        <v>6</v>
      </c>
      <c r="G149" s="107">
        <v>76</v>
      </c>
      <c r="H149" s="108">
        <v>82</v>
      </c>
      <c r="I149" s="105">
        <f>SUM(Table2[[#This Row],[casual]],Table2[[#This Row],[registered]])</f>
        <v>82</v>
      </c>
      <c r="J149" s="113"/>
    </row>
    <row r="150" spans="1:10" ht="14.25">
      <c r="A150" s="106">
        <v>422</v>
      </c>
      <c r="B150" s="107">
        <v>423</v>
      </c>
      <c r="C150" s="107">
        <v>0.40910000000000002</v>
      </c>
      <c r="D150" s="107">
        <v>0.54</v>
      </c>
      <c r="E150" s="107">
        <v>0.28360000000000002</v>
      </c>
      <c r="F150" s="107">
        <v>4</v>
      </c>
      <c r="G150" s="107">
        <v>78</v>
      </c>
      <c r="H150" s="108">
        <v>82</v>
      </c>
      <c r="I150" s="105">
        <f>SUM(Table2[[#This Row],[casual]],Table2[[#This Row],[registered]])</f>
        <v>82</v>
      </c>
      <c r="J150" s="113"/>
    </row>
    <row r="151" spans="1:10" ht="14.25">
      <c r="A151" s="106">
        <v>262</v>
      </c>
      <c r="B151" s="107">
        <v>263</v>
      </c>
      <c r="C151" s="107">
        <v>0.13639999999999999</v>
      </c>
      <c r="D151" s="107">
        <v>0.59</v>
      </c>
      <c r="E151" s="107">
        <v>0.32840000000000003</v>
      </c>
      <c r="F151" s="107">
        <v>3</v>
      </c>
      <c r="G151" s="107">
        <v>78</v>
      </c>
      <c r="H151" s="108">
        <v>81</v>
      </c>
      <c r="I151" s="105">
        <f>SUM(Table2[[#This Row],[casual]],Table2[[#This Row],[registered]])</f>
        <v>81</v>
      </c>
      <c r="J151" s="113"/>
    </row>
    <row r="152" spans="1:10" ht="14.25">
      <c r="A152" s="106">
        <v>445</v>
      </c>
      <c r="B152" s="107">
        <v>446</v>
      </c>
      <c r="C152" s="107">
        <v>0.30299999999999999</v>
      </c>
      <c r="D152" s="107">
        <v>0.45</v>
      </c>
      <c r="E152" s="107">
        <v>0.1343</v>
      </c>
      <c r="F152" s="107">
        <v>6</v>
      </c>
      <c r="G152" s="107">
        <v>75</v>
      </c>
      <c r="H152" s="108">
        <v>81</v>
      </c>
      <c r="I152" s="105">
        <f>SUM(Table2[[#This Row],[casual]],Table2[[#This Row],[registered]])</f>
        <v>81</v>
      </c>
      <c r="J152" s="113"/>
    </row>
    <row r="153" spans="1:10" ht="14.25">
      <c r="A153" s="106">
        <v>544</v>
      </c>
      <c r="B153" s="107">
        <v>545</v>
      </c>
      <c r="C153" s="107">
        <v>0.13639999999999999</v>
      </c>
      <c r="D153" s="107">
        <v>0.59</v>
      </c>
      <c r="E153" s="107">
        <v>0.19400000000000001</v>
      </c>
      <c r="F153" s="107">
        <v>1</v>
      </c>
      <c r="G153" s="107">
        <v>80</v>
      </c>
      <c r="H153" s="108">
        <v>81</v>
      </c>
      <c r="I153" s="105">
        <f>SUM(Table2[[#This Row],[casual]],Table2[[#This Row],[registered]])</f>
        <v>81</v>
      </c>
      <c r="J153" s="113"/>
    </row>
    <row r="154" spans="1:10" ht="14.25">
      <c r="A154" s="106">
        <v>384</v>
      </c>
      <c r="B154" s="107">
        <v>385</v>
      </c>
      <c r="C154" s="107">
        <v>0.19700000000000001</v>
      </c>
      <c r="D154" s="107">
        <v>0.47</v>
      </c>
      <c r="E154" s="107">
        <v>0.1343</v>
      </c>
      <c r="F154" s="107">
        <v>10</v>
      </c>
      <c r="G154" s="107">
        <v>70</v>
      </c>
      <c r="H154" s="108">
        <v>80</v>
      </c>
      <c r="I154" s="105">
        <f>SUM(Table2[[#This Row],[casual]],Table2[[#This Row],[registered]])</f>
        <v>80</v>
      </c>
      <c r="J154" s="113"/>
    </row>
    <row r="155" spans="1:10" ht="14.25">
      <c r="A155" s="106">
        <v>103</v>
      </c>
      <c r="B155" s="107">
        <v>104</v>
      </c>
      <c r="C155" s="107">
        <v>0.2273</v>
      </c>
      <c r="D155" s="107">
        <v>0.33</v>
      </c>
      <c r="E155" s="107">
        <v>0.32840000000000003</v>
      </c>
      <c r="F155" s="107">
        <v>5</v>
      </c>
      <c r="G155" s="107">
        <v>74</v>
      </c>
      <c r="H155" s="108">
        <v>79</v>
      </c>
      <c r="I155" s="105">
        <f>SUM(Table2[[#This Row],[casual]],Table2[[#This Row],[registered]])</f>
        <v>79</v>
      </c>
      <c r="J155" s="113"/>
    </row>
    <row r="156" spans="1:10" ht="14.25">
      <c r="A156" s="106">
        <v>358</v>
      </c>
      <c r="B156" s="107">
        <v>359</v>
      </c>
      <c r="C156" s="107">
        <v>0.21210000000000001</v>
      </c>
      <c r="D156" s="107">
        <v>0.51</v>
      </c>
      <c r="E156" s="107">
        <v>0.28360000000000002</v>
      </c>
      <c r="F156" s="107">
        <v>8</v>
      </c>
      <c r="G156" s="107">
        <v>71</v>
      </c>
      <c r="H156" s="108">
        <v>79</v>
      </c>
      <c r="I156" s="105">
        <f>SUM(Table2[[#This Row],[casual]],Table2[[#This Row],[registered]])</f>
        <v>79</v>
      </c>
      <c r="J156" s="113"/>
    </row>
    <row r="157" spans="1:10" ht="14.25">
      <c r="A157" s="106">
        <v>590</v>
      </c>
      <c r="B157" s="107">
        <v>591</v>
      </c>
      <c r="C157" s="107">
        <v>0.2273</v>
      </c>
      <c r="D157" s="107">
        <v>0.69</v>
      </c>
      <c r="E157" s="107">
        <v>8.9599999999999999E-2</v>
      </c>
      <c r="F157" s="107">
        <v>3</v>
      </c>
      <c r="G157" s="107">
        <v>76</v>
      </c>
      <c r="H157" s="108">
        <v>79</v>
      </c>
      <c r="I157" s="105">
        <f>SUM(Table2[[#This Row],[casual]],Table2[[#This Row],[registered]])</f>
        <v>79</v>
      </c>
      <c r="J157" s="113"/>
    </row>
    <row r="158" spans="1:10" ht="14.25">
      <c r="A158" s="106">
        <v>80</v>
      </c>
      <c r="B158" s="107">
        <v>81</v>
      </c>
      <c r="C158" s="107">
        <v>0.2273</v>
      </c>
      <c r="D158" s="107">
        <v>0.51</v>
      </c>
      <c r="E158" s="107">
        <v>0.16420000000000001</v>
      </c>
      <c r="F158" s="107">
        <v>12</v>
      </c>
      <c r="G158" s="107">
        <v>66</v>
      </c>
      <c r="H158" s="108">
        <v>78</v>
      </c>
      <c r="I158" s="105">
        <f>SUM(Table2[[#This Row],[casual]],Table2[[#This Row],[registered]])</f>
        <v>78</v>
      </c>
      <c r="J158" s="113"/>
    </row>
    <row r="159" spans="1:10" ht="14.25">
      <c r="A159" s="106">
        <v>293</v>
      </c>
      <c r="B159" s="107">
        <v>294</v>
      </c>
      <c r="C159" s="107">
        <v>0.21210000000000001</v>
      </c>
      <c r="D159" s="107">
        <v>0.38</v>
      </c>
      <c r="E159" s="107">
        <v>0.35820000000000002</v>
      </c>
      <c r="F159" s="107">
        <v>2</v>
      </c>
      <c r="G159" s="107">
        <v>76</v>
      </c>
      <c r="H159" s="108">
        <v>78</v>
      </c>
      <c r="I159" s="105">
        <f>SUM(Table2[[#This Row],[casual]],Table2[[#This Row],[registered]])</f>
        <v>78</v>
      </c>
      <c r="J159" s="113"/>
    </row>
    <row r="160" spans="1:10" ht="14.25">
      <c r="A160" s="106">
        <v>420</v>
      </c>
      <c r="B160" s="107">
        <v>421</v>
      </c>
      <c r="C160" s="107">
        <v>0.40910000000000002</v>
      </c>
      <c r="D160" s="107">
        <v>0.62</v>
      </c>
      <c r="E160" s="107">
        <v>0.28360000000000002</v>
      </c>
      <c r="F160" s="107">
        <v>11</v>
      </c>
      <c r="G160" s="107">
        <v>67</v>
      </c>
      <c r="H160" s="108">
        <v>78</v>
      </c>
      <c r="I160" s="105">
        <f>SUM(Table2[[#This Row],[casual]],Table2[[#This Row],[registered]])</f>
        <v>78</v>
      </c>
      <c r="J160" s="113"/>
    </row>
    <row r="161" spans="1:10" ht="14.25">
      <c r="A161" s="106">
        <v>467</v>
      </c>
      <c r="B161" s="107">
        <v>468</v>
      </c>
      <c r="C161" s="107">
        <v>0.18179999999999999</v>
      </c>
      <c r="D161" s="107">
        <v>0.27</v>
      </c>
      <c r="E161" s="107">
        <v>0.58209999999999995</v>
      </c>
      <c r="F161" s="107">
        <v>11</v>
      </c>
      <c r="G161" s="107">
        <v>67</v>
      </c>
      <c r="H161" s="108">
        <v>78</v>
      </c>
      <c r="I161" s="105">
        <f>SUM(Table2[[#This Row],[casual]],Table2[[#This Row],[registered]])</f>
        <v>78</v>
      </c>
      <c r="J161" s="113"/>
    </row>
    <row r="162" spans="1:10" ht="14.25">
      <c r="A162" s="106">
        <v>59</v>
      </c>
      <c r="B162" s="107">
        <v>60</v>
      </c>
      <c r="C162" s="107">
        <v>0.2424</v>
      </c>
      <c r="D162" s="107">
        <v>0.3</v>
      </c>
      <c r="E162" s="107">
        <v>0.28360000000000002</v>
      </c>
      <c r="F162" s="107">
        <v>11</v>
      </c>
      <c r="G162" s="107">
        <v>66</v>
      </c>
      <c r="H162" s="108">
        <v>77</v>
      </c>
      <c r="I162" s="105">
        <f>SUM(Table2[[#This Row],[casual]],Table2[[#This Row],[registered]])</f>
        <v>77</v>
      </c>
      <c r="J162" s="113"/>
    </row>
    <row r="163" spans="1:10" ht="14.25">
      <c r="A163" s="106">
        <v>216</v>
      </c>
      <c r="B163" s="107">
        <v>217</v>
      </c>
      <c r="C163" s="107">
        <v>0.1212</v>
      </c>
      <c r="D163" s="107">
        <v>0.5</v>
      </c>
      <c r="E163" s="107">
        <v>0.22389999999999999</v>
      </c>
      <c r="F163" s="107">
        <v>2</v>
      </c>
      <c r="G163" s="107">
        <v>75</v>
      </c>
      <c r="H163" s="108">
        <v>77</v>
      </c>
      <c r="I163" s="105">
        <f>SUM(Table2[[#This Row],[casual]],Table2[[#This Row],[registered]])</f>
        <v>77</v>
      </c>
      <c r="J163" s="113"/>
    </row>
    <row r="164" spans="1:10" ht="14.25">
      <c r="A164" s="106">
        <v>313</v>
      </c>
      <c r="B164" s="107">
        <v>314</v>
      </c>
      <c r="C164" s="107">
        <v>0.19700000000000001</v>
      </c>
      <c r="D164" s="107">
        <v>0.37</v>
      </c>
      <c r="E164" s="107">
        <v>0.3881</v>
      </c>
      <c r="F164" s="107">
        <v>4</v>
      </c>
      <c r="G164" s="107">
        <v>73</v>
      </c>
      <c r="H164" s="108">
        <v>77</v>
      </c>
      <c r="I164" s="105">
        <f>SUM(Table2[[#This Row],[casual]],Table2[[#This Row],[registered]])</f>
        <v>77</v>
      </c>
      <c r="J164" s="113"/>
    </row>
    <row r="165" spans="1:10" ht="14.25">
      <c r="A165" s="106">
        <v>516</v>
      </c>
      <c r="B165" s="107">
        <v>517</v>
      </c>
      <c r="C165" s="107">
        <v>0.13639999999999999</v>
      </c>
      <c r="D165" s="107">
        <v>0.28000000000000003</v>
      </c>
      <c r="E165" s="107">
        <v>0.35820000000000002</v>
      </c>
      <c r="F165" s="107">
        <v>13</v>
      </c>
      <c r="G165" s="107">
        <v>64</v>
      </c>
      <c r="H165" s="108">
        <v>77</v>
      </c>
      <c r="I165" s="105">
        <f>SUM(Table2[[#This Row],[casual]],Table2[[#This Row],[registered]])</f>
        <v>77</v>
      </c>
      <c r="J165" s="113"/>
    </row>
    <row r="166" spans="1:10" ht="14.25">
      <c r="A166" s="106">
        <v>39</v>
      </c>
      <c r="B166" s="107">
        <v>40</v>
      </c>
      <c r="C166" s="107">
        <v>0.33329999999999999</v>
      </c>
      <c r="D166" s="107">
        <v>0.71</v>
      </c>
      <c r="E166" s="107">
        <v>0.16420000000000001</v>
      </c>
      <c r="F166" s="107">
        <v>9</v>
      </c>
      <c r="G166" s="107">
        <v>67</v>
      </c>
      <c r="H166" s="108">
        <v>76</v>
      </c>
      <c r="I166" s="105">
        <f>SUM(Table2[[#This Row],[casual]],Table2[[#This Row],[registered]])</f>
        <v>76</v>
      </c>
      <c r="J166" s="113"/>
    </row>
    <row r="167" spans="1:10" ht="14.25">
      <c r="A167" s="106">
        <v>61</v>
      </c>
      <c r="B167" s="107">
        <v>62</v>
      </c>
      <c r="C167" s="107">
        <v>0.2424</v>
      </c>
      <c r="D167" s="107">
        <v>0.3</v>
      </c>
      <c r="E167" s="107">
        <v>0.25369999999999998</v>
      </c>
      <c r="F167" s="107">
        <v>9</v>
      </c>
      <c r="G167" s="107">
        <v>67</v>
      </c>
      <c r="H167" s="108">
        <v>76</v>
      </c>
      <c r="I167" s="105">
        <f>SUM(Table2[[#This Row],[casual]],Table2[[#This Row],[registered]])</f>
        <v>76</v>
      </c>
      <c r="J167" s="113"/>
    </row>
    <row r="168" spans="1:10" ht="14.25">
      <c r="A168" s="106">
        <v>177</v>
      </c>
      <c r="B168" s="107">
        <v>178</v>
      </c>
      <c r="C168" s="107">
        <v>0.13639999999999999</v>
      </c>
      <c r="D168" s="107">
        <v>0.28999999999999998</v>
      </c>
      <c r="E168" s="107">
        <v>0.44779999999999998</v>
      </c>
      <c r="F168" s="107">
        <v>8</v>
      </c>
      <c r="G168" s="107">
        <v>68</v>
      </c>
      <c r="H168" s="108">
        <v>76</v>
      </c>
      <c r="I168" s="105">
        <f>SUM(Table2[[#This Row],[casual]],Table2[[#This Row],[registered]])</f>
        <v>76</v>
      </c>
      <c r="J168" s="113"/>
    </row>
    <row r="169" spans="1:10" ht="14.25">
      <c r="A169" s="106">
        <v>247</v>
      </c>
      <c r="B169" s="107">
        <v>248</v>
      </c>
      <c r="C169" s="107">
        <v>0.1515</v>
      </c>
      <c r="D169" s="107">
        <v>0.86</v>
      </c>
      <c r="E169" s="107">
        <v>0.22389999999999999</v>
      </c>
      <c r="F169" s="107">
        <v>4</v>
      </c>
      <c r="G169" s="107">
        <v>72</v>
      </c>
      <c r="H169" s="108">
        <v>76</v>
      </c>
      <c r="I169" s="105">
        <f>SUM(Table2[[#This Row],[casual]],Table2[[#This Row],[registered]])</f>
        <v>76</v>
      </c>
      <c r="J169" s="113"/>
    </row>
    <row r="170" spans="1:10" ht="14.25">
      <c r="A170" s="106">
        <v>427</v>
      </c>
      <c r="B170" s="107">
        <v>428</v>
      </c>
      <c r="C170" s="107">
        <v>0.30299999999999999</v>
      </c>
      <c r="D170" s="107">
        <v>0.49</v>
      </c>
      <c r="E170" s="107">
        <v>0.29849999999999999</v>
      </c>
      <c r="F170" s="107">
        <v>2</v>
      </c>
      <c r="G170" s="107">
        <v>74</v>
      </c>
      <c r="H170" s="108">
        <v>76</v>
      </c>
      <c r="I170" s="105">
        <f>SUM(Table2[[#This Row],[casual]],Table2[[#This Row],[registered]])</f>
        <v>76</v>
      </c>
      <c r="J170" s="113"/>
    </row>
    <row r="171" spans="1:10" ht="14.25">
      <c r="A171" s="106">
        <v>36</v>
      </c>
      <c r="B171" s="107">
        <v>37</v>
      </c>
      <c r="C171" s="107">
        <v>0.34849999999999998</v>
      </c>
      <c r="D171" s="107">
        <v>0.66</v>
      </c>
      <c r="E171" s="107">
        <v>0.1343</v>
      </c>
      <c r="F171" s="107">
        <v>11</v>
      </c>
      <c r="G171" s="107">
        <v>64</v>
      </c>
      <c r="H171" s="108">
        <v>75</v>
      </c>
      <c r="I171" s="105">
        <f>SUM(Table2[[#This Row],[casual]],Table2[[#This Row],[registered]])</f>
        <v>75</v>
      </c>
      <c r="J171" s="113"/>
    </row>
    <row r="172" spans="1:10" ht="14.25">
      <c r="A172" s="106">
        <v>198</v>
      </c>
      <c r="B172" s="107">
        <v>199</v>
      </c>
      <c r="C172" s="107">
        <v>0.16669999999999999</v>
      </c>
      <c r="D172" s="107">
        <v>0.34</v>
      </c>
      <c r="E172" s="107">
        <v>0.44779999999999998</v>
      </c>
      <c r="F172" s="107">
        <v>6</v>
      </c>
      <c r="G172" s="107">
        <v>69</v>
      </c>
      <c r="H172" s="108">
        <v>75</v>
      </c>
      <c r="I172" s="105">
        <f>SUM(Table2[[#This Row],[casual]],Table2[[#This Row],[registered]])</f>
        <v>75</v>
      </c>
      <c r="J172" s="113"/>
    </row>
    <row r="173" spans="1:10" ht="14.25">
      <c r="A173" s="106">
        <v>421</v>
      </c>
      <c r="B173" s="107">
        <v>422</v>
      </c>
      <c r="C173" s="107">
        <v>0.40910000000000002</v>
      </c>
      <c r="D173" s="107">
        <v>0.57999999999999996</v>
      </c>
      <c r="E173" s="107">
        <v>0.25369999999999998</v>
      </c>
      <c r="F173" s="107">
        <v>7</v>
      </c>
      <c r="G173" s="107">
        <v>68</v>
      </c>
      <c r="H173" s="108">
        <v>75</v>
      </c>
      <c r="I173" s="105">
        <f>SUM(Table2[[#This Row],[casual]],Table2[[#This Row],[registered]])</f>
        <v>75</v>
      </c>
      <c r="J173" s="113"/>
    </row>
    <row r="174" spans="1:10" ht="14.25">
      <c r="A174" s="106">
        <v>492</v>
      </c>
      <c r="B174" s="107">
        <v>493</v>
      </c>
      <c r="C174" s="107">
        <v>0.13639999999999999</v>
      </c>
      <c r="D174" s="107">
        <v>0.33</v>
      </c>
      <c r="E174" s="107">
        <v>0.1045</v>
      </c>
      <c r="F174" s="107">
        <v>11</v>
      </c>
      <c r="G174" s="107">
        <v>64</v>
      </c>
      <c r="H174" s="108">
        <v>75</v>
      </c>
      <c r="I174" s="105">
        <f>SUM(Table2[[#This Row],[casual]],Table2[[#This Row],[registered]])</f>
        <v>75</v>
      </c>
      <c r="J174" s="113"/>
    </row>
    <row r="175" spans="1:10" ht="14.25">
      <c r="A175" s="106">
        <v>38</v>
      </c>
      <c r="B175" s="107">
        <v>39</v>
      </c>
      <c r="C175" s="107">
        <v>0.33329999999999999</v>
      </c>
      <c r="D175" s="107">
        <v>0.81</v>
      </c>
      <c r="E175" s="107">
        <v>0.16420000000000001</v>
      </c>
      <c r="F175" s="107">
        <v>19</v>
      </c>
      <c r="G175" s="107">
        <v>55</v>
      </c>
      <c r="H175" s="108">
        <v>74</v>
      </c>
      <c r="I175" s="105">
        <f>SUM(Table2[[#This Row],[casual]],Table2[[#This Row],[registered]])</f>
        <v>74</v>
      </c>
      <c r="J175" s="113"/>
    </row>
    <row r="176" spans="1:10" ht="14.25">
      <c r="A176" s="106">
        <v>176</v>
      </c>
      <c r="B176" s="107">
        <v>177</v>
      </c>
      <c r="C176" s="107">
        <v>0.16669999999999999</v>
      </c>
      <c r="D176" s="107">
        <v>0.32</v>
      </c>
      <c r="E176" s="107">
        <v>0.44779999999999998</v>
      </c>
      <c r="F176" s="107">
        <v>5</v>
      </c>
      <c r="G176" s="107">
        <v>69</v>
      </c>
      <c r="H176" s="108">
        <v>74</v>
      </c>
      <c r="I176" s="105">
        <f>SUM(Table2[[#This Row],[casual]],Table2[[#This Row],[registered]])</f>
        <v>74</v>
      </c>
      <c r="J176" s="113"/>
    </row>
    <row r="177" spans="1:10" ht="14.25">
      <c r="A177" s="106">
        <v>225</v>
      </c>
      <c r="B177" s="107">
        <v>226</v>
      </c>
      <c r="C177" s="107">
        <v>0.21210000000000001</v>
      </c>
      <c r="D177" s="107">
        <v>0.4</v>
      </c>
      <c r="E177" s="107">
        <v>0.1343</v>
      </c>
      <c r="F177" s="107">
        <v>4</v>
      </c>
      <c r="G177" s="107">
        <v>70</v>
      </c>
      <c r="H177" s="108">
        <v>74</v>
      </c>
      <c r="I177" s="105">
        <f>SUM(Table2[[#This Row],[casual]],Table2[[#This Row],[registered]])</f>
        <v>74</v>
      </c>
      <c r="J177" s="113"/>
    </row>
    <row r="178" spans="1:10" ht="14.25">
      <c r="A178" s="106">
        <v>229</v>
      </c>
      <c r="B178" s="107">
        <v>230</v>
      </c>
      <c r="C178" s="107">
        <v>0.16669999999999999</v>
      </c>
      <c r="D178" s="107">
        <v>0.5</v>
      </c>
      <c r="E178" s="107">
        <v>0.16420000000000001</v>
      </c>
      <c r="F178" s="107">
        <v>1</v>
      </c>
      <c r="G178" s="107">
        <v>73</v>
      </c>
      <c r="H178" s="108">
        <v>74</v>
      </c>
      <c r="I178" s="105">
        <f>SUM(Table2[[#This Row],[casual]],Table2[[#This Row],[registered]])</f>
        <v>74</v>
      </c>
      <c r="J178" s="113"/>
    </row>
    <row r="179" spans="1:10" ht="14.25">
      <c r="A179" s="106">
        <v>343</v>
      </c>
      <c r="B179" s="107">
        <v>344</v>
      </c>
      <c r="C179" s="107">
        <v>0.30299999999999999</v>
      </c>
      <c r="D179" s="107">
        <v>0.39</v>
      </c>
      <c r="E179" s="107">
        <v>0.25369999999999998</v>
      </c>
      <c r="F179" s="107">
        <v>14</v>
      </c>
      <c r="G179" s="107">
        <v>60</v>
      </c>
      <c r="H179" s="108">
        <v>74</v>
      </c>
      <c r="I179" s="105">
        <f>SUM(Table2[[#This Row],[casual]],Table2[[#This Row],[registered]])</f>
        <v>74</v>
      </c>
      <c r="J179" s="113"/>
    </row>
    <row r="180" spans="1:10" ht="14.25">
      <c r="A180" s="106">
        <v>150</v>
      </c>
      <c r="B180" s="107">
        <v>151</v>
      </c>
      <c r="C180" s="107">
        <v>0.18179999999999999</v>
      </c>
      <c r="D180" s="107">
        <v>0.37</v>
      </c>
      <c r="E180" s="107">
        <v>0.28360000000000002</v>
      </c>
      <c r="F180" s="107">
        <v>9</v>
      </c>
      <c r="G180" s="107">
        <v>64</v>
      </c>
      <c r="H180" s="108">
        <v>73</v>
      </c>
      <c r="I180" s="105">
        <f>SUM(Table2[[#This Row],[casual]],Table2[[#This Row],[registered]])</f>
        <v>73</v>
      </c>
      <c r="J180" s="113"/>
    </row>
    <row r="181" spans="1:10" ht="14.25">
      <c r="A181" s="106">
        <v>468</v>
      </c>
      <c r="B181" s="107">
        <v>469</v>
      </c>
      <c r="C181" s="107">
        <v>0.1515</v>
      </c>
      <c r="D181" s="107">
        <v>0.21</v>
      </c>
      <c r="E181" s="107">
        <v>0.58209999999999995</v>
      </c>
      <c r="F181" s="107">
        <v>8</v>
      </c>
      <c r="G181" s="107">
        <v>65</v>
      </c>
      <c r="H181" s="108">
        <v>73</v>
      </c>
      <c r="I181" s="105">
        <f>SUM(Table2[[#This Row],[casual]],Table2[[#This Row],[registered]])</f>
        <v>73</v>
      </c>
      <c r="J181" s="113"/>
    </row>
    <row r="182" spans="1:10" ht="14.25">
      <c r="A182" s="106">
        <v>60</v>
      </c>
      <c r="B182" s="107">
        <v>61</v>
      </c>
      <c r="C182" s="107">
        <v>0.2424</v>
      </c>
      <c r="D182" s="107">
        <v>0.3</v>
      </c>
      <c r="E182" s="107">
        <v>0.25369999999999998</v>
      </c>
      <c r="F182" s="107">
        <v>14</v>
      </c>
      <c r="G182" s="107">
        <v>58</v>
      </c>
      <c r="H182" s="108">
        <v>72</v>
      </c>
      <c r="I182" s="105">
        <f>SUM(Table2[[#This Row],[casual]],Table2[[#This Row],[registered]])</f>
        <v>72</v>
      </c>
      <c r="J182" s="113"/>
    </row>
    <row r="183" spans="1:10" ht="14.25">
      <c r="A183" s="106">
        <v>152</v>
      </c>
      <c r="B183" s="107">
        <v>153</v>
      </c>
      <c r="C183" s="107">
        <v>0.21210000000000001</v>
      </c>
      <c r="D183" s="107">
        <v>0.37</v>
      </c>
      <c r="E183" s="107">
        <v>0.16420000000000001</v>
      </c>
      <c r="F183" s="107">
        <v>9</v>
      </c>
      <c r="G183" s="107">
        <v>63</v>
      </c>
      <c r="H183" s="108">
        <v>72</v>
      </c>
      <c r="I183" s="105">
        <f>SUM(Table2[[#This Row],[casual]],Table2[[#This Row],[registered]])</f>
        <v>72</v>
      </c>
      <c r="J183" s="113"/>
    </row>
    <row r="184" spans="1:10" ht="14.25">
      <c r="A184" s="106">
        <v>199</v>
      </c>
      <c r="B184" s="107">
        <v>200</v>
      </c>
      <c r="C184" s="107">
        <v>0.18179999999999999</v>
      </c>
      <c r="D184" s="107">
        <v>0.32</v>
      </c>
      <c r="E184" s="107">
        <v>0.4627</v>
      </c>
      <c r="F184" s="107">
        <v>8</v>
      </c>
      <c r="G184" s="107">
        <v>64</v>
      </c>
      <c r="H184" s="108">
        <v>72</v>
      </c>
      <c r="I184" s="105">
        <f>SUM(Table2[[#This Row],[casual]],Table2[[#This Row],[registered]])</f>
        <v>72</v>
      </c>
      <c r="J184" s="113"/>
    </row>
    <row r="185" spans="1:10" ht="14.25">
      <c r="A185" s="106">
        <v>284</v>
      </c>
      <c r="B185" s="107">
        <v>285</v>
      </c>
      <c r="C185" s="107">
        <v>0.1515</v>
      </c>
      <c r="D185" s="107">
        <v>0.54</v>
      </c>
      <c r="E185" s="107">
        <v>0.1343</v>
      </c>
      <c r="F185" s="107">
        <v>0</v>
      </c>
      <c r="G185" s="107">
        <v>72</v>
      </c>
      <c r="H185" s="108">
        <v>72</v>
      </c>
      <c r="I185" s="105">
        <f>SUM(Table2[[#This Row],[casual]],Table2[[#This Row],[registered]])</f>
        <v>72</v>
      </c>
      <c r="J185" s="113"/>
    </row>
    <row r="186" spans="1:10" ht="14.25">
      <c r="A186" s="106">
        <v>335</v>
      </c>
      <c r="B186" s="107">
        <v>336</v>
      </c>
      <c r="C186" s="107">
        <v>0.19700000000000001</v>
      </c>
      <c r="D186" s="107">
        <v>0.55000000000000004</v>
      </c>
      <c r="E186" s="107">
        <v>0.22389999999999999</v>
      </c>
      <c r="F186" s="107">
        <v>18</v>
      </c>
      <c r="G186" s="107">
        <v>54</v>
      </c>
      <c r="H186" s="108">
        <v>72</v>
      </c>
      <c r="I186" s="105">
        <f>SUM(Table2[[#This Row],[casual]],Table2[[#This Row],[registered]])</f>
        <v>72</v>
      </c>
      <c r="J186" s="113"/>
    </row>
    <row r="187" spans="1:10" ht="14.25">
      <c r="A187" s="106">
        <v>577</v>
      </c>
      <c r="B187" s="107">
        <v>578</v>
      </c>
      <c r="C187" s="107">
        <v>0.21210000000000001</v>
      </c>
      <c r="D187" s="107">
        <v>0.87</v>
      </c>
      <c r="E187" s="107">
        <v>0.29849999999999999</v>
      </c>
      <c r="F187" s="107">
        <v>3</v>
      </c>
      <c r="G187" s="107">
        <v>69</v>
      </c>
      <c r="H187" s="108">
        <v>72</v>
      </c>
      <c r="I187" s="105">
        <f>SUM(Table2[[#This Row],[casual]],Table2[[#This Row],[registered]])</f>
        <v>72</v>
      </c>
      <c r="J187" s="113"/>
    </row>
    <row r="188" spans="1:10" ht="14.25">
      <c r="A188" s="106">
        <v>104</v>
      </c>
      <c r="B188" s="107">
        <v>105</v>
      </c>
      <c r="C188" s="107">
        <v>0.2576</v>
      </c>
      <c r="D188" s="107">
        <v>0.3</v>
      </c>
      <c r="E188" s="107">
        <v>0.29849999999999999</v>
      </c>
      <c r="F188" s="107">
        <v>6</v>
      </c>
      <c r="G188" s="107">
        <v>65</v>
      </c>
      <c r="H188" s="108">
        <v>71</v>
      </c>
      <c r="I188" s="105">
        <f>SUM(Table2[[#This Row],[casual]],Table2[[#This Row],[registered]])</f>
        <v>71</v>
      </c>
      <c r="J188" s="113"/>
    </row>
    <row r="189" spans="1:10" ht="14.25">
      <c r="A189" s="106">
        <v>389</v>
      </c>
      <c r="B189" s="107">
        <v>390</v>
      </c>
      <c r="C189" s="107">
        <v>0.19700000000000001</v>
      </c>
      <c r="D189" s="107">
        <v>0.51</v>
      </c>
      <c r="E189" s="107">
        <v>0.19400000000000001</v>
      </c>
      <c r="F189" s="107">
        <v>4</v>
      </c>
      <c r="G189" s="107">
        <v>67</v>
      </c>
      <c r="H189" s="108">
        <v>71</v>
      </c>
      <c r="I189" s="105">
        <f>SUM(Table2[[#This Row],[casual]],Table2[[#This Row],[registered]])</f>
        <v>71</v>
      </c>
      <c r="J189" s="113"/>
    </row>
    <row r="190" spans="1:10" ht="14.25">
      <c r="A190" s="106">
        <v>34</v>
      </c>
      <c r="B190" s="107">
        <v>35</v>
      </c>
      <c r="C190" s="107">
        <v>0.33329999999999999</v>
      </c>
      <c r="D190" s="107">
        <v>0.71</v>
      </c>
      <c r="E190" s="107">
        <v>0.25369999999999998</v>
      </c>
      <c r="F190" s="107">
        <v>16</v>
      </c>
      <c r="G190" s="107">
        <v>54</v>
      </c>
      <c r="H190" s="108">
        <v>70</v>
      </c>
      <c r="I190" s="105">
        <f>SUM(Table2[[#This Row],[casual]],Table2[[#This Row],[registered]])</f>
        <v>70</v>
      </c>
      <c r="J190" s="113"/>
    </row>
    <row r="191" spans="1:10" ht="14.25">
      <c r="A191" s="106">
        <v>128</v>
      </c>
      <c r="B191" s="107">
        <v>129</v>
      </c>
      <c r="C191" s="107">
        <v>0.2727</v>
      </c>
      <c r="D191" s="107">
        <v>0.36</v>
      </c>
      <c r="E191" s="107">
        <v>0.16420000000000001</v>
      </c>
      <c r="F191" s="107">
        <v>11</v>
      </c>
      <c r="G191" s="107">
        <v>59</v>
      </c>
      <c r="H191" s="108">
        <v>70</v>
      </c>
      <c r="I191" s="105">
        <f>SUM(Table2[[#This Row],[casual]],Table2[[#This Row],[registered]])</f>
        <v>70</v>
      </c>
      <c r="J191" s="113"/>
    </row>
    <row r="192" spans="1:10" ht="14.25">
      <c r="A192" s="106">
        <v>307</v>
      </c>
      <c r="B192" s="107">
        <v>308</v>
      </c>
      <c r="C192" s="107">
        <v>0.1212</v>
      </c>
      <c r="D192" s="107">
        <v>0.74</v>
      </c>
      <c r="E192" s="107">
        <v>0.16420000000000001</v>
      </c>
      <c r="F192" s="107">
        <v>0</v>
      </c>
      <c r="G192" s="107">
        <v>70</v>
      </c>
      <c r="H192" s="108">
        <v>70</v>
      </c>
      <c r="I192" s="105">
        <f>SUM(Table2[[#This Row],[casual]],Table2[[#This Row],[registered]])</f>
        <v>70</v>
      </c>
      <c r="J192" s="113"/>
    </row>
    <row r="193" spans="1:10" ht="14.25">
      <c r="A193" s="106">
        <v>419</v>
      </c>
      <c r="B193" s="107">
        <v>420</v>
      </c>
      <c r="C193" s="107">
        <v>0.31819999999999998</v>
      </c>
      <c r="D193" s="107">
        <v>0.81</v>
      </c>
      <c r="E193" s="107">
        <v>8.9599999999999999E-2</v>
      </c>
      <c r="F193" s="107">
        <v>5</v>
      </c>
      <c r="G193" s="107">
        <v>65</v>
      </c>
      <c r="H193" s="108">
        <v>70</v>
      </c>
      <c r="I193" s="105">
        <f>SUM(Table2[[#This Row],[casual]],Table2[[#This Row],[registered]])</f>
        <v>70</v>
      </c>
      <c r="J193" s="113"/>
    </row>
    <row r="194" spans="1:10" ht="14.25">
      <c r="A194" s="106">
        <v>446</v>
      </c>
      <c r="B194" s="107">
        <v>447</v>
      </c>
      <c r="C194" s="107">
        <v>0.31819999999999998</v>
      </c>
      <c r="D194" s="107">
        <v>0.45</v>
      </c>
      <c r="E194" s="107">
        <v>0.19400000000000001</v>
      </c>
      <c r="F194" s="107">
        <v>8</v>
      </c>
      <c r="G194" s="107">
        <v>62</v>
      </c>
      <c r="H194" s="108">
        <v>70</v>
      </c>
      <c r="I194" s="105">
        <f>SUM(Table2[[#This Row],[casual]],Table2[[#This Row],[registered]])</f>
        <v>70</v>
      </c>
      <c r="J194" s="113"/>
    </row>
    <row r="195" spans="1:10" ht="14.25">
      <c r="A195" s="106">
        <v>490</v>
      </c>
      <c r="B195" s="107">
        <v>491</v>
      </c>
      <c r="C195" s="107">
        <v>0.1061</v>
      </c>
      <c r="D195" s="107">
        <v>0.38</v>
      </c>
      <c r="E195" s="107">
        <v>0.1045</v>
      </c>
      <c r="F195" s="107">
        <v>10</v>
      </c>
      <c r="G195" s="107">
        <v>60</v>
      </c>
      <c r="H195" s="108">
        <v>70</v>
      </c>
      <c r="I195" s="105">
        <f>SUM(Table2[[#This Row],[casual]],Table2[[#This Row],[registered]])</f>
        <v>70</v>
      </c>
      <c r="J195" s="113"/>
    </row>
    <row r="196" spans="1:10" ht="14.25">
      <c r="A196" s="106">
        <v>540</v>
      </c>
      <c r="B196" s="107">
        <v>541</v>
      </c>
      <c r="C196" s="107">
        <v>0.1515</v>
      </c>
      <c r="D196" s="107">
        <v>0.47</v>
      </c>
      <c r="E196" s="107">
        <v>0.25369999999999998</v>
      </c>
      <c r="F196" s="107">
        <v>4</v>
      </c>
      <c r="G196" s="107">
        <v>66</v>
      </c>
      <c r="H196" s="108">
        <v>70</v>
      </c>
      <c r="I196" s="105">
        <f>SUM(Table2[[#This Row],[casual]],Table2[[#This Row],[registered]])</f>
        <v>70</v>
      </c>
      <c r="J196" s="113"/>
    </row>
    <row r="197" spans="1:10" ht="14.25">
      <c r="A197" s="106">
        <v>134</v>
      </c>
      <c r="B197" s="107">
        <v>135</v>
      </c>
      <c r="C197" s="107">
        <v>0.21210000000000001</v>
      </c>
      <c r="D197" s="107">
        <v>0.51</v>
      </c>
      <c r="E197" s="107">
        <v>0.16420000000000001</v>
      </c>
      <c r="F197" s="107">
        <v>3</v>
      </c>
      <c r="G197" s="107">
        <v>66</v>
      </c>
      <c r="H197" s="108">
        <v>69</v>
      </c>
      <c r="I197" s="105">
        <f>SUM(Table2[[#This Row],[casual]],Table2[[#This Row],[registered]])</f>
        <v>69</v>
      </c>
      <c r="J197" s="113"/>
    </row>
    <row r="198" spans="1:10" ht="14.25">
      <c r="A198" s="106">
        <v>178</v>
      </c>
      <c r="B198" s="107">
        <v>179</v>
      </c>
      <c r="C198" s="107">
        <v>0.1212</v>
      </c>
      <c r="D198" s="107">
        <v>0.37</v>
      </c>
      <c r="E198" s="107">
        <v>0.55220000000000002</v>
      </c>
      <c r="F198" s="107">
        <v>5</v>
      </c>
      <c r="G198" s="107">
        <v>64</v>
      </c>
      <c r="H198" s="108">
        <v>69</v>
      </c>
      <c r="I198" s="105">
        <f>SUM(Table2[[#This Row],[casual]],Table2[[#This Row],[registered]])</f>
        <v>69</v>
      </c>
      <c r="J198" s="113"/>
    </row>
    <row r="199" spans="1:10" ht="14.25">
      <c r="A199" s="106">
        <v>269</v>
      </c>
      <c r="B199" s="107">
        <v>270</v>
      </c>
      <c r="C199" s="107">
        <v>0.19700000000000001</v>
      </c>
      <c r="D199" s="107">
        <v>0.44</v>
      </c>
      <c r="E199" s="107">
        <v>0.32840000000000003</v>
      </c>
      <c r="F199" s="107">
        <v>5</v>
      </c>
      <c r="G199" s="107">
        <v>63</v>
      </c>
      <c r="H199" s="108">
        <v>68</v>
      </c>
      <c r="I199" s="105">
        <f>SUM(Table2[[#This Row],[casual]],Table2[[#This Row],[registered]])</f>
        <v>68</v>
      </c>
      <c r="J199" s="113"/>
    </row>
    <row r="200" spans="1:10" ht="14.25">
      <c r="A200" s="106">
        <v>315</v>
      </c>
      <c r="B200" s="107">
        <v>316</v>
      </c>
      <c r="C200" s="107">
        <v>0.2424</v>
      </c>
      <c r="D200" s="107">
        <v>0.38</v>
      </c>
      <c r="E200" s="107">
        <v>0.16420000000000001</v>
      </c>
      <c r="F200" s="107">
        <v>9</v>
      </c>
      <c r="G200" s="107">
        <v>59</v>
      </c>
      <c r="H200" s="108">
        <v>68</v>
      </c>
      <c r="I200" s="105">
        <f>SUM(Table2[[#This Row],[casual]],Table2[[#This Row],[registered]])</f>
        <v>68</v>
      </c>
      <c r="J200" s="113"/>
    </row>
    <row r="201" spans="1:10" ht="14.25">
      <c r="A201" s="106">
        <v>320</v>
      </c>
      <c r="B201" s="107">
        <v>321</v>
      </c>
      <c r="C201" s="107">
        <v>0.2424</v>
      </c>
      <c r="D201" s="107">
        <v>0.59</v>
      </c>
      <c r="E201" s="107">
        <v>0</v>
      </c>
      <c r="F201" s="107">
        <v>0</v>
      </c>
      <c r="G201" s="107">
        <v>68</v>
      </c>
      <c r="H201" s="108">
        <v>68</v>
      </c>
      <c r="I201" s="105">
        <f>SUM(Table2[[#This Row],[casual]],Table2[[#This Row],[registered]])</f>
        <v>68</v>
      </c>
      <c r="J201" s="113"/>
    </row>
    <row r="202" spans="1:10" ht="14.25">
      <c r="A202" s="106">
        <v>442</v>
      </c>
      <c r="B202" s="107">
        <v>443</v>
      </c>
      <c r="C202" s="107">
        <v>0.2727</v>
      </c>
      <c r="D202" s="107">
        <v>0.45</v>
      </c>
      <c r="E202" s="107">
        <v>0.16420000000000001</v>
      </c>
      <c r="F202" s="107">
        <v>5</v>
      </c>
      <c r="G202" s="107">
        <v>63</v>
      </c>
      <c r="H202" s="108">
        <v>68</v>
      </c>
      <c r="I202" s="105">
        <f>SUM(Table2[[#This Row],[casual]],Table2[[#This Row],[registered]])</f>
        <v>68</v>
      </c>
      <c r="J202" s="113"/>
    </row>
    <row r="203" spans="1:10" ht="14.25">
      <c r="A203" s="106">
        <v>462</v>
      </c>
      <c r="B203" s="107">
        <v>463</v>
      </c>
      <c r="C203" s="107">
        <v>0.18179999999999999</v>
      </c>
      <c r="D203" s="107">
        <v>0.51</v>
      </c>
      <c r="E203" s="107">
        <v>0.28360000000000002</v>
      </c>
      <c r="F203" s="107">
        <v>2</v>
      </c>
      <c r="G203" s="107">
        <v>66</v>
      </c>
      <c r="H203" s="108">
        <v>68</v>
      </c>
      <c r="I203" s="105">
        <f>SUM(Table2[[#This Row],[casual]],Table2[[#This Row],[registered]])</f>
        <v>68</v>
      </c>
      <c r="J203" s="113"/>
    </row>
    <row r="204" spans="1:10" ht="14.25">
      <c r="A204" s="106">
        <v>561</v>
      </c>
      <c r="B204" s="107">
        <v>562</v>
      </c>
      <c r="C204" s="107">
        <v>0.33329999999999999</v>
      </c>
      <c r="D204" s="107">
        <v>0.45</v>
      </c>
      <c r="E204" s="107">
        <v>0</v>
      </c>
      <c r="F204" s="107">
        <v>11</v>
      </c>
      <c r="G204" s="107">
        <v>57</v>
      </c>
      <c r="H204" s="108">
        <v>68</v>
      </c>
      <c r="I204" s="105">
        <f>SUM(Table2[[#This Row],[casual]],Table2[[#This Row],[registered]])</f>
        <v>68</v>
      </c>
      <c r="J204" s="113"/>
    </row>
    <row r="205" spans="1:10" ht="14.25">
      <c r="A205" s="106">
        <v>17</v>
      </c>
      <c r="B205" s="107">
        <v>18</v>
      </c>
      <c r="C205" s="47"/>
      <c r="D205" s="107">
        <v>0.82</v>
      </c>
      <c r="E205" s="107">
        <v>0.28360000000000002</v>
      </c>
      <c r="F205" s="107">
        <v>15</v>
      </c>
      <c r="G205" s="107">
        <v>52</v>
      </c>
      <c r="H205" s="108">
        <v>67</v>
      </c>
      <c r="I205" s="105">
        <f>SUM(Table2[[#This Row],[casual]],Table2[[#This Row],[registered]])</f>
        <v>67</v>
      </c>
      <c r="J205" s="113"/>
    </row>
    <row r="206" spans="1:10" ht="14.25">
      <c r="A206" s="106">
        <v>127</v>
      </c>
      <c r="B206" s="107">
        <v>128</v>
      </c>
      <c r="C206" s="107">
        <v>0.2727</v>
      </c>
      <c r="D206" s="107">
        <v>0.35</v>
      </c>
      <c r="E206" s="107">
        <v>0.1045</v>
      </c>
      <c r="F206" s="107">
        <v>12</v>
      </c>
      <c r="G206" s="107">
        <v>55</v>
      </c>
      <c r="H206" s="108">
        <v>67</v>
      </c>
      <c r="I206" s="105">
        <f>SUM(Table2[[#This Row],[casual]],Table2[[#This Row],[registered]])</f>
        <v>67</v>
      </c>
      <c r="J206" s="113"/>
    </row>
    <row r="207" spans="1:10" ht="14.25">
      <c r="A207" s="106">
        <v>148</v>
      </c>
      <c r="B207" s="107">
        <v>149</v>
      </c>
      <c r="C207" s="107">
        <v>0.19700000000000001</v>
      </c>
      <c r="D207" s="107">
        <v>0.4</v>
      </c>
      <c r="E207" s="107">
        <v>0.22389999999999999</v>
      </c>
      <c r="F207" s="107">
        <v>19</v>
      </c>
      <c r="G207" s="107">
        <v>48</v>
      </c>
      <c r="H207" s="108">
        <v>67</v>
      </c>
      <c r="I207" s="105">
        <f>SUM(Table2[[#This Row],[casual]],Table2[[#This Row],[registered]])</f>
        <v>67</v>
      </c>
      <c r="J207" s="113"/>
    </row>
    <row r="208" spans="1:10" ht="14.25">
      <c r="A208" s="106">
        <v>366</v>
      </c>
      <c r="B208" s="107">
        <v>367</v>
      </c>
      <c r="C208" s="107">
        <v>0.21210000000000001</v>
      </c>
      <c r="D208" s="107">
        <v>0.4</v>
      </c>
      <c r="E208" s="107">
        <v>0.16420000000000001</v>
      </c>
      <c r="F208" s="107">
        <v>11</v>
      </c>
      <c r="G208" s="107">
        <v>56</v>
      </c>
      <c r="H208" s="108">
        <v>67</v>
      </c>
      <c r="I208" s="105">
        <f>SUM(Table2[[#This Row],[casual]],Table2[[#This Row],[registered]])</f>
        <v>67</v>
      </c>
      <c r="J208" s="113"/>
    </row>
    <row r="209" spans="1:10" ht="14.25">
      <c r="A209" s="106">
        <v>495</v>
      </c>
      <c r="B209" s="107">
        <v>496</v>
      </c>
      <c r="C209" s="107">
        <v>0.19700000000000001</v>
      </c>
      <c r="D209" s="107">
        <v>0.28000000000000003</v>
      </c>
      <c r="E209" s="107">
        <v>0</v>
      </c>
      <c r="F209" s="107">
        <v>8</v>
      </c>
      <c r="G209" s="107">
        <v>59</v>
      </c>
      <c r="H209" s="108">
        <v>67</v>
      </c>
      <c r="I209" s="105">
        <f>SUM(Table2[[#This Row],[casual]],Table2[[#This Row],[registered]])</f>
        <v>67</v>
      </c>
      <c r="J209" s="113"/>
    </row>
    <row r="210" spans="1:10" ht="14.25">
      <c r="A210" s="106">
        <v>40</v>
      </c>
      <c r="B210" s="107">
        <v>41</v>
      </c>
      <c r="C210" s="107">
        <v>0.33329999999999999</v>
      </c>
      <c r="D210" s="107">
        <v>0.56999999999999995</v>
      </c>
      <c r="E210" s="107">
        <v>0.19400000000000001</v>
      </c>
      <c r="F210" s="107">
        <v>7</v>
      </c>
      <c r="G210" s="107">
        <v>58</v>
      </c>
      <c r="H210" s="108">
        <v>65</v>
      </c>
      <c r="I210" s="105">
        <f>SUM(Table2[[#This Row],[casual]],Table2[[#This Row],[registered]])</f>
        <v>65</v>
      </c>
      <c r="J210" s="113"/>
    </row>
    <row r="211" spans="1:10" ht="14.25">
      <c r="A211" s="106">
        <v>83</v>
      </c>
      <c r="B211" s="107">
        <v>84</v>
      </c>
      <c r="C211" s="107">
        <v>0.2727</v>
      </c>
      <c r="D211" s="107">
        <v>0.52</v>
      </c>
      <c r="E211" s="107">
        <v>0.25369999999999998</v>
      </c>
      <c r="F211" s="107">
        <v>17</v>
      </c>
      <c r="G211" s="107">
        <v>48</v>
      </c>
      <c r="H211" s="108">
        <v>65</v>
      </c>
      <c r="I211" s="105">
        <f>SUM(Table2[[#This Row],[casual]],Table2[[#This Row],[registered]])</f>
        <v>65</v>
      </c>
      <c r="J211" s="113"/>
    </row>
    <row r="212" spans="1:10" ht="14.25">
      <c r="A212" s="106">
        <v>470</v>
      </c>
      <c r="B212" s="107">
        <v>471</v>
      </c>
      <c r="C212" s="107">
        <v>0.1212</v>
      </c>
      <c r="D212" s="107">
        <v>0.26</v>
      </c>
      <c r="E212" s="107">
        <v>0.44779999999999998</v>
      </c>
      <c r="F212" s="107">
        <v>4</v>
      </c>
      <c r="G212" s="107">
        <v>61</v>
      </c>
      <c r="H212" s="108">
        <v>65</v>
      </c>
      <c r="I212" s="105">
        <f>SUM(Table2[[#This Row],[casual]],Table2[[#This Row],[registered]])</f>
        <v>65</v>
      </c>
      <c r="J212" s="113"/>
    </row>
    <row r="213" spans="1:10" ht="14.25">
      <c r="A213" s="106">
        <v>517</v>
      </c>
      <c r="B213" s="107">
        <v>518</v>
      </c>
      <c r="C213" s="107">
        <v>0.13639999999999999</v>
      </c>
      <c r="D213" s="107">
        <v>0.26</v>
      </c>
      <c r="E213" s="107">
        <v>0.32840000000000003</v>
      </c>
      <c r="F213" s="107">
        <v>9</v>
      </c>
      <c r="G213" s="107">
        <v>56</v>
      </c>
      <c r="H213" s="108">
        <v>65</v>
      </c>
      <c r="I213" s="105">
        <f>SUM(Table2[[#This Row],[casual]],Table2[[#This Row],[registered]])</f>
        <v>65</v>
      </c>
      <c r="J213" s="113"/>
    </row>
    <row r="214" spans="1:10" ht="14.25">
      <c r="A214" s="106">
        <v>52</v>
      </c>
      <c r="B214" s="107">
        <v>53</v>
      </c>
      <c r="C214" s="107">
        <v>0.13639999999999999</v>
      </c>
      <c r="D214" s="107">
        <v>0.5</v>
      </c>
      <c r="E214" s="107">
        <v>0.19400000000000001</v>
      </c>
      <c r="F214" s="107">
        <v>1</v>
      </c>
      <c r="G214" s="107">
        <v>63</v>
      </c>
      <c r="H214" s="108">
        <v>64</v>
      </c>
      <c r="I214" s="105">
        <f>SUM(Table2[[#This Row],[casual]],Table2[[#This Row],[registered]])</f>
        <v>64</v>
      </c>
      <c r="J214" s="113"/>
    </row>
    <row r="215" spans="1:10" ht="14.25">
      <c r="A215" s="106">
        <v>297</v>
      </c>
      <c r="B215" s="107">
        <v>298</v>
      </c>
      <c r="C215" s="107">
        <v>0.1515</v>
      </c>
      <c r="D215" s="107">
        <v>0.47</v>
      </c>
      <c r="E215" s="107">
        <v>0.22389999999999999</v>
      </c>
      <c r="F215" s="107">
        <v>0</v>
      </c>
      <c r="G215" s="107">
        <v>64</v>
      </c>
      <c r="H215" s="108">
        <v>64</v>
      </c>
      <c r="I215" s="105">
        <f>SUM(Table2[[#This Row],[casual]],Table2[[#This Row],[registered]])</f>
        <v>64</v>
      </c>
      <c r="J215" s="113"/>
    </row>
    <row r="216" spans="1:10" ht="14.25">
      <c r="A216" s="106">
        <v>314</v>
      </c>
      <c r="B216" s="107">
        <v>315</v>
      </c>
      <c r="C216" s="107">
        <v>0.21210000000000001</v>
      </c>
      <c r="D216" s="107">
        <v>0.41</v>
      </c>
      <c r="E216" s="107">
        <v>0.28360000000000002</v>
      </c>
      <c r="F216" s="107">
        <v>5</v>
      </c>
      <c r="G216" s="107">
        <v>59</v>
      </c>
      <c r="H216" s="108">
        <v>64</v>
      </c>
      <c r="I216" s="105">
        <f>SUM(Table2[[#This Row],[casual]],Table2[[#This Row],[registered]])</f>
        <v>64</v>
      </c>
      <c r="J216" s="113"/>
    </row>
    <row r="217" spans="1:10" ht="14.25">
      <c r="A217" s="106">
        <v>383</v>
      </c>
      <c r="B217" s="107">
        <v>384</v>
      </c>
      <c r="C217" s="107">
        <v>0.1515</v>
      </c>
      <c r="D217" s="107">
        <v>0.55000000000000004</v>
      </c>
      <c r="E217" s="107">
        <v>0.19400000000000001</v>
      </c>
      <c r="F217" s="107">
        <v>9</v>
      </c>
      <c r="G217" s="107">
        <v>55</v>
      </c>
      <c r="H217" s="108">
        <v>64</v>
      </c>
      <c r="I217" s="105">
        <f>SUM(Table2[[#This Row],[casual]],Table2[[#This Row],[registered]])</f>
        <v>64</v>
      </c>
      <c r="J217" s="113"/>
    </row>
    <row r="218" spans="1:10" ht="14.25">
      <c r="A218" s="106">
        <v>82</v>
      </c>
      <c r="B218" s="107">
        <v>83</v>
      </c>
      <c r="C218" s="107">
        <v>0.2576</v>
      </c>
      <c r="D218" s="107">
        <v>0.52</v>
      </c>
      <c r="E218" s="107">
        <v>0.22389999999999999</v>
      </c>
      <c r="F218" s="107">
        <v>9</v>
      </c>
      <c r="G218" s="107">
        <v>54</v>
      </c>
      <c r="H218" s="108">
        <v>63</v>
      </c>
      <c r="I218" s="105">
        <f>SUM(Table2[[#This Row],[casual]],Table2[[#This Row],[registered]])</f>
        <v>63</v>
      </c>
      <c r="J218" s="113"/>
    </row>
    <row r="219" spans="1:10" ht="14.25">
      <c r="A219" s="106">
        <v>147</v>
      </c>
      <c r="B219" s="107">
        <v>148</v>
      </c>
      <c r="C219" s="107">
        <v>0.19700000000000001</v>
      </c>
      <c r="D219" s="107">
        <v>0.37</v>
      </c>
      <c r="E219" s="107">
        <v>0.32840000000000003</v>
      </c>
      <c r="F219" s="107">
        <v>16</v>
      </c>
      <c r="G219" s="107">
        <v>47</v>
      </c>
      <c r="H219" s="108">
        <v>63</v>
      </c>
      <c r="I219" s="105">
        <f>SUM(Table2[[#This Row],[casual]],Table2[[#This Row],[registered]])</f>
        <v>63</v>
      </c>
      <c r="J219" s="113"/>
    </row>
    <row r="220" spans="1:10" ht="14.25">
      <c r="A220" s="106">
        <v>245</v>
      </c>
      <c r="B220" s="107">
        <v>246</v>
      </c>
      <c r="C220" s="107">
        <v>0.2273</v>
      </c>
      <c r="D220" s="107">
        <v>0.59</v>
      </c>
      <c r="E220" s="107">
        <v>8.9599999999999999E-2</v>
      </c>
      <c r="F220" s="107">
        <v>3</v>
      </c>
      <c r="G220" s="107">
        <v>60</v>
      </c>
      <c r="H220" s="108">
        <v>63</v>
      </c>
      <c r="I220" s="105">
        <f>SUM(Table2[[#This Row],[casual]],Table2[[#This Row],[registered]])</f>
        <v>63</v>
      </c>
      <c r="J220" s="113"/>
    </row>
    <row r="221" spans="1:10" ht="14.25">
      <c r="A221" s="106">
        <v>465</v>
      </c>
      <c r="B221" s="107">
        <v>466</v>
      </c>
      <c r="C221" s="107">
        <v>0.16669999999999999</v>
      </c>
      <c r="D221" s="107">
        <v>0.47</v>
      </c>
      <c r="E221" s="107">
        <v>0.4627</v>
      </c>
      <c r="F221" s="107">
        <v>6</v>
      </c>
      <c r="G221" s="107">
        <v>57</v>
      </c>
      <c r="H221" s="108">
        <v>63</v>
      </c>
      <c r="I221" s="105">
        <f>SUM(Table2[[#This Row],[casual]],Table2[[#This Row],[registered]])</f>
        <v>63</v>
      </c>
      <c r="J221" s="113"/>
    </row>
    <row r="222" spans="1:10" ht="14.25">
      <c r="A222" s="106">
        <v>489</v>
      </c>
      <c r="B222" s="107">
        <v>490</v>
      </c>
      <c r="C222" s="107">
        <v>7.5800000000000006E-2</v>
      </c>
      <c r="D222" s="107">
        <v>0.38</v>
      </c>
      <c r="E222" s="107">
        <v>0.1343</v>
      </c>
      <c r="F222" s="107">
        <v>4</v>
      </c>
      <c r="G222" s="107">
        <v>59</v>
      </c>
      <c r="H222" s="108">
        <v>63</v>
      </c>
      <c r="I222" s="105">
        <f>SUM(Table2[[#This Row],[casual]],Table2[[#This Row],[registered]])</f>
        <v>63</v>
      </c>
      <c r="J222" s="113"/>
    </row>
    <row r="223" spans="1:10" ht="14.25">
      <c r="A223" s="106">
        <v>536</v>
      </c>
      <c r="B223" s="107">
        <v>537</v>
      </c>
      <c r="C223" s="107">
        <v>0.13639999999999999</v>
      </c>
      <c r="D223" s="107">
        <v>0.42</v>
      </c>
      <c r="E223" s="107">
        <v>0.19400000000000001</v>
      </c>
      <c r="F223" s="107">
        <v>11</v>
      </c>
      <c r="G223" s="107">
        <v>52</v>
      </c>
      <c r="H223" s="108">
        <v>63</v>
      </c>
      <c r="I223" s="105">
        <f>SUM(Table2[[#This Row],[casual]],Table2[[#This Row],[registered]])</f>
        <v>63</v>
      </c>
      <c r="J223" s="113"/>
    </row>
    <row r="224" spans="1:10" ht="14.25">
      <c r="A224" s="106">
        <v>105</v>
      </c>
      <c r="B224" s="107">
        <v>106</v>
      </c>
      <c r="C224" s="107">
        <v>0.28789999999999999</v>
      </c>
      <c r="D224" s="107">
        <v>0.28000000000000003</v>
      </c>
      <c r="E224" s="107">
        <v>0.19400000000000001</v>
      </c>
      <c r="F224" s="107">
        <v>10</v>
      </c>
      <c r="G224" s="107">
        <v>52</v>
      </c>
      <c r="H224" s="108">
        <v>62</v>
      </c>
      <c r="I224" s="105">
        <f>SUM(Table2[[#This Row],[casual]],Table2[[#This Row],[registered]])</f>
        <v>62</v>
      </c>
      <c r="J224" s="113"/>
    </row>
    <row r="225" spans="1:10" ht="14.25">
      <c r="A225" s="106">
        <v>106</v>
      </c>
      <c r="B225" s="107">
        <v>107</v>
      </c>
      <c r="C225" s="107">
        <v>0.28789999999999999</v>
      </c>
      <c r="D225" s="107">
        <v>0.28000000000000003</v>
      </c>
      <c r="E225" s="107">
        <v>0.19400000000000001</v>
      </c>
      <c r="F225" s="107">
        <v>7</v>
      </c>
      <c r="G225" s="107">
        <v>55</v>
      </c>
      <c r="H225" s="108">
        <v>62</v>
      </c>
      <c r="I225" s="105">
        <f>SUM(Table2[[#This Row],[casual]],Table2[[#This Row],[registered]])</f>
        <v>62</v>
      </c>
      <c r="J225" s="113"/>
    </row>
    <row r="226" spans="1:10" ht="14.25">
      <c r="A226" s="106">
        <v>129</v>
      </c>
      <c r="B226" s="107">
        <v>130</v>
      </c>
      <c r="C226" s="107">
        <v>0.2727</v>
      </c>
      <c r="D226" s="107">
        <v>0.36</v>
      </c>
      <c r="E226" s="107">
        <v>0</v>
      </c>
      <c r="F226" s="107">
        <v>8</v>
      </c>
      <c r="G226" s="107">
        <v>54</v>
      </c>
      <c r="H226" s="108">
        <v>62</v>
      </c>
      <c r="I226" s="105">
        <f>SUM(Table2[[#This Row],[casual]],Table2[[#This Row],[registered]])</f>
        <v>62</v>
      </c>
      <c r="J226" s="113"/>
    </row>
    <row r="227" spans="1:10" ht="14.25">
      <c r="A227" s="106">
        <v>172</v>
      </c>
      <c r="B227" s="107">
        <v>173</v>
      </c>
      <c r="C227" s="107">
        <v>0.18179999999999999</v>
      </c>
      <c r="D227" s="107">
        <v>0.69</v>
      </c>
      <c r="E227" s="107">
        <v>0.3881</v>
      </c>
      <c r="F227" s="107">
        <v>2</v>
      </c>
      <c r="G227" s="107">
        <v>60</v>
      </c>
      <c r="H227" s="108">
        <v>62</v>
      </c>
      <c r="I227" s="105">
        <f>SUM(Table2[[#This Row],[casual]],Table2[[#This Row],[registered]])</f>
        <v>62</v>
      </c>
      <c r="J227" s="113"/>
    </row>
    <row r="228" spans="1:10" ht="14.25">
      <c r="A228" s="106">
        <v>202</v>
      </c>
      <c r="B228" s="107">
        <v>203</v>
      </c>
      <c r="C228" s="107">
        <v>0.1515</v>
      </c>
      <c r="D228" s="107">
        <v>0.37</v>
      </c>
      <c r="E228" s="107">
        <v>0.3881</v>
      </c>
      <c r="F228" s="107">
        <v>3</v>
      </c>
      <c r="G228" s="107">
        <v>59</v>
      </c>
      <c r="H228" s="108">
        <v>62</v>
      </c>
      <c r="I228" s="105">
        <f>SUM(Table2[[#This Row],[casual]],Table2[[#This Row],[registered]])</f>
        <v>62</v>
      </c>
      <c r="J228" s="113"/>
    </row>
    <row r="229" spans="1:10" ht="14.25">
      <c r="A229" s="106">
        <v>469</v>
      </c>
      <c r="B229" s="107">
        <v>470</v>
      </c>
      <c r="C229" s="107">
        <v>0.1515</v>
      </c>
      <c r="D229" s="107">
        <v>0.25</v>
      </c>
      <c r="E229" s="107">
        <v>0.52239999999999998</v>
      </c>
      <c r="F229" s="107">
        <v>6</v>
      </c>
      <c r="G229" s="107">
        <v>56</v>
      </c>
      <c r="H229" s="108">
        <v>62</v>
      </c>
      <c r="I229" s="105">
        <f>SUM(Table2[[#This Row],[casual]],Table2[[#This Row],[registered]])</f>
        <v>62</v>
      </c>
      <c r="J229" s="113"/>
    </row>
    <row r="230" spans="1:10" ht="14.25">
      <c r="A230" s="106">
        <v>57</v>
      </c>
      <c r="B230" s="107">
        <v>58</v>
      </c>
      <c r="C230" s="107">
        <v>0.21210000000000001</v>
      </c>
      <c r="D230" s="107">
        <v>0.35</v>
      </c>
      <c r="E230" s="107">
        <v>0.29849999999999999</v>
      </c>
      <c r="F230" s="107">
        <v>13</v>
      </c>
      <c r="G230" s="107">
        <v>48</v>
      </c>
      <c r="H230" s="108">
        <v>61</v>
      </c>
      <c r="I230" s="105">
        <f>SUM(Table2[[#This Row],[casual]],Table2[[#This Row],[registered]])</f>
        <v>61</v>
      </c>
      <c r="J230" s="113"/>
    </row>
    <row r="231" spans="1:10" ht="14.25">
      <c r="A231" s="106">
        <v>58</v>
      </c>
      <c r="B231" s="107">
        <v>59</v>
      </c>
      <c r="C231" s="47"/>
      <c r="D231" s="107">
        <v>0.35</v>
      </c>
      <c r="E231" s="107">
        <v>0.28360000000000002</v>
      </c>
      <c r="F231" s="107">
        <v>8</v>
      </c>
      <c r="G231" s="107">
        <v>53</v>
      </c>
      <c r="H231" s="108">
        <v>61</v>
      </c>
      <c r="I231" s="105">
        <f>SUM(Table2[[#This Row],[casual]],Table2[[#This Row],[registered]])</f>
        <v>61</v>
      </c>
      <c r="J231" s="113"/>
    </row>
    <row r="232" spans="1:10" ht="14.25">
      <c r="A232" s="106">
        <v>171</v>
      </c>
      <c r="B232" s="107">
        <v>172</v>
      </c>
      <c r="C232" s="107">
        <v>0.19700000000000001</v>
      </c>
      <c r="D232" s="107">
        <v>0.8</v>
      </c>
      <c r="E232" s="107">
        <v>0.16420000000000001</v>
      </c>
      <c r="F232" s="107">
        <v>5</v>
      </c>
      <c r="G232" s="107">
        <v>56</v>
      </c>
      <c r="H232" s="108">
        <v>61</v>
      </c>
      <c r="I232" s="105">
        <f>SUM(Table2[[#This Row],[casual]],Table2[[#This Row],[registered]])</f>
        <v>61</v>
      </c>
      <c r="J232" s="113"/>
    </row>
    <row r="233" spans="1:10" ht="14.25">
      <c r="A233" s="106">
        <v>312</v>
      </c>
      <c r="B233" s="107">
        <v>313</v>
      </c>
      <c r="C233" s="107">
        <v>0.19700000000000001</v>
      </c>
      <c r="D233" s="107">
        <v>0.44</v>
      </c>
      <c r="E233" s="107">
        <v>0.25369999999999998</v>
      </c>
      <c r="F233" s="107">
        <v>2</v>
      </c>
      <c r="G233" s="107">
        <v>59</v>
      </c>
      <c r="H233" s="108">
        <v>61</v>
      </c>
      <c r="I233" s="105">
        <f>SUM(Table2[[#This Row],[casual]],Table2[[#This Row],[registered]])</f>
        <v>61</v>
      </c>
      <c r="J233" s="113"/>
    </row>
    <row r="234" spans="1:10" ht="14.25">
      <c r="A234" s="106">
        <v>367</v>
      </c>
      <c r="B234" s="107">
        <v>368</v>
      </c>
      <c r="C234" s="107">
        <v>0.19700000000000001</v>
      </c>
      <c r="D234" s="107">
        <v>0.47</v>
      </c>
      <c r="E234" s="107">
        <v>0.1343</v>
      </c>
      <c r="F234" s="107">
        <v>14</v>
      </c>
      <c r="G234" s="107">
        <v>47</v>
      </c>
      <c r="H234" s="108">
        <v>61</v>
      </c>
      <c r="I234" s="105">
        <f>SUM(Table2[[#This Row],[casual]],Table2[[#This Row],[registered]])</f>
        <v>61</v>
      </c>
      <c r="J234" s="113"/>
    </row>
    <row r="235" spans="1:10" ht="14.25">
      <c r="A235" s="106">
        <v>400</v>
      </c>
      <c r="B235" s="107">
        <v>401</v>
      </c>
      <c r="C235" s="107">
        <v>0.2273</v>
      </c>
      <c r="D235" s="107">
        <v>0.87</v>
      </c>
      <c r="E235" s="107">
        <v>0.19400000000000001</v>
      </c>
      <c r="F235" s="107">
        <v>0</v>
      </c>
      <c r="G235" s="107">
        <v>61</v>
      </c>
      <c r="H235" s="108">
        <v>61</v>
      </c>
      <c r="I235" s="105">
        <f>SUM(Table2[[#This Row],[casual]],Table2[[#This Row],[registered]])</f>
        <v>61</v>
      </c>
      <c r="J235" s="113"/>
    </row>
    <row r="236" spans="1:10" ht="14.25">
      <c r="A236" s="106">
        <v>558</v>
      </c>
      <c r="B236" s="107">
        <v>559</v>
      </c>
      <c r="C236" s="107">
        <v>0.2424</v>
      </c>
      <c r="D236" s="107">
        <v>0.6</v>
      </c>
      <c r="E236" s="107">
        <v>0.1343</v>
      </c>
      <c r="F236" s="107">
        <v>6</v>
      </c>
      <c r="G236" s="107">
        <v>55</v>
      </c>
      <c r="H236" s="108">
        <v>61</v>
      </c>
      <c r="I236" s="105">
        <f>SUM(Table2[[#This Row],[casual]],Table2[[#This Row],[registered]])</f>
        <v>61</v>
      </c>
      <c r="J236" s="113"/>
    </row>
    <row r="237" spans="1:10" ht="14.25">
      <c r="A237" s="106">
        <v>292</v>
      </c>
      <c r="B237" s="107">
        <v>293</v>
      </c>
      <c r="C237" s="107">
        <v>0.21210000000000001</v>
      </c>
      <c r="D237" s="107">
        <v>0.38</v>
      </c>
      <c r="E237" s="107">
        <v>0.29849999999999999</v>
      </c>
      <c r="F237" s="107">
        <v>5</v>
      </c>
      <c r="G237" s="107">
        <v>55</v>
      </c>
      <c r="H237" s="108">
        <v>60</v>
      </c>
      <c r="I237" s="105">
        <f>SUM(Table2[[#This Row],[casual]],Table2[[#This Row],[registered]])</f>
        <v>60</v>
      </c>
      <c r="J237" s="113"/>
    </row>
    <row r="238" spans="1:10" ht="14.25">
      <c r="A238" s="106">
        <v>391</v>
      </c>
      <c r="B238" s="107">
        <v>392</v>
      </c>
      <c r="C238" s="107">
        <v>0.18179999999999999</v>
      </c>
      <c r="D238" s="107">
        <v>0.59</v>
      </c>
      <c r="E238" s="107">
        <v>0.19400000000000001</v>
      </c>
      <c r="F238" s="107">
        <v>2</v>
      </c>
      <c r="G238" s="107">
        <v>58</v>
      </c>
      <c r="H238" s="108">
        <v>60</v>
      </c>
      <c r="I238" s="105">
        <f>SUM(Table2[[#This Row],[casual]],Table2[[#This Row],[registered]])</f>
        <v>60</v>
      </c>
      <c r="J238" s="113"/>
    </row>
    <row r="239" spans="1:10" ht="14.25">
      <c r="A239" s="106">
        <v>537</v>
      </c>
      <c r="B239" s="107">
        <v>538</v>
      </c>
      <c r="C239" s="107">
        <v>0.13639999999999999</v>
      </c>
      <c r="D239" s="107">
        <v>0.43</v>
      </c>
      <c r="E239" s="107">
        <v>0.22389999999999999</v>
      </c>
      <c r="F239" s="107">
        <v>6</v>
      </c>
      <c r="G239" s="107">
        <v>54</v>
      </c>
      <c r="H239" s="108">
        <v>60</v>
      </c>
      <c r="I239" s="105">
        <f>SUM(Table2[[#This Row],[casual]],Table2[[#This Row],[registered]])</f>
        <v>60</v>
      </c>
      <c r="J239" s="113"/>
    </row>
    <row r="240" spans="1:10" ht="14.25">
      <c r="A240" s="106">
        <v>601</v>
      </c>
      <c r="B240" s="107">
        <v>602</v>
      </c>
      <c r="C240" s="107">
        <v>0.19700000000000001</v>
      </c>
      <c r="D240" s="107">
        <v>0.86</v>
      </c>
      <c r="E240" s="107">
        <v>8.9599999999999999E-2</v>
      </c>
      <c r="F240" s="107">
        <v>2</v>
      </c>
      <c r="G240" s="107">
        <v>58</v>
      </c>
      <c r="H240" s="108">
        <v>60</v>
      </c>
      <c r="I240" s="105">
        <f>SUM(Table2[[#This Row],[casual]],Table2[[#This Row],[registered]])</f>
        <v>60</v>
      </c>
      <c r="J240" s="113"/>
    </row>
    <row r="241" spans="1:10" ht="14.25">
      <c r="A241" s="106">
        <v>37</v>
      </c>
      <c r="B241" s="107">
        <v>38</v>
      </c>
      <c r="C241" s="47"/>
      <c r="D241" s="107">
        <v>0.76</v>
      </c>
      <c r="E241" s="107">
        <v>0.19400000000000001</v>
      </c>
      <c r="F241" s="107">
        <v>4</v>
      </c>
      <c r="G241" s="107">
        <v>55</v>
      </c>
      <c r="H241" s="108">
        <v>59</v>
      </c>
      <c r="I241" s="105">
        <f>SUM(Table2[[#This Row],[casual]],Table2[[#This Row],[registered]])</f>
        <v>59</v>
      </c>
      <c r="J241" s="113"/>
    </row>
    <row r="242" spans="1:10" ht="14.25">
      <c r="A242" s="106">
        <v>125</v>
      </c>
      <c r="B242" s="107">
        <v>126</v>
      </c>
      <c r="C242" s="107">
        <v>0.2576</v>
      </c>
      <c r="D242" s="107">
        <v>0.44</v>
      </c>
      <c r="E242" s="107">
        <v>8.9599999999999999E-2</v>
      </c>
      <c r="F242" s="107">
        <v>2</v>
      </c>
      <c r="G242" s="107">
        <v>57</v>
      </c>
      <c r="H242" s="108">
        <v>59</v>
      </c>
      <c r="I242" s="105">
        <f>SUM(Table2[[#This Row],[casual]],Table2[[#This Row],[registered]])</f>
        <v>59</v>
      </c>
      <c r="J242" s="113"/>
    </row>
    <row r="243" spans="1:10" ht="14.25">
      <c r="A243" s="106">
        <v>149</v>
      </c>
      <c r="B243" s="107">
        <v>150</v>
      </c>
      <c r="C243" s="107">
        <v>0.19700000000000001</v>
      </c>
      <c r="D243" s="107">
        <v>0.37</v>
      </c>
      <c r="E243" s="107">
        <v>0.25369999999999998</v>
      </c>
      <c r="F243" s="107">
        <v>9</v>
      </c>
      <c r="G243" s="107">
        <v>50</v>
      </c>
      <c r="H243" s="108">
        <v>59</v>
      </c>
      <c r="I243" s="105">
        <f>SUM(Table2[[#This Row],[casual]],Table2[[#This Row],[registered]])</f>
        <v>59</v>
      </c>
      <c r="J243" s="113"/>
    </row>
    <row r="244" spans="1:10" ht="14.25">
      <c r="A244" s="106">
        <v>334</v>
      </c>
      <c r="B244" s="107">
        <v>335</v>
      </c>
      <c r="C244" s="107">
        <v>0.19700000000000001</v>
      </c>
      <c r="D244" s="107">
        <v>0.59</v>
      </c>
      <c r="E244" s="107">
        <v>0.16420000000000001</v>
      </c>
      <c r="F244" s="107">
        <v>2</v>
      </c>
      <c r="G244" s="107">
        <v>57</v>
      </c>
      <c r="H244" s="108">
        <v>59</v>
      </c>
      <c r="I244" s="105">
        <f>SUM(Table2[[#This Row],[casual]],Table2[[#This Row],[registered]])</f>
        <v>59</v>
      </c>
      <c r="J244" s="113"/>
    </row>
    <row r="245" spans="1:10" ht="14.25">
      <c r="A245" s="106">
        <v>428</v>
      </c>
      <c r="B245" s="107">
        <v>429</v>
      </c>
      <c r="C245" s="107">
        <v>0.28789999999999999</v>
      </c>
      <c r="D245" s="107">
        <v>0.49</v>
      </c>
      <c r="E245" s="107">
        <v>0.41789999999999999</v>
      </c>
      <c r="F245" s="107">
        <v>4</v>
      </c>
      <c r="G245" s="107">
        <v>55</v>
      </c>
      <c r="H245" s="108">
        <v>59</v>
      </c>
      <c r="I245" s="105">
        <f>SUM(Table2[[#This Row],[casual]],Table2[[#This Row],[registered]])</f>
        <v>59</v>
      </c>
      <c r="J245" s="113"/>
    </row>
    <row r="246" spans="1:10" ht="14.25">
      <c r="A246" s="106">
        <v>429</v>
      </c>
      <c r="B246" s="107">
        <v>430</v>
      </c>
      <c r="C246" s="107">
        <v>0.30299999999999999</v>
      </c>
      <c r="D246" s="107">
        <v>0.52</v>
      </c>
      <c r="E246" s="107">
        <v>0.16420000000000001</v>
      </c>
      <c r="F246" s="107">
        <v>6</v>
      </c>
      <c r="G246" s="107">
        <v>53</v>
      </c>
      <c r="H246" s="108">
        <v>59</v>
      </c>
      <c r="I246" s="105">
        <f>SUM(Table2[[#This Row],[casual]],Table2[[#This Row],[registered]])</f>
        <v>59</v>
      </c>
      <c r="J246" s="113"/>
    </row>
    <row r="247" spans="1:10" ht="14.25">
      <c r="A247" s="106">
        <v>466</v>
      </c>
      <c r="B247" s="107">
        <v>467</v>
      </c>
      <c r="C247" s="107">
        <v>0.18179999999999999</v>
      </c>
      <c r="D247" s="107">
        <v>0.41</v>
      </c>
      <c r="E247" s="107">
        <v>0.4627</v>
      </c>
      <c r="F247" s="107">
        <v>6</v>
      </c>
      <c r="G247" s="107">
        <v>53</v>
      </c>
      <c r="H247" s="108">
        <v>59</v>
      </c>
      <c r="I247" s="105">
        <f>SUM(Table2[[#This Row],[casual]],Table2[[#This Row],[registered]])</f>
        <v>59</v>
      </c>
      <c r="J247" s="113"/>
    </row>
    <row r="248" spans="1:10" ht="14.25">
      <c r="A248" s="106">
        <v>497</v>
      </c>
      <c r="B248" s="107">
        <v>498</v>
      </c>
      <c r="C248" s="107">
        <v>0.1061</v>
      </c>
      <c r="D248" s="107">
        <v>0.35</v>
      </c>
      <c r="E248" s="107">
        <v>0.1343</v>
      </c>
      <c r="F248" s="107">
        <v>6</v>
      </c>
      <c r="G248" s="107">
        <v>53</v>
      </c>
      <c r="H248" s="108">
        <v>59</v>
      </c>
      <c r="I248" s="105">
        <f>SUM(Table2[[#This Row],[casual]],Table2[[#This Row],[registered]])</f>
        <v>59</v>
      </c>
      <c r="J248" s="113"/>
    </row>
    <row r="249" spans="1:10" ht="14.25">
      <c r="A249" s="106">
        <v>545</v>
      </c>
      <c r="B249" s="107">
        <v>546</v>
      </c>
      <c r="C249" s="107">
        <v>0.1515</v>
      </c>
      <c r="D249" s="107">
        <v>0.63</v>
      </c>
      <c r="E249" s="107">
        <v>0.16420000000000001</v>
      </c>
      <c r="F249" s="107">
        <v>6</v>
      </c>
      <c r="G249" s="107">
        <v>53</v>
      </c>
      <c r="H249" s="108">
        <v>59</v>
      </c>
      <c r="I249" s="105">
        <f>SUM(Table2[[#This Row],[casual]],Table2[[#This Row],[registered]])</f>
        <v>59</v>
      </c>
      <c r="J249" s="113"/>
    </row>
    <row r="250" spans="1:10" ht="14.25">
      <c r="A250" s="106">
        <v>591</v>
      </c>
      <c r="B250" s="107">
        <v>592</v>
      </c>
      <c r="C250" s="107">
        <v>0.21210000000000001</v>
      </c>
      <c r="D250" s="107">
        <v>0.74</v>
      </c>
      <c r="E250" s="107">
        <v>8.9599999999999999E-2</v>
      </c>
      <c r="F250" s="107">
        <v>4</v>
      </c>
      <c r="G250" s="107">
        <v>55</v>
      </c>
      <c r="H250" s="108">
        <v>59</v>
      </c>
      <c r="I250" s="105">
        <f>SUM(Table2[[#This Row],[casual]],Table2[[#This Row],[registered]])</f>
        <v>59</v>
      </c>
      <c r="J250" s="113"/>
    </row>
    <row r="251" spans="1:10" ht="14.25">
      <c r="A251" s="106">
        <v>511</v>
      </c>
      <c r="B251" s="107">
        <v>512</v>
      </c>
      <c r="C251" s="107">
        <v>0.1061</v>
      </c>
      <c r="D251" s="107">
        <v>0.46</v>
      </c>
      <c r="E251" s="107">
        <v>0.3881</v>
      </c>
      <c r="F251" s="107">
        <v>7</v>
      </c>
      <c r="G251" s="107">
        <v>51</v>
      </c>
      <c r="H251" s="108">
        <v>58</v>
      </c>
      <c r="I251" s="105">
        <f>SUM(Table2[[#This Row],[casual]],Table2[[#This Row],[registered]])</f>
        <v>58</v>
      </c>
      <c r="J251" s="113"/>
    </row>
    <row r="252" spans="1:10" ht="14.25">
      <c r="A252" s="106">
        <v>578</v>
      </c>
      <c r="B252" s="107">
        <v>579</v>
      </c>
      <c r="C252" s="107">
        <v>0.21210000000000001</v>
      </c>
      <c r="D252" s="107">
        <v>0.87</v>
      </c>
      <c r="E252" s="107">
        <v>0.29849999999999999</v>
      </c>
      <c r="F252" s="107">
        <v>3</v>
      </c>
      <c r="G252" s="107">
        <v>55</v>
      </c>
      <c r="H252" s="108">
        <v>58</v>
      </c>
      <c r="I252" s="105">
        <f>SUM(Table2[[#This Row],[casual]],Table2[[#This Row],[registered]])</f>
        <v>58</v>
      </c>
      <c r="J252" s="113"/>
    </row>
    <row r="253" spans="1:10" ht="14.25">
      <c r="A253" s="106">
        <v>79</v>
      </c>
      <c r="B253" s="107">
        <v>80</v>
      </c>
      <c r="C253" s="107">
        <v>0.21210000000000001</v>
      </c>
      <c r="D253" s="107">
        <v>0.51</v>
      </c>
      <c r="E253" s="107">
        <v>0.29849999999999999</v>
      </c>
      <c r="F253" s="107">
        <v>7</v>
      </c>
      <c r="G253" s="107">
        <v>50</v>
      </c>
      <c r="H253" s="108">
        <v>57</v>
      </c>
      <c r="I253" s="105">
        <f>SUM(Table2[[#This Row],[casual]],Table2[[#This Row],[registered]])</f>
        <v>57</v>
      </c>
      <c r="J253" s="113"/>
    </row>
    <row r="254" spans="1:10" ht="14.25">
      <c r="A254" s="106">
        <v>101</v>
      </c>
      <c r="B254" s="107">
        <v>102</v>
      </c>
      <c r="C254" s="107">
        <v>0.19700000000000001</v>
      </c>
      <c r="D254" s="107">
        <v>0.37</v>
      </c>
      <c r="E254" s="107">
        <v>0.32840000000000003</v>
      </c>
      <c r="F254" s="107">
        <v>4</v>
      </c>
      <c r="G254" s="107">
        <v>53</v>
      </c>
      <c r="H254" s="108">
        <v>57</v>
      </c>
      <c r="I254" s="105">
        <f>SUM(Table2[[#This Row],[casual]],Table2[[#This Row],[registered]])</f>
        <v>57</v>
      </c>
      <c r="J254" s="113"/>
    </row>
    <row r="255" spans="1:10" ht="14.25">
      <c r="A255" s="106">
        <v>243</v>
      </c>
      <c r="B255" s="107">
        <v>244</v>
      </c>
      <c r="C255" s="107">
        <v>0.2273</v>
      </c>
      <c r="D255" s="107">
        <v>0.51</v>
      </c>
      <c r="E255" s="107">
        <v>0.1045</v>
      </c>
      <c r="F255" s="107">
        <v>2</v>
      </c>
      <c r="G255" s="107">
        <v>55</v>
      </c>
      <c r="H255" s="108">
        <v>57</v>
      </c>
      <c r="I255" s="105">
        <f>SUM(Table2[[#This Row],[casual]],Table2[[#This Row],[registered]])</f>
        <v>57</v>
      </c>
      <c r="J255" s="113"/>
    </row>
    <row r="256" spans="1:10" ht="14.25">
      <c r="A256" s="106">
        <v>274</v>
      </c>
      <c r="B256" s="107">
        <v>275</v>
      </c>
      <c r="C256" s="107">
        <v>0.13639999999999999</v>
      </c>
      <c r="D256" s="107">
        <v>0.55000000000000004</v>
      </c>
      <c r="E256" s="107">
        <v>0.32840000000000003</v>
      </c>
      <c r="F256" s="107">
        <v>0</v>
      </c>
      <c r="G256" s="107">
        <v>57</v>
      </c>
      <c r="H256" s="108">
        <v>57</v>
      </c>
      <c r="I256" s="105">
        <f>SUM(Table2[[#This Row],[casual]],Table2[[#This Row],[registered]])</f>
        <v>57</v>
      </c>
      <c r="J256" s="113"/>
    </row>
    <row r="257" spans="1:10" ht="14.25">
      <c r="A257" s="106">
        <v>345</v>
      </c>
      <c r="B257" s="107">
        <v>346</v>
      </c>
      <c r="C257" s="107">
        <v>0.30299999999999999</v>
      </c>
      <c r="D257" s="107">
        <v>0.39</v>
      </c>
      <c r="E257" s="107">
        <v>0.22389999999999999</v>
      </c>
      <c r="F257" s="107">
        <v>6</v>
      </c>
      <c r="G257" s="107">
        <v>51</v>
      </c>
      <c r="H257" s="108">
        <v>57</v>
      </c>
      <c r="I257" s="105">
        <f>SUM(Table2[[#This Row],[casual]],Table2[[#This Row],[registered]])</f>
        <v>57</v>
      </c>
      <c r="J257" s="113"/>
    </row>
    <row r="258" spans="1:10" ht="14.25">
      <c r="A258" s="106">
        <v>368</v>
      </c>
      <c r="B258" s="107">
        <v>369</v>
      </c>
      <c r="C258" s="107">
        <v>0.19700000000000001</v>
      </c>
      <c r="D258" s="107">
        <v>0.47</v>
      </c>
      <c r="E258" s="107">
        <v>0.16420000000000001</v>
      </c>
      <c r="F258" s="107">
        <v>7</v>
      </c>
      <c r="G258" s="107">
        <v>50</v>
      </c>
      <c r="H258" s="108">
        <v>57</v>
      </c>
      <c r="I258" s="105">
        <f>SUM(Table2[[#This Row],[casual]],Table2[[#This Row],[registered]])</f>
        <v>57</v>
      </c>
      <c r="J258" s="113"/>
    </row>
    <row r="259" spans="1:10" ht="14.25">
      <c r="A259" s="106">
        <v>382</v>
      </c>
      <c r="B259" s="107">
        <v>383</v>
      </c>
      <c r="C259" s="107">
        <v>0.1515</v>
      </c>
      <c r="D259" s="107">
        <v>0.5</v>
      </c>
      <c r="E259" s="107">
        <v>0.25369999999999998</v>
      </c>
      <c r="F259" s="107">
        <v>7</v>
      </c>
      <c r="G259" s="107">
        <v>50</v>
      </c>
      <c r="H259" s="108">
        <v>57</v>
      </c>
      <c r="I259" s="105">
        <f>SUM(Table2[[#This Row],[casual]],Table2[[#This Row],[registered]])</f>
        <v>57</v>
      </c>
      <c r="J259" s="113"/>
    </row>
    <row r="260" spans="1:10" ht="14.25">
      <c r="A260" s="106">
        <v>441</v>
      </c>
      <c r="B260" s="107">
        <v>442</v>
      </c>
      <c r="C260" s="107">
        <v>0.2273</v>
      </c>
      <c r="D260" s="107">
        <v>0.48</v>
      </c>
      <c r="E260" s="107">
        <v>0.29849999999999999</v>
      </c>
      <c r="F260" s="107">
        <v>1</v>
      </c>
      <c r="G260" s="107">
        <v>56</v>
      </c>
      <c r="H260" s="108">
        <v>57</v>
      </c>
      <c r="I260" s="105">
        <f>SUM(Table2[[#This Row],[casual]],Table2[[#This Row],[registered]])</f>
        <v>57</v>
      </c>
      <c r="J260" s="113"/>
    </row>
    <row r="261" spans="1:10" ht="14.25">
      <c r="A261" s="106">
        <v>452</v>
      </c>
      <c r="B261" s="107">
        <v>453</v>
      </c>
      <c r="C261" s="107">
        <v>0.2273</v>
      </c>
      <c r="D261" s="107">
        <v>0.6</v>
      </c>
      <c r="E261" s="107">
        <v>0.25369999999999998</v>
      </c>
      <c r="F261" s="107">
        <v>3</v>
      </c>
      <c r="G261" s="107">
        <v>54</v>
      </c>
      <c r="H261" s="108">
        <v>57</v>
      </c>
      <c r="I261" s="105">
        <f>SUM(Table2[[#This Row],[casual]],Table2[[#This Row],[registered]])</f>
        <v>57</v>
      </c>
      <c r="J261" s="113"/>
    </row>
    <row r="262" spans="1:10" ht="14.25">
      <c r="A262" s="106">
        <v>539</v>
      </c>
      <c r="B262" s="107">
        <v>540</v>
      </c>
      <c r="C262" s="107">
        <v>0.16669999999999999</v>
      </c>
      <c r="D262" s="107">
        <v>0.4</v>
      </c>
      <c r="E262" s="107">
        <v>0.16420000000000001</v>
      </c>
      <c r="F262" s="107">
        <v>7</v>
      </c>
      <c r="G262" s="107">
        <v>50</v>
      </c>
      <c r="H262" s="108">
        <v>57</v>
      </c>
      <c r="I262" s="105">
        <f>SUM(Table2[[#This Row],[casual]],Table2[[#This Row],[registered]])</f>
        <v>57</v>
      </c>
      <c r="J262" s="113"/>
    </row>
    <row r="263" spans="1:10" ht="14.25">
      <c r="A263" s="106">
        <v>11</v>
      </c>
      <c r="B263" s="107">
        <v>12</v>
      </c>
      <c r="C263" s="107">
        <v>0.33329999999999999</v>
      </c>
      <c r="D263" s="107">
        <v>0.81</v>
      </c>
      <c r="E263" s="107">
        <v>0.28360000000000002</v>
      </c>
      <c r="F263" s="107">
        <v>26</v>
      </c>
      <c r="G263" s="107">
        <v>30</v>
      </c>
      <c r="H263" s="108">
        <v>56</v>
      </c>
      <c r="I263" s="105">
        <f>SUM(Table2[[#This Row],[casual]],Table2[[#This Row],[registered]])</f>
        <v>56</v>
      </c>
      <c r="J263" s="113"/>
    </row>
    <row r="264" spans="1:10" ht="14.25">
      <c r="A264" s="106">
        <v>273</v>
      </c>
      <c r="B264" s="107">
        <v>274</v>
      </c>
      <c r="C264" s="107">
        <v>0.13639999999999999</v>
      </c>
      <c r="D264" s="107">
        <v>0.5</v>
      </c>
      <c r="E264" s="107">
        <v>0.32840000000000003</v>
      </c>
      <c r="F264" s="107">
        <v>2</v>
      </c>
      <c r="G264" s="107">
        <v>54</v>
      </c>
      <c r="H264" s="108">
        <v>56</v>
      </c>
      <c r="I264" s="105">
        <f>SUM(Table2[[#This Row],[casual]],Table2[[#This Row],[registered]])</f>
        <v>56</v>
      </c>
      <c r="J264" s="113"/>
    </row>
    <row r="265" spans="1:10" ht="14.25">
      <c r="A265" s="106">
        <v>453</v>
      </c>
      <c r="B265" s="107">
        <v>454</v>
      </c>
      <c r="C265" s="107">
        <v>0.21210000000000001</v>
      </c>
      <c r="D265" s="107">
        <v>0.65</v>
      </c>
      <c r="E265" s="107">
        <v>0.28360000000000002</v>
      </c>
      <c r="F265" s="107">
        <v>0</v>
      </c>
      <c r="G265" s="107">
        <v>56</v>
      </c>
      <c r="H265" s="108">
        <v>56</v>
      </c>
      <c r="I265" s="105">
        <f>SUM(Table2[[#This Row],[casual]],Table2[[#This Row],[registered]])</f>
        <v>56</v>
      </c>
      <c r="J265" s="113"/>
    </row>
    <row r="266" spans="1:10" ht="14.25">
      <c r="A266" s="106">
        <v>179</v>
      </c>
      <c r="B266" s="107">
        <v>180</v>
      </c>
      <c r="C266" s="107">
        <v>0.1212</v>
      </c>
      <c r="D266" s="107">
        <v>0.39</v>
      </c>
      <c r="E266" s="107">
        <v>0.29849999999999999</v>
      </c>
      <c r="F266" s="107">
        <v>3</v>
      </c>
      <c r="G266" s="107">
        <v>52</v>
      </c>
      <c r="H266" s="108">
        <v>55</v>
      </c>
      <c r="I266" s="105">
        <f>SUM(Table2[[#This Row],[casual]],Table2[[#This Row],[registered]])</f>
        <v>55</v>
      </c>
      <c r="J266" s="113"/>
    </row>
    <row r="267" spans="1:10" ht="14.25">
      <c r="A267" s="106">
        <v>265</v>
      </c>
      <c r="B267" s="107">
        <v>266</v>
      </c>
      <c r="C267" s="107">
        <v>0.1515</v>
      </c>
      <c r="D267" s="107">
        <v>0.47</v>
      </c>
      <c r="E267" s="107">
        <v>0.58209999999999995</v>
      </c>
      <c r="F267" s="107">
        <v>3</v>
      </c>
      <c r="G267" s="107">
        <v>52</v>
      </c>
      <c r="H267" s="108">
        <v>55</v>
      </c>
      <c r="I267" s="105">
        <f>SUM(Table2[[#This Row],[casual]],Table2[[#This Row],[registered]])</f>
        <v>55</v>
      </c>
      <c r="J267" s="113"/>
    </row>
    <row r="268" spans="1:10" ht="14.25">
      <c r="A268" s="106">
        <v>518</v>
      </c>
      <c r="B268" s="107">
        <v>519</v>
      </c>
      <c r="C268" s="107">
        <v>0.1061</v>
      </c>
      <c r="D268" s="107">
        <v>0.26</v>
      </c>
      <c r="E268" s="107">
        <v>0.3881</v>
      </c>
      <c r="F268" s="107">
        <v>5</v>
      </c>
      <c r="G268" s="107">
        <v>50</v>
      </c>
      <c r="H268" s="108">
        <v>55</v>
      </c>
      <c r="I268" s="105">
        <f>SUM(Table2[[#This Row],[casual]],Table2[[#This Row],[registered]])</f>
        <v>55</v>
      </c>
      <c r="J268" s="113"/>
    </row>
    <row r="269" spans="1:10" ht="14.25">
      <c r="A269" s="106">
        <v>557</v>
      </c>
      <c r="B269" s="107">
        <v>558</v>
      </c>
      <c r="C269" s="107">
        <v>0.2424</v>
      </c>
      <c r="D269" s="107">
        <v>0.6</v>
      </c>
      <c r="E269" s="107">
        <v>0.1045</v>
      </c>
      <c r="F269" s="107">
        <v>6</v>
      </c>
      <c r="G269" s="107">
        <v>49</v>
      </c>
      <c r="H269" s="108">
        <v>55</v>
      </c>
      <c r="I269" s="105">
        <f>SUM(Table2[[#This Row],[casual]],Table2[[#This Row],[registered]])</f>
        <v>55</v>
      </c>
      <c r="J269" s="113"/>
    </row>
    <row r="270" spans="1:10" ht="14.25">
      <c r="A270" s="106">
        <v>88</v>
      </c>
      <c r="B270" s="107">
        <v>89</v>
      </c>
      <c r="C270" s="107">
        <v>0.2576</v>
      </c>
      <c r="D270" s="107">
        <v>0.48</v>
      </c>
      <c r="E270" s="107">
        <v>0.1045</v>
      </c>
      <c r="F270" s="107">
        <v>1</v>
      </c>
      <c r="G270" s="107">
        <v>53</v>
      </c>
      <c r="H270" s="108">
        <v>54</v>
      </c>
      <c r="I270" s="105">
        <f>SUM(Table2[[#This Row],[casual]],Table2[[#This Row],[registered]])</f>
        <v>54</v>
      </c>
      <c r="J270" s="113"/>
    </row>
    <row r="271" spans="1:10" ht="14.25">
      <c r="A271" s="106">
        <v>222</v>
      </c>
      <c r="B271" s="107">
        <v>223</v>
      </c>
      <c r="C271" s="107">
        <v>0.18179999999999999</v>
      </c>
      <c r="D271" s="107">
        <v>0.4</v>
      </c>
      <c r="E271" s="107">
        <v>0.28360000000000002</v>
      </c>
      <c r="F271" s="107">
        <v>4</v>
      </c>
      <c r="G271" s="107">
        <v>50</v>
      </c>
      <c r="H271" s="108">
        <v>54</v>
      </c>
      <c r="I271" s="105">
        <f>SUM(Table2[[#This Row],[casual]],Table2[[#This Row],[registered]])</f>
        <v>54</v>
      </c>
      <c r="J271" s="113"/>
    </row>
    <row r="272" spans="1:10" ht="14.25">
      <c r="A272" s="106">
        <v>241</v>
      </c>
      <c r="B272" s="107">
        <v>242</v>
      </c>
      <c r="C272" s="107">
        <v>0.21210000000000001</v>
      </c>
      <c r="D272" s="107">
        <v>0.51</v>
      </c>
      <c r="E272" s="107">
        <v>0.16420000000000001</v>
      </c>
      <c r="F272" s="107">
        <v>3</v>
      </c>
      <c r="G272" s="107">
        <v>51</v>
      </c>
      <c r="H272" s="108">
        <v>54</v>
      </c>
      <c r="I272" s="105">
        <f>SUM(Table2[[#This Row],[casual]],Table2[[#This Row],[registered]])</f>
        <v>54</v>
      </c>
      <c r="J272" s="113"/>
    </row>
    <row r="273" spans="1:10" ht="14.25">
      <c r="A273" s="106">
        <v>260</v>
      </c>
      <c r="B273" s="107">
        <v>261</v>
      </c>
      <c r="C273" s="107">
        <v>0.1515</v>
      </c>
      <c r="D273" s="107">
        <v>0.69</v>
      </c>
      <c r="E273" s="107">
        <v>0.1343</v>
      </c>
      <c r="F273" s="107">
        <v>0</v>
      </c>
      <c r="G273" s="107">
        <v>54</v>
      </c>
      <c r="H273" s="108">
        <v>54</v>
      </c>
      <c r="I273" s="105">
        <f>SUM(Table2[[#This Row],[casual]],Table2[[#This Row],[registered]])</f>
        <v>54</v>
      </c>
      <c r="J273" s="113"/>
    </row>
    <row r="274" spans="1:10" ht="14.25">
      <c r="A274" s="106">
        <v>496</v>
      </c>
      <c r="B274" s="107">
        <v>497</v>
      </c>
      <c r="C274" s="107">
        <v>9.0899999999999995E-2</v>
      </c>
      <c r="D274" s="107">
        <v>0.35</v>
      </c>
      <c r="E274" s="107">
        <v>0.19400000000000001</v>
      </c>
      <c r="F274" s="107">
        <v>0</v>
      </c>
      <c r="G274" s="107">
        <v>54</v>
      </c>
      <c r="H274" s="108">
        <v>54</v>
      </c>
      <c r="I274" s="105">
        <f>SUM(Table2[[#This Row],[casual]],Table2[[#This Row],[registered]])</f>
        <v>54</v>
      </c>
      <c r="J274" s="113"/>
    </row>
    <row r="275" spans="1:10" ht="14.25">
      <c r="A275" s="106">
        <v>33</v>
      </c>
      <c r="B275" s="107">
        <v>34</v>
      </c>
      <c r="C275" s="107">
        <v>0.34849999999999998</v>
      </c>
      <c r="D275" s="107">
        <v>0.81</v>
      </c>
      <c r="E275" s="107">
        <v>0.22389999999999999</v>
      </c>
      <c r="F275" s="107">
        <v>7</v>
      </c>
      <c r="G275" s="107">
        <v>46</v>
      </c>
      <c r="H275" s="108">
        <v>53</v>
      </c>
      <c r="I275" s="105">
        <f>SUM(Table2[[#This Row],[casual]],Table2[[#This Row],[registered]])</f>
        <v>53</v>
      </c>
      <c r="J275" s="113"/>
    </row>
    <row r="276" spans="1:10" ht="14.25">
      <c r="A276" s="106">
        <v>41</v>
      </c>
      <c r="B276" s="107">
        <v>42</v>
      </c>
      <c r="C276" s="107">
        <v>0.33329999999999999</v>
      </c>
      <c r="D276" s="107">
        <v>0.46</v>
      </c>
      <c r="E276" s="107">
        <v>0.32840000000000003</v>
      </c>
      <c r="F276" s="107">
        <v>10</v>
      </c>
      <c r="G276" s="107">
        <v>43</v>
      </c>
      <c r="H276" s="108">
        <v>53</v>
      </c>
      <c r="I276" s="105">
        <f>SUM(Table2[[#This Row],[casual]],Table2[[#This Row],[registered]])</f>
        <v>53</v>
      </c>
      <c r="J276" s="113"/>
    </row>
    <row r="277" spans="1:10" ht="14.25">
      <c r="A277" s="106">
        <v>311</v>
      </c>
      <c r="B277" s="107">
        <v>312</v>
      </c>
      <c r="C277" s="107">
        <v>0.16669999999999999</v>
      </c>
      <c r="D277" s="107">
        <v>0.51</v>
      </c>
      <c r="E277" s="107">
        <v>0.28360000000000002</v>
      </c>
      <c r="F277" s="107">
        <v>6</v>
      </c>
      <c r="G277" s="107">
        <v>47</v>
      </c>
      <c r="H277" s="108">
        <v>53</v>
      </c>
      <c r="I277" s="105">
        <f>SUM(Table2[[#This Row],[casual]],Table2[[#This Row],[registered]])</f>
        <v>53</v>
      </c>
      <c r="J277" s="113"/>
    </row>
    <row r="278" spans="1:10" ht="14.25">
      <c r="A278" s="106">
        <v>475</v>
      </c>
      <c r="B278" s="107">
        <v>476</v>
      </c>
      <c r="C278" s="107">
        <v>7.5800000000000006E-2</v>
      </c>
      <c r="D278" s="107">
        <v>0.33</v>
      </c>
      <c r="E278" s="107">
        <v>0.41789999999999999</v>
      </c>
      <c r="F278" s="107">
        <v>1</v>
      </c>
      <c r="G278" s="107">
        <v>52</v>
      </c>
      <c r="H278" s="108">
        <v>53</v>
      </c>
      <c r="I278" s="105">
        <f>SUM(Table2[[#This Row],[casual]],Table2[[#This Row],[registered]])</f>
        <v>53</v>
      </c>
      <c r="J278" s="113"/>
    </row>
    <row r="279" spans="1:10" ht="14.25">
      <c r="A279" s="106">
        <v>488</v>
      </c>
      <c r="B279" s="107">
        <v>489</v>
      </c>
      <c r="C279" s="107">
        <v>6.0600000000000001E-2</v>
      </c>
      <c r="D279" s="107">
        <v>0.41</v>
      </c>
      <c r="E279" s="107">
        <v>0.16420000000000001</v>
      </c>
      <c r="F279" s="107">
        <v>3</v>
      </c>
      <c r="G279" s="107">
        <v>50</v>
      </c>
      <c r="H279" s="108">
        <v>53</v>
      </c>
      <c r="I279" s="105">
        <f>SUM(Table2[[#This Row],[casual]],Table2[[#This Row],[registered]])</f>
        <v>53</v>
      </c>
      <c r="J279" s="113"/>
    </row>
    <row r="280" spans="1:10" ht="14.25">
      <c r="A280" s="106">
        <v>569</v>
      </c>
      <c r="B280" s="107">
        <v>570</v>
      </c>
      <c r="C280" s="107">
        <v>0.2273</v>
      </c>
      <c r="D280" s="107">
        <v>0.64</v>
      </c>
      <c r="E280" s="107">
        <v>0.16420000000000001</v>
      </c>
      <c r="F280" s="107">
        <v>4</v>
      </c>
      <c r="G280" s="107">
        <v>49</v>
      </c>
      <c r="H280" s="108">
        <v>53</v>
      </c>
      <c r="I280" s="105">
        <f>SUM(Table2[[#This Row],[casual]],Table2[[#This Row],[registered]])</f>
        <v>53</v>
      </c>
      <c r="J280" s="113"/>
    </row>
    <row r="281" spans="1:10" ht="14.25">
      <c r="A281" s="106">
        <v>65</v>
      </c>
      <c r="B281" s="107">
        <v>66</v>
      </c>
      <c r="C281" s="47"/>
      <c r="D281" s="107">
        <v>0.47</v>
      </c>
      <c r="E281" s="107">
        <v>0.1045</v>
      </c>
      <c r="F281" s="107">
        <v>3</v>
      </c>
      <c r="G281" s="107">
        <v>49</v>
      </c>
      <c r="H281" s="108">
        <v>52</v>
      </c>
      <c r="I281" s="105">
        <f>SUM(Table2[[#This Row],[casual]],Table2[[#This Row],[registered]])</f>
        <v>52</v>
      </c>
      <c r="J281" s="113"/>
    </row>
    <row r="282" spans="1:10" ht="14.25">
      <c r="A282" s="106">
        <v>66</v>
      </c>
      <c r="B282" s="107">
        <v>67</v>
      </c>
      <c r="C282" s="107">
        <v>0.19700000000000001</v>
      </c>
      <c r="D282" s="107">
        <v>0.64</v>
      </c>
      <c r="E282" s="107">
        <v>0.1343</v>
      </c>
      <c r="F282" s="107">
        <v>3</v>
      </c>
      <c r="G282" s="107">
        <v>49</v>
      </c>
      <c r="H282" s="108">
        <v>52</v>
      </c>
      <c r="I282" s="105">
        <f>SUM(Table2[[#This Row],[casual]],Table2[[#This Row],[registered]])</f>
        <v>52</v>
      </c>
      <c r="J282" s="113"/>
    </row>
    <row r="283" spans="1:10" ht="14.25">
      <c r="A283" s="106">
        <v>136</v>
      </c>
      <c r="B283" s="107">
        <v>137</v>
      </c>
      <c r="C283" s="107">
        <v>0.21210000000000001</v>
      </c>
      <c r="D283" s="107">
        <v>0.51</v>
      </c>
      <c r="E283" s="107">
        <v>0.28360000000000002</v>
      </c>
      <c r="F283" s="107">
        <v>1</v>
      </c>
      <c r="G283" s="107">
        <v>51</v>
      </c>
      <c r="H283" s="108">
        <v>52</v>
      </c>
      <c r="I283" s="105">
        <f>SUM(Table2[[#This Row],[casual]],Table2[[#This Row],[registered]])</f>
        <v>52</v>
      </c>
      <c r="J283" s="113"/>
    </row>
    <row r="284" spans="1:10" ht="14.25">
      <c r="A284" s="106">
        <v>221</v>
      </c>
      <c r="B284" s="107">
        <v>222</v>
      </c>
      <c r="C284" s="107">
        <v>0.18179999999999999</v>
      </c>
      <c r="D284" s="107">
        <v>0.4</v>
      </c>
      <c r="E284" s="107">
        <v>0.28360000000000002</v>
      </c>
      <c r="F284" s="107">
        <v>5</v>
      </c>
      <c r="G284" s="107">
        <v>47</v>
      </c>
      <c r="H284" s="108">
        <v>52</v>
      </c>
      <c r="I284" s="105">
        <f>SUM(Table2[[#This Row],[casual]],Table2[[#This Row],[registered]])</f>
        <v>52</v>
      </c>
      <c r="J284" s="113"/>
    </row>
    <row r="285" spans="1:10" ht="14.25">
      <c r="A285" s="106">
        <v>244</v>
      </c>
      <c r="B285" s="107">
        <v>245</v>
      </c>
      <c r="C285" s="107">
        <v>0.2273</v>
      </c>
      <c r="D285" s="107">
        <v>0.59</v>
      </c>
      <c r="E285" s="107">
        <v>8.9599999999999999E-2</v>
      </c>
      <c r="F285" s="107">
        <v>6</v>
      </c>
      <c r="G285" s="107">
        <v>46</v>
      </c>
      <c r="H285" s="108">
        <v>52</v>
      </c>
      <c r="I285" s="105">
        <f>SUM(Table2[[#This Row],[casual]],Table2[[#This Row],[registered]])</f>
        <v>52</v>
      </c>
      <c r="J285" s="113"/>
    </row>
    <row r="286" spans="1:10" ht="14.25">
      <c r="A286" s="106">
        <v>289</v>
      </c>
      <c r="B286" s="107">
        <v>290</v>
      </c>
      <c r="C286" s="107">
        <v>0.16669999999999999</v>
      </c>
      <c r="D286" s="107">
        <v>0.44</v>
      </c>
      <c r="E286" s="107">
        <v>0.41789999999999999</v>
      </c>
      <c r="F286" s="107">
        <v>3</v>
      </c>
      <c r="G286" s="107">
        <v>49</v>
      </c>
      <c r="H286" s="108">
        <v>52</v>
      </c>
      <c r="I286" s="105">
        <f>SUM(Table2[[#This Row],[casual]],Table2[[#This Row],[registered]])</f>
        <v>52</v>
      </c>
      <c r="J286" s="113"/>
    </row>
    <row r="287" spans="1:10" ht="14.25">
      <c r="A287" s="106">
        <v>321</v>
      </c>
      <c r="B287" s="107">
        <v>322</v>
      </c>
      <c r="C287" s="107">
        <v>0.2273</v>
      </c>
      <c r="D287" s="107">
        <v>0.69</v>
      </c>
      <c r="E287" s="107">
        <v>0</v>
      </c>
      <c r="F287" s="107">
        <v>4</v>
      </c>
      <c r="G287" s="107">
        <v>48</v>
      </c>
      <c r="H287" s="108">
        <v>52</v>
      </c>
      <c r="I287" s="105">
        <f>SUM(Table2[[#This Row],[casual]],Table2[[#This Row],[registered]])</f>
        <v>52</v>
      </c>
      <c r="J287" s="113"/>
    </row>
    <row r="288" spans="1:10" ht="14.25">
      <c r="A288" s="106">
        <v>418</v>
      </c>
      <c r="B288" s="107">
        <v>419</v>
      </c>
      <c r="C288" s="107">
        <v>0.30299999999999999</v>
      </c>
      <c r="D288" s="107">
        <v>0.87</v>
      </c>
      <c r="E288" s="107">
        <v>8.9599999999999999E-2</v>
      </c>
      <c r="F288" s="107">
        <v>5</v>
      </c>
      <c r="G288" s="107">
        <v>47</v>
      </c>
      <c r="H288" s="108">
        <v>52</v>
      </c>
      <c r="I288" s="105">
        <f>SUM(Table2[[#This Row],[casual]],Table2[[#This Row],[registered]])</f>
        <v>52</v>
      </c>
      <c r="J288" s="113"/>
    </row>
    <row r="289" spans="1:10" ht="14.25">
      <c r="A289" s="106">
        <v>56</v>
      </c>
      <c r="B289" s="107">
        <v>57</v>
      </c>
      <c r="C289" s="107">
        <v>0.18179999999999999</v>
      </c>
      <c r="D289" s="107">
        <v>0.4</v>
      </c>
      <c r="E289" s="107">
        <v>0.32840000000000003</v>
      </c>
      <c r="F289" s="107">
        <v>10</v>
      </c>
      <c r="G289" s="107">
        <v>41</v>
      </c>
      <c r="H289" s="108">
        <v>51</v>
      </c>
      <c r="I289" s="105">
        <f>SUM(Table2[[#This Row],[casual]],Table2[[#This Row],[registered]])</f>
        <v>51</v>
      </c>
      <c r="J289" s="113"/>
    </row>
    <row r="290" spans="1:10" ht="14.25">
      <c r="A290" s="106">
        <v>157</v>
      </c>
      <c r="B290" s="107">
        <v>158</v>
      </c>
      <c r="C290" s="107">
        <v>0.21210000000000001</v>
      </c>
      <c r="D290" s="107">
        <v>0.47</v>
      </c>
      <c r="E290" s="107">
        <v>0.1045</v>
      </c>
      <c r="F290" s="107">
        <v>1</v>
      </c>
      <c r="G290" s="107">
        <v>50</v>
      </c>
      <c r="H290" s="108">
        <v>51</v>
      </c>
      <c r="I290" s="105">
        <f>SUM(Table2[[#This Row],[casual]],Table2[[#This Row],[registered]])</f>
        <v>51</v>
      </c>
      <c r="J290" s="113"/>
    </row>
    <row r="291" spans="1:10" ht="14.25">
      <c r="A291" s="106">
        <v>250</v>
      </c>
      <c r="B291" s="107">
        <v>251</v>
      </c>
      <c r="C291" s="107">
        <v>0.2273</v>
      </c>
      <c r="D291" s="107">
        <v>0.93</v>
      </c>
      <c r="E291" s="107">
        <v>0</v>
      </c>
      <c r="F291" s="107">
        <v>0</v>
      </c>
      <c r="G291" s="107">
        <v>51</v>
      </c>
      <c r="H291" s="108">
        <v>51</v>
      </c>
      <c r="I291" s="105">
        <f>SUM(Table2[[#This Row],[casual]],Table2[[#This Row],[registered]])</f>
        <v>51</v>
      </c>
      <c r="J291" s="113"/>
    </row>
    <row r="292" spans="1:10" ht="14.25">
      <c r="A292" s="106">
        <v>151</v>
      </c>
      <c r="B292" s="107">
        <v>152</v>
      </c>
      <c r="C292" s="107">
        <v>0.19700000000000001</v>
      </c>
      <c r="D292" s="107">
        <v>0.4</v>
      </c>
      <c r="E292" s="107">
        <v>0.25369999999999998</v>
      </c>
      <c r="F292" s="107">
        <v>7</v>
      </c>
      <c r="G292" s="107">
        <v>43</v>
      </c>
      <c r="H292" s="108">
        <v>50</v>
      </c>
      <c r="I292" s="105">
        <f>SUM(Table2[[#This Row],[casual]],Table2[[#This Row],[registered]])</f>
        <v>50</v>
      </c>
      <c r="J292" s="113"/>
    </row>
    <row r="293" spans="1:10" ht="14.25">
      <c r="A293" s="106">
        <v>520</v>
      </c>
      <c r="B293" s="107">
        <v>521</v>
      </c>
      <c r="C293" s="107">
        <v>0.1212</v>
      </c>
      <c r="D293" s="107">
        <v>0.3</v>
      </c>
      <c r="E293" s="107">
        <v>0.28360000000000002</v>
      </c>
      <c r="F293" s="107">
        <v>5</v>
      </c>
      <c r="G293" s="107">
        <v>45</v>
      </c>
      <c r="H293" s="108">
        <v>50</v>
      </c>
      <c r="I293" s="105">
        <f>SUM(Table2[[#This Row],[casual]],Table2[[#This Row],[registered]])</f>
        <v>50</v>
      </c>
      <c r="J293" s="113"/>
    </row>
    <row r="294" spans="1:10" ht="14.25">
      <c r="A294" s="106">
        <v>195</v>
      </c>
      <c r="B294" s="107">
        <v>196</v>
      </c>
      <c r="C294" s="107">
        <v>0.1061</v>
      </c>
      <c r="D294" s="107">
        <v>0.43</v>
      </c>
      <c r="E294" s="107">
        <v>0.3881</v>
      </c>
      <c r="F294" s="107">
        <v>0</v>
      </c>
      <c r="G294" s="107">
        <v>49</v>
      </c>
      <c r="H294" s="108">
        <v>49</v>
      </c>
      <c r="I294" s="105">
        <f>SUM(Table2[[#This Row],[casual]],Table2[[#This Row],[registered]])</f>
        <v>49</v>
      </c>
      <c r="J294" s="113"/>
    </row>
    <row r="295" spans="1:10" ht="14.25">
      <c r="A295" s="106">
        <v>196</v>
      </c>
      <c r="B295" s="107">
        <v>197</v>
      </c>
      <c r="C295" s="107">
        <v>0.1212</v>
      </c>
      <c r="D295" s="107">
        <v>0.4</v>
      </c>
      <c r="E295" s="107">
        <v>0.52239999999999998</v>
      </c>
      <c r="F295" s="107">
        <v>2</v>
      </c>
      <c r="G295" s="107">
        <v>47</v>
      </c>
      <c r="H295" s="108">
        <v>49</v>
      </c>
      <c r="I295" s="105">
        <f>SUM(Table2[[#This Row],[casual]],Table2[[#This Row],[registered]])</f>
        <v>49</v>
      </c>
      <c r="J295" s="113"/>
    </row>
    <row r="296" spans="1:10" ht="14.25">
      <c r="A296" s="106">
        <v>266</v>
      </c>
      <c r="B296" s="107">
        <v>267</v>
      </c>
      <c r="C296" s="107">
        <v>0.19700000000000001</v>
      </c>
      <c r="D296" s="107">
        <v>0.44</v>
      </c>
      <c r="E296" s="107">
        <v>0.35820000000000002</v>
      </c>
      <c r="F296" s="107">
        <v>0</v>
      </c>
      <c r="G296" s="107">
        <v>49</v>
      </c>
      <c r="H296" s="108">
        <v>49</v>
      </c>
      <c r="I296" s="105">
        <f>SUM(Table2[[#This Row],[casual]],Table2[[#This Row],[registered]])</f>
        <v>49</v>
      </c>
      <c r="J296" s="113"/>
    </row>
    <row r="297" spans="1:10" ht="14.25">
      <c r="A297" s="106">
        <v>268</v>
      </c>
      <c r="B297" s="107">
        <v>269</v>
      </c>
      <c r="C297" s="107">
        <v>0.16669999999999999</v>
      </c>
      <c r="D297" s="107">
        <v>0.47</v>
      </c>
      <c r="E297" s="107">
        <v>0.41789999999999999</v>
      </c>
      <c r="F297" s="107">
        <v>1</v>
      </c>
      <c r="G297" s="107">
        <v>48</v>
      </c>
      <c r="H297" s="108">
        <v>49</v>
      </c>
      <c r="I297" s="105">
        <f>SUM(Table2[[#This Row],[casual]],Table2[[#This Row],[registered]])</f>
        <v>49</v>
      </c>
      <c r="J297" s="113"/>
    </row>
    <row r="298" spans="1:10" ht="14.25">
      <c r="A298" s="106">
        <v>519</v>
      </c>
      <c r="B298" s="107">
        <v>520</v>
      </c>
      <c r="C298" s="107">
        <v>0.1212</v>
      </c>
      <c r="D298" s="107">
        <v>0.3</v>
      </c>
      <c r="E298" s="107">
        <v>0.25369999999999998</v>
      </c>
      <c r="F298" s="107">
        <v>5</v>
      </c>
      <c r="G298" s="107">
        <v>44</v>
      </c>
      <c r="H298" s="108">
        <v>49</v>
      </c>
      <c r="I298" s="105">
        <f>SUM(Table2[[#This Row],[casual]],Table2[[#This Row],[registered]])</f>
        <v>49</v>
      </c>
      <c r="J298" s="113"/>
    </row>
    <row r="299" spans="1:10" ht="14.25">
      <c r="A299" s="106">
        <v>604</v>
      </c>
      <c r="B299" s="107">
        <v>605</v>
      </c>
      <c r="C299" s="107">
        <v>0.21210000000000001</v>
      </c>
      <c r="D299" s="107">
        <v>0.86</v>
      </c>
      <c r="E299" s="107">
        <v>0.1045</v>
      </c>
      <c r="F299" s="107">
        <v>0</v>
      </c>
      <c r="G299" s="107">
        <v>49</v>
      </c>
      <c r="H299" s="108">
        <v>49</v>
      </c>
      <c r="I299" s="105">
        <f>SUM(Table2[[#This Row],[casual]],Table2[[#This Row],[registered]])</f>
        <v>49</v>
      </c>
      <c r="J299" s="113"/>
    </row>
    <row r="300" spans="1:10" ht="14.25">
      <c r="A300" s="106">
        <v>89</v>
      </c>
      <c r="B300" s="107">
        <v>90</v>
      </c>
      <c r="C300" s="107">
        <v>0.2727</v>
      </c>
      <c r="D300" s="107">
        <v>0.64</v>
      </c>
      <c r="E300" s="107">
        <v>0</v>
      </c>
      <c r="F300" s="107">
        <v>0</v>
      </c>
      <c r="G300" s="107">
        <v>48</v>
      </c>
      <c r="H300" s="108">
        <v>48</v>
      </c>
      <c r="I300" s="105">
        <f>SUM(Table2[[#This Row],[casual]],Table2[[#This Row],[registered]])</f>
        <v>48</v>
      </c>
      <c r="J300" s="113"/>
    </row>
    <row r="301" spans="1:10" ht="14.25">
      <c r="A301" s="106">
        <v>135</v>
      </c>
      <c r="B301" s="107">
        <v>136</v>
      </c>
      <c r="C301" s="107">
        <v>0.21210000000000001</v>
      </c>
      <c r="D301" s="107">
        <v>0.55000000000000004</v>
      </c>
      <c r="E301" s="107">
        <v>0.22389999999999999</v>
      </c>
      <c r="F301" s="107">
        <v>0</v>
      </c>
      <c r="G301" s="107">
        <v>48</v>
      </c>
      <c r="H301" s="108">
        <v>48</v>
      </c>
      <c r="I301" s="105">
        <f>SUM(Table2[[#This Row],[casual]],Table2[[#This Row],[registered]])</f>
        <v>48</v>
      </c>
      <c r="J301" s="113"/>
    </row>
    <row r="302" spans="1:10" ht="14.25">
      <c r="A302" s="106">
        <v>203</v>
      </c>
      <c r="B302" s="107">
        <v>204</v>
      </c>
      <c r="C302" s="107">
        <v>0.13639999999999999</v>
      </c>
      <c r="D302" s="107">
        <v>0.4</v>
      </c>
      <c r="E302" s="107">
        <v>0.32840000000000003</v>
      </c>
      <c r="F302" s="107">
        <v>4</v>
      </c>
      <c r="G302" s="107">
        <v>44</v>
      </c>
      <c r="H302" s="108">
        <v>48</v>
      </c>
      <c r="I302" s="105">
        <f>SUM(Table2[[#This Row],[casual]],Table2[[#This Row],[registered]])</f>
        <v>48</v>
      </c>
      <c r="J302" s="113"/>
    </row>
    <row r="303" spans="1:10" ht="14.25">
      <c r="A303" s="106">
        <v>581</v>
      </c>
      <c r="B303" s="107">
        <v>582</v>
      </c>
      <c r="C303" s="107">
        <v>0.19700000000000001</v>
      </c>
      <c r="D303" s="107">
        <v>0.93</v>
      </c>
      <c r="E303" s="107">
        <v>0.32840000000000003</v>
      </c>
      <c r="F303" s="107">
        <v>7</v>
      </c>
      <c r="G303" s="107">
        <v>41</v>
      </c>
      <c r="H303" s="108">
        <v>48</v>
      </c>
      <c r="I303" s="105">
        <f>SUM(Table2[[#This Row],[casual]],Table2[[#This Row],[registered]])</f>
        <v>48</v>
      </c>
      <c r="J303" s="113"/>
    </row>
    <row r="304" spans="1:10" ht="14.25">
      <c r="A304" s="106">
        <v>223</v>
      </c>
      <c r="B304" s="107">
        <v>224</v>
      </c>
      <c r="C304" s="107">
        <v>0.19700000000000001</v>
      </c>
      <c r="D304" s="107">
        <v>0.4</v>
      </c>
      <c r="E304" s="107">
        <v>0.22389999999999999</v>
      </c>
      <c r="F304" s="107">
        <v>0</v>
      </c>
      <c r="G304" s="107">
        <v>47</v>
      </c>
      <c r="H304" s="108">
        <v>47</v>
      </c>
      <c r="I304" s="105">
        <f>SUM(Table2[[#This Row],[casual]],Table2[[#This Row],[registered]])</f>
        <v>47</v>
      </c>
      <c r="J304" s="113"/>
    </row>
    <row r="305" spans="1:10" ht="14.25">
      <c r="A305" s="106">
        <v>246</v>
      </c>
      <c r="B305" s="107">
        <v>247</v>
      </c>
      <c r="C305" s="107">
        <v>0.19700000000000001</v>
      </c>
      <c r="D305" s="107">
        <v>0.8</v>
      </c>
      <c r="E305" s="107">
        <v>8.9599999999999999E-2</v>
      </c>
      <c r="F305" s="107">
        <v>2</v>
      </c>
      <c r="G305" s="107">
        <v>45</v>
      </c>
      <c r="H305" s="108">
        <v>47</v>
      </c>
      <c r="I305" s="105">
        <f>SUM(Table2[[#This Row],[casual]],Table2[[#This Row],[registered]])</f>
        <v>47</v>
      </c>
      <c r="J305" s="113"/>
    </row>
    <row r="306" spans="1:10" ht="14.25">
      <c r="A306" s="106">
        <v>381</v>
      </c>
      <c r="B306" s="107">
        <v>382</v>
      </c>
      <c r="C306" s="107">
        <v>0.1515</v>
      </c>
      <c r="D306" s="107">
        <v>0.47</v>
      </c>
      <c r="E306" s="107">
        <v>0.22389999999999999</v>
      </c>
      <c r="F306" s="107">
        <v>8</v>
      </c>
      <c r="G306" s="107">
        <v>39</v>
      </c>
      <c r="H306" s="108">
        <v>47</v>
      </c>
      <c r="I306" s="105">
        <f>SUM(Table2[[#This Row],[casual]],Table2[[#This Row],[registered]])</f>
        <v>47</v>
      </c>
      <c r="J306" s="113"/>
    </row>
    <row r="307" spans="1:10" ht="14.25">
      <c r="A307" s="106">
        <v>417</v>
      </c>
      <c r="B307" s="107">
        <v>418</v>
      </c>
      <c r="C307" s="107">
        <v>0.2727</v>
      </c>
      <c r="D307" s="107">
        <v>0.93</v>
      </c>
      <c r="E307" s="107">
        <v>0.1343</v>
      </c>
      <c r="F307" s="107">
        <v>1</v>
      </c>
      <c r="G307" s="107">
        <v>46</v>
      </c>
      <c r="H307" s="108">
        <v>47</v>
      </c>
      <c r="I307" s="105">
        <f>SUM(Table2[[#This Row],[casual]],Table2[[#This Row],[registered]])</f>
        <v>47</v>
      </c>
      <c r="J307" s="113"/>
    </row>
    <row r="308" spans="1:10" ht="14.25">
      <c r="A308" s="106">
        <v>582</v>
      </c>
      <c r="B308" s="107">
        <v>583</v>
      </c>
      <c r="C308" s="107">
        <v>0.19700000000000001</v>
      </c>
      <c r="D308" s="107">
        <v>0.93</v>
      </c>
      <c r="E308" s="107">
        <v>0.32840000000000003</v>
      </c>
      <c r="F308" s="107">
        <v>4</v>
      </c>
      <c r="G308" s="107">
        <v>43</v>
      </c>
      <c r="H308" s="108">
        <v>47</v>
      </c>
      <c r="I308" s="105">
        <f>SUM(Table2[[#This Row],[casual]],Table2[[#This Row],[registered]])</f>
        <v>47</v>
      </c>
      <c r="J308" s="113"/>
    </row>
    <row r="309" spans="1:10" ht="14.25">
      <c r="A309" s="106">
        <v>102</v>
      </c>
      <c r="B309" s="107">
        <v>103</v>
      </c>
      <c r="C309" s="107">
        <v>0.2273</v>
      </c>
      <c r="D309" s="107">
        <v>0.33</v>
      </c>
      <c r="E309" s="107">
        <v>0.32840000000000003</v>
      </c>
      <c r="F309" s="107">
        <v>12</v>
      </c>
      <c r="G309" s="107">
        <v>34</v>
      </c>
      <c r="H309" s="108">
        <v>46</v>
      </c>
      <c r="I309" s="105">
        <f>SUM(Table2[[#This Row],[casual]],Table2[[#This Row],[registered]])</f>
        <v>46</v>
      </c>
      <c r="J309" s="113"/>
    </row>
    <row r="310" spans="1:10" ht="14.25">
      <c r="A310" s="106">
        <v>535</v>
      </c>
      <c r="B310" s="107">
        <v>536</v>
      </c>
      <c r="C310" s="107">
        <v>0.1212</v>
      </c>
      <c r="D310" s="107">
        <v>0.46</v>
      </c>
      <c r="E310" s="107">
        <v>0.1343</v>
      </c>
      <c r="F310" s="107">
        <v>3</v>
      </c>
      <c r="G310" s="107">
        <v>43</v>
      </c>
      <c r="H310" s="108">
        <v>46</v>
      </c>
      <c r="I310" s="105">
        <f>SUM(Table2[[#This Row],[casual]],Table2[[#This Row],[registered]])</f>
        <v>46</v>
      </c>
      <c r="J310" s="113"/>
    </row>
    <row r="311" spans="1:10" ht="14.25">
      <c r="A311" s="106">
        <v>124</v>
      </c>
      <c r="B311" s="107">
        <v>125</v>
      </c>
      <c r="C311" s="107">
        <v>0.2576</v>
      </c>
      <c r="D311" s="107">
        <v>0.47</v>
      </c>
      <c r="E311" s="107">
        <v>0</v>
      </c>
      <c r="F311" s="107">
        <v>3</v>
      </c>
      <c r="G311" s="107">
        <v>42</v>
      </c>
      <c r="H311" s="108">
        <v>45</v>
      </c>
      <c r="I311" s="105">
        <f>SUM(Table2[[#This Row],[casual]],Table2[[#This Row],[registered]])</f>
        <v>45</v>
      </c>
      <c r="J311" s="113"/>
    </row>
    <row r="312" spans="1:10" ht="14.25">
      <c r="A312" s="106">
        <v>224</v>
      </c>
      <c r="B312" s="107">
        <v>225</v>
      </c>
      <c r="C312" s="107">
        <v>0.19700000000000001</v>
      </c>
      <c r="D312" s="107">
        <v>0.4</v>
      </c>
      <c r="E312" s="107">
        <v>0.22389999999999999</v>
      </c>
      <c r="F312" s="107">
        <v>2</v>
      </c>
      <c r="G312" s="107">
        <v>43</v>
      </c>
      <c r="H312" s="108">
        <v>45</v>
      </c>
      <c r="I312" s="105">
        <f>SUM(Table2[[#This Row],[casual]],Table2[[#This Row],[registered]])</f>
        <v>45</v>
      </c>
      <c r="J312" s="113"/>
    </row>
    <row r="313" spans="1:10" ht="14.25">
      <c r="A313" s="106">
        <v>498</v>
      </c>
      <c r="B313" s="107">
        <v>499</v>
      </c>
      <c r="C313" s="107">
        <v>7.5800000000000006E-2</v>
      </c>
      <c r="D313" s="107">
        <v>0.45</v>
      </c>
      <c r="E313" s="107">
        <v>0.16420000000000001</v>
      </c>
      <c r="F313" s="107">
        <v>1</v>
      </c>
      <c r="G313" s="107">
        <v>44</v>
      </c>
      <c r="H313" s="108">
        <v>45</v>
      </c>
      <c r="I313" s="105">
        <f>SUM(Table2[[#This Row],[casual]],Table2[[#This Row],[registered]])</f>
        <v>45</v>
      </c>
      <c r="J313" s="113"/>
    </row>
    <row r="314" spans="1:10" ht="14.25">
      <c r="A314" s="106">
        <v>538</v>
      </c>
      <c r="B314" s="107">
        <v>539</v>
      </c>
      <c r="C314" s="107">
        <v>0.13639999999999999</v>
      </c>
      <c r="D314" s="107">
        <v>0.46</v>
      </c>
      <c r="E314" s="107">
        <v>0.22389999999999999</v>
      </c>
      <c r="F314" s="107">
        <v>2</v>
      </c>
      <c r="G314" s="107">
        <v>43</v>
      </c>
      <c r="H314" s="108">
        <v>45</v>
      </c>
      <c r="I314" s="105">
        <f>SUM(Table2[[#This Row],[casual]],Table2[[#This Row],[registered]])</f>
        <v>45</v>
      </c>
      <c r="J314" s="113"/>
    </row>
    <row r="315" spans="1:10" ht="14.25">
      <c r="A315" s="106">
        <v>568</v>
      </c>
      <c r="B315" s="107">
        <v>569</v>
      </c>
      <c r="C315" s="107">
        <v>0.2273</v>
      </c>
      <c r="D315" s="107">
        <v>0.65</v>
      </c>
      <c r="E315" s="107">
        <v>0.19400000000000001</v>
      </c>
      <c r="F315" s="107">
        <v>5</v>
      </c>
      <c r="G315" s="107">
        <v>40</v>
      </c>
      <c r="H315" s="108">
        <v>45</v>
      </c>
      <c r="I315" s="105">
        <f>SUM(Table2[[#This Row],[casual]],Table2[[#This Row],[registered]])</f>
        <v>45</v>
      </c>
      <c r="J315" s="113"/>
    </row>
    <row r="316" spans="1:10" ht="14.25">
      <c r="A316" s="106">
        <v>55</v>
      </c>
      <c r="B316" s="107">
        <v>56</v>
      </c>
      <c r="C316" s="107">
        <v>0.16669999999999999</v>
      </c>
      <c r="D316" s="107">
        <v>0.43</v>
      </c>
      <c r="E316" s="107">
        <v>0.25369999999999998</v>
      </c>
      <c r="F316" s="107">
        <v>11</v>
      </c>
      <c r="G316" s="107">
        <v>33</v>
      </c>
      <c r="H316" s="108">
        <v>44</v>
      </c>
      <c r="I316" s="105">
        <f>SUM(Table2[[#This Row],[casual]],Table2[[#This Row],[registered]])</f>
        <v>44</v>
      </c>
      <c r="J316" s="113"/>
    </row>
    <row r="317" spans="1:10" ht="14.25">
      <c r="A317" s="106">
        <v>267</v>
      </c>
      <c r="B317" s="107">
        <v>268</v>
      </c>
      <c r="C317" s="107">
        <v>0.18179999999999999</v>
      </c>
      <c r="D317" s="107">
        <v>0.47</v>
      </c>
      <c r="E317" s="107">
        <v>0.32840000000000003</v>
      </c>
      <c r="F317" s="107">
        <v>0</v>
      </c>
      <c r="G317" s="107">
        <v>44</v>
      </c>
      <c r="H317" s="108">
        <v>44</v>
      </c>
      <c r="I317" s="105">
        <f>SUM(Table2[[#This Row],[casual]],Table2[[#This Row],[registered]])</f>
        <v>44</v>
      </c>
      <c r="J317" s="113"/>
    </row>
    <row r="318" spans="1:10" ht="14.25">
      <c r="A318" s="106">
        <v>310</v>
      </c>
      <c r="B318" s="107">
        <v>311</v>
      </c>
      <c r="C318" s="107">
        <v>0.18179999999999999</v>
      </c>
      <c r="D318" s="107">
        <v>0.55000000000000004</v>
      </c>
      <c r="E318" s="107">
        <v>0.19400000000000001</v>
      </c>
      <c r="F318" s="107">
        <v>4</v>
      </c>
      <c r="G318" s="107">
        <v>40</v>
      </c>
      <c r="H318" s="108">
        <v>44</v>
      </c>
      <c r="I318" s="105">
        <f>SUM(Table2[[#This Row],[casual]],Table2[[#This Row],[registered]])</f>
        <v>44</v>
      </c>
      <c r="J318" s="113"/>
    </row>
    <row r="319" spans="1:10" ht="14.25">
      <c r="A319" s="106">
        <v>347</v>
      </c>
      <c r="B319" s="107">
        <v>348</v>
      </c>
      <c r="C319" s="107">
        <v>0.28789999999999999</v>
      </c>
      <c r="D319" s="107">
        <v>0.45</v>
      </c>
      <c r="E319" s="107">
        <v>0.28360000000000002</v>
      </c>
      <c r="F319" s="107">
        <v>5</v>
      </c>
      <c r="G319" s="107">
        <v>39</v>
      </c>
      <c r="H319" s="108">
        <v>44</v>
      </c>
      <c r="I319" s="105">
        <f>SUM(Table2[[#This Row],[casual]],Table2[[#This Row],[registered]])</f>
        <v>44</v>
      </c>
      <c r="J319" s="113"/>
    </row>
    <row r="320" spans="1:10" ht="14.25">
      <c r="A320" s="106">
        <v>112</v>
      </c>
      <c r="B320" s="107">
        <v>113</v>
      </c>
      <c r="C320" s="107">
        <v>0.19700000000000001</v>
      </c>
      <c r="D320" s="107">
        <v>0.51</v>
      </c>
      <c r="E320" s="107">
        <v>0.19400000000000001</v>
      </c>
      <c r="F320" s="107">
        <v>3</v>
      </c>
      <c r="G320" s="107">
        <v>40</v>
      </c>
      <c r="H320" s="108">
        <v>43</v>
      </c>
      <c r="I320" s="105">
        <f>SUM(Table2[[#This Row],[casual]],Table2[[#This Row],[registered]])</f>
        <v>43</v>
      </c>
      <c r="J320" s="113"/>
    </row>
    <row r="321" spans="1:10" ht="14.25">
      <c r="A321" s="106">
        <v>584</v>
      </c>
      <c r="B321" s="107">
        <v>585</v>
      </c>
      <c r="C321" s="107">
        <v>0.18179999999999999</v>
      </c>
      <c r="D321" s="107">
        <v>0.93</v>
      </c>
      <c r="E321" s="107">
        <v>0.4627</v>
      </c>
      <c r="F321" s="107">
        <v>1</v>
      </c>
      <c r="G321" s="107">
        <v>42</v>
      </c>
      <c r="H321" s="108">
        <v>43</v>
      </c>
      <c r="I321" s="105">
        <f>SUM(Table2[[#This Row],[casual]],Table2[[#This Row],[registered]])</f>
        <v>43</v>
      </c>
      <c r="J321" s="113"/>
    </row>
    <row r="322" spans="1:10" ht="14.25">
      <c r="A322" s="106">
        <v>78</v>
      </c>
      <c r="B322" s="107">
        <v>79</v>
      </c>
      <c r="C322" s="107">
        <v>0.13639999999999999</v>
      </c>
      <c r="D322" s="107">
        <v>0.69</v>
      </c>
      <c r="E322" s="107">
        <v>0.32840000000000003</v>
      </c>
      <c r="F322" s="107">
        <v>5</v>
      </c>
      <c r="G322" s="107">
        <v>37</v>
      </c>
      <c r="H322" s="108">
        <v>42</v>
      </c>
      <c r="I322" s="105">
        <f>SUM(Table2[[#This Row],[casual]],Table2[[#This Row],[registered]])</f>
        <v>42</v>
      </c>
      <c r="J322" s="113"/>
    </row>
    <row r="323" spans="1:10" ht="14.25">
      <c r="A323" s="106">
        <v>113</v>
      </c>
      <c r="B323" s="107">
        <v>114</v>
      </c>
      <c r="C323" s="107">
        <v>0.19700000000000001</v>
      </c>
      <c r="D323" s="107">
        <v>0.55000000000000004</v>
      </c>
      <c r="E323" s="107">
        <v>0.1343</v>
      </c>
      <c r="F323" s="107">
        <v>1</v>
      </c>
      <c r="G323" s="107">
        <v>41</v>
      </c>
      <c r="H323" s="108">
        <v>42</v>
      </c>
      <c r="I323" s="105">
        <f>SUM(Table2[[#This Row],[casual]],Table2[[#This Row],[registered]])</f>
        <v>42</v>
      </c>
      <c r="J323" s="113"/>
    </row>
    <row r="324" spans="1:10" ht="14.25">
      <c r="A324" s="106">
        <v>291</v>
      </c>
      <c r="B324" s="107">
        <v>292</v>
      </c>
      <c r="C324" s="107">
        <v>0.19700000000000001</v>
      </c>
      <c r="D324" s="107">
        <v>0.41</v>
      </c>
      <c r="E324" s="107">
        <v>0.3881</v>
      </c>
      <c r="F324" s="107">
        <v>3</v>
      </c>
      <c r="G324" s="107">
        <v>39</v>
      </c>
      <c r="H324" s="108">
        <v>42</v>
      </c>
      <c r="I324" s="105">
        <f>SUM(Table2[[#This Row],[casual]],Table2[[#This Row],[registered]])</f>
        <v>42</v>
      </c>
      <c r="J324" s="113"/>
    </row>
    <row r="325" spans="1:10" ht="14.25">
      <c r="A325" s="106">
        <v>204</v>
      </c>
      <c r="B325" s="107">
        <v>205</v>
      </c>
      <c r="C325" s="107">
        <v>0.13639999999999999</v>
      </c>
      <c r="D325" s="107">
        <v>0.43</v>
      </c>
      <c r="E325" s="107">
        <v>0.32840000000000003</v>
      </c>
      <c r="F325" s="107">
        <v>1</v>
      </c>
      <c r="G325" s="107">
        <v>40</v>
      </c>
      <c r="H325" s="108">
        <v>41</v>
      </c>
      <c r="I325" s="105">
        <f>SUM(Table2[[#This Row],[casual]],Table2[[#This Row],[registered]])</f>
        <v>41</v>
      </c>
      <c r="J325" s="113"/>
    </row>
    <row r="326" spans="1:10" ht="14.25">
      <c r="A326" s="106">
        <v>344</v>
      </c>
      <c r="B326" s="107">
        <v>345</v>
      </c>
      <c r="C326" s="107">
        <v>0.30299999999999999</v>
      </c>
      <c r="D326" s="107">
        <v>0.39</v>
      </c>
      <c r="E326" s="107">
        <v>0.25369999999999998</v>
      </c>
      <c r="F326" s="107">
        <v>6</v>
      </c>
      <c r="G326" s="107">
        <v>35</v>
      </c>
      <c r="H326" s="108">
        <v>41</v>
      </c>
      <c r="I326" s="105">
        <f>SUM(Table2[[#This Row],[casual]],Table2[[#This Row],[registered]])</f>
        <v>41</v>
      </c>
      <c r="J326" s="113"/>
    </row>
    <row r="327" spans="1:10" ht="14.25">
      <c r="A327" s="106">
        <v>405</v>
      </c>
      <c r="B327" s="107">
        <v>406</v>
      </c>
      <c r="C327" s="107">
        <v>0.2424</v>
      </c>
      <c r="D327" s="107">
        <v>0.93</v>
      </c>
      <c r="E327" s="107">
        <v>0.1045</v>
      </c>
      <c r="F327" s="107">
        <v>0</v>
      </c>
      <c r="G327" s="107">
        <v>41</v>
      </c>
      <c r="H327" s="108">
        <v>41</v>
      </c>
      <c r="I327" s="105">
        <f>SUM(Table2[[#This Row],[casual]],Table2[[#This Row],[registered]])</f>
        <v>41</v>
      </c>
      <c r="J327" s="113"/>
    </row>
    <row r="328" spans="1:10" ht="14.25">
      <c r="A328" s="106">
        <v>476</v>
      </c>
      <c r="B328" s="107">
        <v>477</v>
      </c>
      <c r="C328" s="107">
        <v>7.5800000000000006E-2</v>
      </c>
      <c r="D328" s="107">
        <v>0.38</v>
      </c>
      <c r="E328" s="107">
        <v>0.28360000000000002</v>
      </c>
      <c r="F328" s="107">
        <v>0</v>
      </c>
      <c r="G328" s="107">
        <v>41</v>
      </c>
      <c r="H328" s="108">
        <v>41</v>
      </c>
      <c r="I328" s="105">
        <f>SUM(Table2[[#This Row],[casual]],Table2[[#This Row],[registered]])</f>
        <v>41</v>
      </c>
      <c r="J328" s="113"/>
    </row>
    <row r="329" spans="1:10" ht="14.25">
      <c r="A329" s="106">
        <v>580</v>
      </c>
      <c r="B329" s="107">
        <v>581</v>
      </c>
      <c r="C329" s="107">
        <v>0.19700000000000001</v>
      </c>
      <c r="D329" s="107">
        <v>0.93</v>
      </c>
      <c r="E329" s="107">
        <v>0.32840000000000003</v>
      </c>
      <c r="F329" s="107">
        <v>6</v>
      </c>
      <c r="G329" s="107">
        <v>35</v>
      </c>
      <c r="H329" s="108">
        <v>41</v>
      </c>
      <c r="I329" s="105">
        <f>SUM(Table2[[#This Row],[casual]],Table2[[#This Row],[registered]])</f>
        <v>41</v>
      </c>
      <c r="J329" s="113"/>
    </row>
    <row r="330" spans="1:10" ht="14.25">
      <c r="A330" s="106">
        <v>609</v>
      </c>
      <c r="B330" s="107">
        <v>610</v>
      </c>
      <c r="C330" s="107">
        <v>0.2576</v>
      </c>
      <c r="D330" s="107">
        <v>0.86</v>
      </c>
      <c r="E330" s="107">
        <v>0</v>
      </c>
      <c r="F330" s="107">
        <v>1</v>
      </c>
      <c r="G330" s="107">
        <v>40</v>
      </c>
      <c r="H330" s="108">
        <v>41</v>
      </c>
      <c r="I330" s="105">
        <f>SUM(Table2[[#This Row],[casual]],Table2[[#This Row],[registered]])</f>
        <v>41</v>
      </c>
      <c r="J330" s="113"/>
    </row>
    <row r="331" spans="1:10" ht="14.25">
      <c r="A331" s="106">
        <v>1</v>
      </c>
      <c r="B331" s="107">
        <v>2</v>
      </c>
      <c r="C331" s="107">
        <v>0.2727</v>
      </c>
      <c r="D331" s="107">
        <v>0.8</v>
      </c>
      <c r="E331" s="107">
        <v>0</v>
      </c>
      <c r="F331" s="107">
        <v>8</v>
      </c>
      <c r="G331" s="107">
        <v>32</v>
      </c>
      <c r="H331" s="108">
        <v>40</v>
      </c>
      <c r="I331" s="105">
        <f>SUM(Table2[[#This Row],[casual]],Table2[[#This Row],[registered]])</f>
        <v>40</v>
      </c>
      <c r="J331" s="113"/>
    </row>
    <row r="332" spans="1:10" ht="14.25">
      <c r="A332" s="106">
        <v>298</v>
      </c>
      <c r="B332" s="107">
        <v>299</v>
      </c>
      <c r="C332" s="107">
        <v>0.1212</v>
      </c>
      <c r="D332" s="107">
        <v>0.46</v>
      </c>
      <c r="E332" s="107">
        <v>0.29849999999999999</v>
      </c>
      <c r="F332" s="107">
        <v>0</v>
      </c>
      <c r="G332" s="107">
        <v>40</v>
      </c>
      <c r="H332" s="108">
        <v>40</v>
      </c>
      <c r="I332" s="105">
        <f>SUM(Table2[[#This Row],[casual]],Table2[[#This Row],[registered]])</f>
        <v>40</v>
      </c>
      <c r="J332" s="113"/>
    </row>
    <row r="333" spans="1:10" ht="14.25">
      <c r="A333" s="106">
        <v>487</v>
      </c>
      <c r="B333" s="107">
        <v>488</v>
      </c>
      <c r="C333" s="107">
        <v>3.0300000000000001E-2</v>
      </c>
      <c r="D333" s="107">
        <v>0.41</v>
      </c>
      <c r="E333" s="107">
        <v>0.25369999999999998</v>
      </c>
      <c r="F333" s="107">
        <v>3</v>
      </c>
      <c r="G333" s="107">
        <v>37</v>
      </c>
      <c r="H333" s="108">
        <v>40</v>
      </c>
      <c r="I333" s="105">
        <f>SUM(Table2[[#This Row],[casual]],Table2[[#This Row],[registered]])</f>
        <v>40</v>
      </c>
      <c r="J333" s="113"/>
    </row>
    <row r="334" spans="1:10" ht="14.25">
      <c r="A334" s="106">
        <v>534</v>
      </c>
      <c r="B334" s="107">
        <v>535</v>
      </c>
      <c r="C334" s="107">
        <v>0.13639999999999999</v>
      </c>
      <c r="D334" s="107">
        <v>0.42</v>
      </c>
      <c r="E334" s="107">
        <v>0</v>
      </c>
      <c r="F334" s="107">
        <v>6</v>
      </c>
      <c r="G334" s="107">
        <v>34</v>
      </c>
      <c r="H334" s="108">
        <v>40</v>
      </c>
      <c r="I334" s="105">
        <f>SUM(Table2[[#This Row],[casual]],Table2[[#This Row],[registered]])</f>
        <v>40</v>
      </c>
      <c r="J334" s="113"/>
    </row>
    <row r="335" spans="1:10" ht="14.25">
      <c r="A335" s="106">
        <v>570</v>
      </c>
      <c r="B335" s="107">
        <v>571</v>
      </c>
      <c r="C335" s="107">
        <v>0.2273</v>
      </c>
      <c r="D335" s="107">
        <v>0.64</v>
      </c>
      <c r="E335" s="107">
        <v>0.16420000000000001</v>
      </c>
      <c r="F335" s="107">
        <v>3</v>
      </c>
      <c r="G335" s="107">
        <v>37</v>
      </c>
      <c r="H335" s="108">
        <v>40</v>
      </c>
      <c r="I335" s="105">
        <f>SUM(Table2[[#This Row],[casual]],Table2[[#This Row],[registered]])</f>
        <v>40</v>
      </c>
      <c r="J335" s="113"/>
    </row>
    <row r="336" spans="1:10" ht="14.25">
      <c r="A336" s="106">
        <v>23</v>
      </c>
      <c r="B336" s="107">
        <v>24</v>
      </c>
      <c r="C336" s="47"/>
      <c r="D336" s="107">
        <v>0.88</v>
      </c>
      <c r="E336" s="107">
        <v>0.29849999999999999</v>
      </c>
      <c r="F336" s="107">
        <v>15</v>
      </c>
      <c r="G336" s="107">
        <v>24</v>
      </c>
      <c r="H336" s="108">
        <v>39</v>
      </c>
      <c r="I336" s="105">
        <f>SUM(Table2[[#This Row],[casual]],Table2[[#This Row],[registered]])</f>
        <v>39</v>
      </c>
      <c r="J336" s="113"/>
    </row>
    <row r="337" spans="1:10" ht="14.25">
      <c r="A337" s="106">
        <v>158</v>
      </c>
      <c r="B337" s="107">
        <v>159</v>
      </c>
      <c r="C337" s="107">
        <v>0.19700000000000001</v>
      </c>
      <c r="D337" s="107">
        <v>0.47</v>
      </c>
      <c r="E337" s="107">
        <v>0.1343</v>
      </c>
      <c r="F337" s="107">
        <v>0</v>
      </c>
      <c r="G337" s="107">
        <v>39</v>
      </c>
      <c r="H337" s="108">
        <v>39</v>
      </c>
      <c r="I337" s="105">
        <f>SUM(Table2[[#This Row],[casual]],Table2[[#This Row],[registered]])</f>
        <v>39</v>
      </c>
      <c r="J337" s="113"/>
    </row>
    <row r="338" spans="1:10" ht="14.25">
      <c r="A338" s="106">
        <v>263</v>
      </c>
      <c r="B338" s="107">
        <v>264</v>
      </c>
      <c r="C338" s="107">
        <v>0.18179999999999999</v>
      </c>
      <c r="D338" s="107">
        <v>0.55000000000000004</v>
      </c>
      <c r="E338" s="107">
        <v>0.22389999999999999</v>
      </c>
      <c r="F338" s="107">
        <v>0</v>
      </c>
      <c r="G338" s="107">
        <v>39</v>
      </c>
      <c r="H338" s="108">
        <v>39</v>
      </c>
      <c r="I338" s="105">
        <f>SUM(Table2[[#This Row],[casual]],Table2[[#This Row],[registered]])</f>
        <v>39</v>
      </c>
      <c r="J338" s="113"/>
    </row>
    <row r="339" spans="1:10" ht="14.25">
      <c r="A339" s="106">
        <v>348</v>
      </c>
      <c r="B339" s="107">
        <v>349</v>
      </c>
      <c r="C339" s="107">
        <v>0.30299999999999999</v>
      </c>
      <c r="D339" s="107">
        <v>0.56000000000000005</v>
      </c>
      <c r="E339" s="107">
        <v>0</v>
      </c>
      <c r="F339" s="107">
        <v>6</v>
      </c>
      <c r="G339" s="107">
        <v>33</v>
      </c>
      <c r="H339" s="108">
        <v>39</v>
      </c>
      <c r="I339" s="105">
        <f>SUM(Table2[[#This Row],[casual]],Table2[[#This Row],[registered]])</f>
        <v>39</v>
      </c>
      <c r="J339" s="113"/>
    </row>
    <row r="340" spans="1:10" ht="14.25">
      <c r="A340" s="106">
        <v>499</v>
      </c>
      <c r="B340" s="107">
        <v>500</v>
      </c>
      <c r="C340" s="107">
        <v>0.1061</v>
      </c>
      <c r="D340" s="107">
        <v>0.41</v>
      </c>
      <c r="E340" s="107">
        <v>8.9599999999999999E-2</v>
      </c>
      <c r="F340" s="107">
        <v>0</v>
      </c>
      <c r="G340" s="107">
        <v>39</v>
      </c>
      <c r="H340" s="108">
        <v>39</v>
      </c>
      <c r="I340" s="105">
        <f>SUM(Table2[[#This Row],[casual]],Table2[[#This Row],[registered]])</f>
        <v>39</v>
      </c>
      <c r="J340" s="113"/>
    </row>
    <row r="341" spans="1:10" ht="14.25">
      <c r="A341" s="106">
        <v>205</v>
      </c>
      <c r="B341" s="107">
        <v>206</v>
      </c>
      <c r="C341" s="107">
        <v>0.1212</v>
      </c>
      <c r="D341" s="107">
        <v>0.46</v>
      </c>
      <c r="E341" s="107">
        <v>0.25369999999999998</v>
      </c>
      <c r="F341" s="107">
        <v>0</v>
      </c>
      <c r="G341" s="107">
        <v>38</v>
      </c>
      <c r="H341" s="108">
        <v>38</v>
      </c>
      <c r="I341" s="105">
        <f>SUM(Table2[[#This Row],[casual]],Table2[[#This Row],[registered]])</f>
        <v>38</v>
      </c>
      <c r="J341" s="113"/>
    </row>
    <row r="342" spans="1:10" ht="14.25">
      <c r="A342" s="106">
        <v>230</v>
      </c>
      <c r="B342" s="107">
        <v>231</v>
      </c>
      <c r="C342" s="107">
        <v>0.13639999999999999</v>
      </c>
      <c r="D342" s="107">
        <v>0.59</v>
      </c>
      <c r="E342" s="107">
        <v>0.19400000000000001</v>
      </c>
      <c r="F342" s="107">
        <v>1</v>
      </c>
      <c r="G342" s="107">
        <v>37</v>
      </c>
      <c r="H342" s="108">
        <v>38</v>
      </c>
      <c r="I342" s="105">
        <f>SUM(Table2[[#This Row],[casual]],Table2[[#This Row],[registered]])</f>
        <v>38</v>
      </c>
      <c r="J342" s="113"/>
    </row>
    <row r="343" spans="1:10" ht="14.25">
      <c r="A343" s="106">
        <v>287</v>
      </c>
      <c r="B343" s="107">
        <v>288</v>
      </c>
      <c r="C343" s="107">
        <v>0.13639999999999999</v>
      </c>
      <c r="D343" s="107">
        <v>0.5</v>
      </c>
      <c r="E343" s="107">
        <v>0.35820000000000002</v>
      </c>
      <c r="F343" s="107">
        <v>2</v>
      </c>
      <c r="G343" s="107">
        <v>36</v>
      </c>
      <c r="H343" s="108">
        <v>38</v>
      </c>
      <c r="I343" s="105">
        <f>SUM(Table2[[#This Row],[casual]],Table2[[#This Row],[registered]])</f>
        <v>38</v>
      </c>
      <c r="J343" s="113"/>
    </row>
    <row r="344" spans="1:10" ht="14.25">
      <c r="A344" s="106">
        <v>592</v>
      </c>
      <c r="B344" s="107">
        <v>593</v>
      </c>
      <c r="C344" s="107">
        <v>0.21210000000000001</v>
      </c>
      <c r="D344" s="107">
        <v>0.74</v>
      </c>
      <c r="E344" s="107">
        <v>8.9599999999999999E-2</v>
      </c>
      <c r="F344" s="107">
        <v>2</v>
      </c>
      <c r="G344" s="107">
        <v>36</v>
      </c>
      <c r="H344" s="108">
        <v>38</v>
      </c>
      <c r="I344" s="105">
        <f>SUM(Table2[[#This Row],[casual]],Table2[[#This Row],[registered]])</f>
        <v>38</v>
      </c>
      <c r="J344" s="113"/>
    </row>
    <row r="345" spans="1:10" ht="14.25">
      <c r="A345" s="106">
        <v>608</v>
      </c>
      <c r="B345" s="107">
        <v>609</v>
      </c>
      <c r="C345" s="107">
        <v>0.2727</v>
      </c>
      <c r="D345" s="107">
        <v>0.8</v>
      </c>
      <c r="E345" s="107">
        <v>0</v>
      </c>
      <c r="F345" s="107">
        <v>2</v>
      </c>
      <c r="G345" s="107">
        <v>36</v>
      </c>
      <c r="H345" s="108">
        <v>38</v>
      </c>
      <c r="I345" s="105">
        <f>SUM(Table2[[#This Row],[casual]],Table2[[#This Row],[registered]])</f>
        <v>38</v>
      </c>
      <c r="J345" s="113"/>
    </row>
    <row r="346" spans="1:10" ht="14.25">
      <c r="A346" s="106">
        <v>19</v>
      </c>
      <c r="B346" s="107">
        <v>20</v>
      </c>
      <c r="C346" s="107">
        <v>0.42420000000000002</v>
      </c>
      <c r="D346" s="107">
        <v>0.88</v>
      </c>
      <c r="E346" s="107">
        <v>0.25369999999999998</v>
      </c>
      <c r="F346" s="107">
        <v>6</v>
      </c>
      <c r="G346" s="107">
        <v>31</v>
      </c>
      <c r="H346" s="108">
        <v>37</v>
      </c>
      <c r="I346" s="105">
        <f>SUM(Table2[[#This Row],[casual]],Table2[[#This Row],[registered]])</f>
        <v>37</v>
      </c>
      <c r="J346" s="113"/>
    </row>
    <row r="347" spans="1:10" ht="14.25">
      <c r="A347" s="106">
        <v>182</v>
      </c>
      <c r="B347" s="107">
        <v>183</v>
      </c>
      <c r="C347" s="107">
        <v>0.1061</v>
      </c>
      <c r="D347" s="107">
        <v>0.39</v>
      </c>
      <c r="E347" s="107">
        <v>0.35820000000000002</v>
      </c>
      <c r="F347" s="107">
        <v>2</v>
      </c>
      <c r="G347" s="107">
        <v>35</v>
      </c>
      <c r="H347" s="108">
        <v>37</v>
      </c>
      <c r="I347" s="105">
        <f>SUM(Table2[[#This Row],[casual]],Table2[[#This Row],[registered]])</f>
        <v>37</v>
      </c>
      <c r="J347" s="113"/>
    </row>
    <row r="348" spans="1:10" ht="14.25">
      <c r="A348" s="106">
        <v>288</v>
      </c>
      <c r="B348" s="107">
        <v>289</v>
      </c>
      <c r="C348" s="107">
        <v>0.16669999999999999</v>
      </c>
      <c r="D348" s="107">
        <v>0.44</v>
      </c>
      <c r="E348" s="107">
        <v>0.44779999999999998</v>
      </c>
      <c r="F348" s="107">
        <v>4</v>
      </c>
      <c r="G348" s="107">
        <v>33</v>
      </c>
      <c r="H348" s="108">
        <v>37</v>
      </c>
      <c r="I348" s="105">
        <f>SUM(Table2[[#This Row],[casual]],Table2[[#This Row],[registered]])</f>
        <v>37</v>
      </c>
      <c r="J348" s="113"/>
    </row>
    <row r="349" spans="1:10" ht="14.25">
      <c r="A349" s="106">
        <v>10</v>
      </c>
      <c r="B349" s="107">
        <v>11</v>
      </c>
      <c r="C349" s="107">
        <v>0.39389999999999997</v>
      </c>
      <c r="D349" s="107">
        <v>0.76</v>
      </c>
      <c r="E349" s="107">
        <v>0.25369999999999998</v>
      </c>
      <c r="F349" s="107">
        <v>12</v>
      </c>
      <c r="G349" s="107">
        <v>24</v>
      </c>
      <c r="H349" s="108">
        <v>36</v>
      </c>
      <c r="I349" s="105">
        <f>SUM(Table2[[#This Row],[casual]],Table2[[#This Row],[registered]])</f>
        <v>36</v>
      </c>
      <c r="J349" s="113"/>
    </row>
    <row r="350" spans="1:10" ht="14.25">
      <c r="A350" s="106">
        <v>20</v>
      </c>
      <c r="B350" s="107">
        <v>21</v>
      </c>
      <c r="C350" s="107">
        <v>0.40910000000000002</v>
      </c>
      <c r="D350" s="107">
        <v>0.87</v>
      </c>
      <c r="E350" s="107">
        <v>0.25369999999999998</v>
      </c>
      <c r="F350" s="107">
        <v>11</v>
      </c>
      <c r="G350" s="107">
        <v>25</v>
      </c>
      <c r="H350" s="108">
        <v>36</v>
      </c>
      <c r="I350" s="105">
        <f>SUM(Table2[[#This Row],[casual]],Table2[[#This Row],[registered]])</f>
        <v>36</v>
      </c>
      <c r="J350" s="113"/>
    </row>
    <row r="351" spans="1:10" ht="14.25">
      <c r="A351" s="106">
        <v>74</v>
      </c>
      <c r="B351" s="107">
        <v>75</v>
      </c>
      <c r="C351" s="107">
        <v>0.1515</v>
      </c>
      <c r="D351" s="107">
        <v>0.74</v>
      </c>
      <c r="E351" s="107">
        <v>0.1045</v>
      </c>
      <c r="F351" s="107">
        <v>0</v>
      </c>
      <c r="G351" s="107">
        <v>36</v>
      </c>
      <c r="H351" s="108">
        <v>36</v>
      </c>
      <c r="I351" s="105">
        <f>SUM(Table2[[#This Row],[casual]],Table2[[#This Row],[registered]])</f>
        <v>36</v>
      </c>
      <c r="J351" s="113"/>
    </row>
    <row r="352" spans="1:10" ht="14.25">
      <c r="A352" s="106">
        <v>120</v>
      </c>
      <c r="B352" s="107">
        <v>121</v>
      </c>
      <c r="C352" s="107">
        <v>0.16669999999999999</v>
      </c>
      <c r="D352" s="107">
        <v>0.63</v>
      </c>
      <c r="E352" s="107">
        <v>0.1045</v>
      </c>
      <c r="F352" s="107">
        <v>0</v>
      </c>
      <c r="G352" s="107">
        <v>36</v>
      </c>
      <c r="H352" s="108">
        <v>36</v>
      </c>
      <c r="I352" s="105">
        <f>SUM(Table2[[#This Row],[casual]],Table2[[#This Row],[registered]])</f>
        <v>36</v>
      </c>
      <c r="J352" s="113"/>
    </row>
    <row r="353" spans="1:10" ht="14.25">
      <c r="A353" s="106">
        <v>159</v>
      </c>
      <c r="B353" s="107">
        <v>160</v>
      </c>
      <c r="C353" s="107">
        <v>0.19700000000000001</v>
      </c>
      <c r="D353" s="107">
        <v>0.43</v>
      </c>
      <c r="E353" s="107">
        <v>0.16420000000000001</v>
      </c>
      <c r="F353" s="107">
        <v>2</v>
      </c>
      <c r="G353" s="107">
        <v>34</v>
      </c>
      <c r="H353" s="108">
        <v>36</v>
      </c>
      <c r="I353" s="105">
        <f>SUM(Table2[[#This Row],[casual]],Table2[[#This Row],[registered]])</f>
        <v>36</v>
      </c>
      <c r="J353" s="113"/>
    </row>
    <row r="354" spans="1:10" ht="14.25">
      <c r="A354" s="106">
        <v>322</v>
      </c>
      <c r="B354" s="107">
        <v>323</v>
      </c>
      <c r="C354" s="107">
        <v>0.2273</v>
      </c>
      <c r="D354" s="107">
        <v>0.69</v>
      </c>
      <c r="E354" s="107">
        <v>0</v>
      </c>
      <c r="F354" s="107">
        <v>2</v>
      </c>
      <c r="G354" s="107">
        <v>34</v>
      </c>
      <c r="H354" s="108">
        <v>36</v>
      </c>
      <c r="I354" s="105">
        <f>SUM(Table2[[#This Row],[casual]],Table2[[#This Row],[registered]])</f>
        <v>36</v>
      </c>
      <c r="J354" s="113"/>
    </row>
    <row r="355" spans="1:10" ht="14.25">
      <c r="A355" s="106">
        <v>553</v>
      </c>
      <c r="B355" s="107">
        <v>554</v>
      </c>
      <c r="C355" s="107">
        <v>0.18179999999999999</v>
      </c>
      <c r="D355" s="107">
        <v>0.74</v>
      </c>
      <c r="E355" s="107">
        <v>0.1045</v>
      </c>
      <c r="F355" s="107">
        <v>1</v>
      </c>
      <c r="G355" s="107">
        <v>35</v>
      </c>
      <c r="H355" s="108">
        <v>36</v>
      </c>
      <c r="I355" s="105">
        <f>SUM(Table2[[#This Row],[casual]],Table2[[#This Row],[registered]])</f>
        <v>36</v>
      </c>
      <c r="J355" s="113"/>
    </row>
    <row r="356" spans="1:10" ht="14.25">
      <c r="A356" s="106">
        <v>583</v>
      </c>
      <c r="B356" s="107">
        <v>584</v>
      </c>
      <c r="C356" s="107">
        <v>0.19700000000000001</v>
      </c>
      <c r="D356" s="107">
        <v>0.93</v>
      </c>
      <c r="E356" s="107">
        <v>0.35820000000000002</v>
      </c>
      <c r="F356" s="107">
        <v>0</v>
      </c>
      <c r="G356" s="107">
        <v>36</v>
      </c>
      <c r="H356" s="108">
        <v>36</v>
      </c>
      <c r="I356" s="105">
        <f>SUM(Table2[[#This Row],[casual]],Table2[[#This Row],[registered]])</f>
        <v>36</v>
      </c>
      <c r="J356" s="113"/>
    </row>
    <row r="357" spans="1:10" ht="14.25">
      <c r="A357" s="106">
        <v>585</v>
      </c>
      <c r="B357" s="107">
        <v>586</v>
      </c>
      <c r="C357" s="107">
        <v>0.19700000000000001</v>
      </c>
      <c r="D357" s="107">
        <v>0.93</v>
      </c>
      <c r="E357" s="107">
        <v>0.32840000000000003</v>
      </c>
      <c r="F357" s="107">
        <v>1</v>
      </c>
      <c r="G357" s="107">
        <v>35</v>
      </c>
      <c r="H357" s="108">
        <v>36</v>
      </c>
      <c r="I357" s="105">
        <f>SUM(Table2[[#This Row],[casual]],Table2[[#This Row],[registered]])</f>
        <v>36</v>
      </c>
      <c r="J357" s="113"/>
    </row>
    <row r="358" spans="1:10" ht="14.25">
      <c r="A358" s="106">
        <v>18</v>
      </c>
      <c r="B358" s="107">
        <v>19</v>
      </c>
      <c r="C358" s="107">
        <v>0.42420000000000002</v>
      </c>
      <c r="D358" s="107">
        <v>0.88</v>
      </c>
      <c r="E358" s="107">
        <v>0.25369999999999998</v>
      </c>
      <c r="F358" s="107">
        <v>9</v>
      </c>
      <c r="G358" s="107">
        <v>26</v>
      </c>
      <c r="H358" s="108">
        <v>35</v>
      </c>
      <c r="I358" s="105">
        <f>SUM(Table2[[#This Row],[casual]],Table2[[#This Row],[registered]])</f>
        <v>35</v>
      </c>
      <c r="J358" s="113"/>
    </row>
    <row r="359" spans="1:10" ht="14.25">
      <c r="A359" s="106">
        <v>90</v>
      </c>
      <c r="B359" s="107">
        <v>91</v>
      </c>
      <c r="C359" s="107">
        <v>0.2576</v>
      </c>
      <c r="D359" s="107">
        <v>0.64</v>
      </c>
      <c r="E359" s="107">
        <v>8.9599999999999999E-2</v>
      </c>
      <c r="F359" s="107">
        <v>1</v>
      </c>
      <c r="G359" s="107">
        <v>34</v>
      </c>
      <c r="H359" s="108">
        <v>35</v>
      </c>
      <c r="I359" s="105">
        <f>SUM(Table2[[#This Row],[casual]],Table2[[#This Row],[registered]])</f>
        <v>35</v>
      </c>
      <c r="J359" s="113"/>
    </row>
    <row r="360" spans="1:10" ht="14.25">
      <c r="A360" s="106">
        <v>242</v>
      </c>
      <c r="B360" s="107">
        <v>243</v>
      </c>
      <c r="C360" s="107">
        <v>0.21210000000000001</v>
      </c>
      <c r="D360" s="107">
        <v>0.47</v>
      </c>
      <c r="E360" s="107">
        <v>0.1343</v>
      </c>
      <c r="F360" s="107">
        <v>4</v>
      </c>
      <c r="G360" s="107">
        <v>31</v>
      </c>
      <c r="H360" s="108">
        <v>35</v>
      </c>
      <c r="I360" s="105">
        <f>SUM(Table2[[#This Row],[casual]],Table2[[#This Row],[registered]])</f>
        <v>35</v>
      </c>
      <c r="J360" s="113"/>
    </row>
    <row r="361" spans="1:10" ht="14.25">
      <c r="A361" s="106">
        <v>264</v>
      </c>
      <c r="B361" s="107">
        <v>265</v>
      </c>
      <c r="C361" s="107">
        <v>0.18179999999999999</v>
      </c>
      <c r="D361" s="107">
        <v>0.51</v>
      </c>
      <c r="E361" s="107">
        <v>0.3881</v>
      </c>
      <c r="F361" s="107">
        <v>3</v>
      </c>
      <c r="G361" s="107">
        <v>32</v>
      </c>
      <c r="H361" s="108">
        <v>35</v>
      </c>
      <c r="I361" s="105">
        <f>SUM(Table2[[#This Row],[casual]],Table2[[#This Row],[registered]])</f>
        <v>35</v>
      </c>
      <c r="J361" s="113"/>
    </row>
    <row r="362" spans="1:10" ht="14.25">
      <c r="A362" s="106">
        <v>399</v>
      </c>
      <c r="B362" s="107">
        <v>400</v>
      </c>
      <c r="C362" s="107">
        <v>0.2273</v>
      </c>
      <c r="D362" s="107">
        <v>0.87</v>
      </c>
      <c r="E362" s="107">
        <v>0.16420000000000001</v>
      </c>
      <c r="F362" s="107">
        <v>3</v>
      </c>
      <c r="G362" s="107">
        <v>32</v>
      </c>
      <c r="H362" s="108">
        <v>35</v>
      </c>
      <c r="I362" s="105">
        <f>SUM(Table2[[#This Row],[casual]],Table2[[#This Row],[registered]])</f>
        <v>35</v>
      </c>
      <c r="J362" s="113"/>
    </row>
    <row r="363" spans="1:10" ht="14.25">
      <c r="A363" s="106">
        <v>437</v>
      </c>
      <c r="B363" s="107">
        <v>438</v>
      </c>
      <c r="C363" s="107">
        <v>0.21210000000000001</v>
      </c>
      <c r="D363" s="107">
        <v>0.6</v>
      </c>
      <c r="E363" s="107">
        <v>0.22389999999999999</v>
      </c>
      <c r="F363" s="107">
        <v>0</v>
      </c>
      <c r="G363" s="107">
        <v>35</v>
      </c>
      <c r="H363" s="108">
        <v>35</v>
      </c>
      <c r="I363" s="105">
        <f>SUM(Table2[[#This Row],[casual]],Table2[[#This Row],[registered]])</f>
        <v>35</v>
      </c>
      <c r="J363" s="113"/>
    </row>
    <row r="364" spans="1:10" ht="14.25">
      <c r="A364" s="106">
        <v>521</v>
      </c>
      <c r="B364" s="107">
        <v>522</v>
      </c>
      <c r="C364" s="107">
        <v>0.1061</v>
      </c>
      <c r="D364" s="107">
        <v>0.36</v>
      </c>
      <c r="E364" s="107">
        <v>0.25369999999999998</v>
      </c>
      <c r="F364" s="107">
        <v>4</v>
      </c>
      <c r="G364" s="107">
        <v>31</v>
      </c>
      <c r="H364" s="108">
        <v>35</v>
      </c>
      <c r="I364" s="105">
        <f>SUM(Table2[[#This Row],[casual]],Table2[[#This Row],[registered]])</f>
        <v>35</v>
      </c>
      <c r="J364" s="113"/>
    </row>
    <row r="365" spans="1:10" ht="14.25">
      <c r="A365" s="106">
        <v>546</v>
      </c>
      <c r="B365" s="107">
        <v>547</v>
      </c>
      <c r="C365" s="107">
        <v>0.13639999999999999</v>
      </c>
      <c r="D365" s="107">
        <v>0.63</v>
      </c>
      <c r="E365" s="107">
        <v>0.22389999999999999</v>
      </c>
      <c r="F365" s="107">
        <v>3</v>
      </c>
      <c r="G365" s="107">
        <v>32</v>
      </c>
      <c r="H365" s="108">
        <v>35</v>
      </c>
      <c r="I365" s="105">
        <f>SUM(Table2[[#This Row],[casual]],Table2[[#This Row],[registered]])</f>
        <v>35</v>
      </c>
      <c r="J365" s="113"/>
    </row>
    <row r="366" spans="1:10" ht="14.25">
      <c r="A366" s="106">
        <v>21</v>
      </c>
      <c r="B366" s="107">
        <v>22</v>
      </c>
      <c r="C366" s="107">
        <v>0.40910000000000002</v>
      </c>
      <c r="D366" s="107">
        <v>0.87</v>
      </c>
      <c r="E366" s="107">
        <v>0.19400000000000001</v>
      </c>
      <c r="F366" s="107">
        <v>3</v>
      </c>
      <c r="G366" s="107">
        <v>31</v>
      </c>
      <c r="H366" s="108">
        <v>34</v>
      </c>
      <c r="I366" s="105">
        <f>SUM(Table2[[#This Row],[casual]],Table2[[#This Row],[registered]])</f>
        <v>34</v>
      </c>
      <c r="J366" s="113"/>
    </row>
    <row r="367" spans="1:10" ht="14.25">
      <c r="A367" s="106">
        <v>143</v>
      </c>
      <c r="B367" s="107">
        <v>144</v>
      </c>
      <c r="C367" s="107">
        <v>0.2576</v>
      </c>
      <c r="D367" s="107">
        <v>0.69</v>
      </c>
      <c r="E367" s="107">
        <v>0</v>
      </c>
      <c r="F367" s="107">
        <v>8</v>
      </c>
      <c r="G367" s="107">
        <v>26</v>
      </c>
      <c r="H367" s="108">
        <v>34</v>
      </c>
      <c r="I367" s="105">
        <f>SUM(Table2[[#This Row],[casual]],Table2[[#This Row],[registered]])</f>
        <v>34</v>
      </c>
      <c r="J367" s="113"/>
    </row>
    <row r="368" spans="1:10" ht="14.25">
      <c r="A368" s="106">
        <v>183</v>
      </c>
      <c r="B368" s="107">
        <v>184</v>
      </c>
      <c r="C368" s="107">
        <v>0.1061</v>
      </c>
      <c r="D368" s="107">
        <v>0.36</v>
      </c>
      <c r="E368" s="107">
        <v>0.3881</v>
      </c>
      <c r="F368" s="107">
        <v>1</v>
      </c>
      <c r="G368" s="107">
        <v>33</v>
      </c>
      <c r="H368" s="108">
        <v>34</v>
      </c>
      <c r="I368" s="105">
        <f>SUM(Table2[[#This Row],[casual]],Table2[[#This Row],[registered]])</f>
        <v>34</v>
      </c>
      <c r="J368" s="113"/>
    </row>
    <row r="369" spans="1:10" ht="14.25">
      <c r="A369" s="106">
        <v>477</v>
      </c>
      <c r="B369" s="107">
        <v>478</v>
      </c>
      <c r="C369" s="107">
        <v>3.0300000000000001E-2</v>
      </c>
      <c r="D369" s="107">
        <v>0.41</v>
      </c>
      <c r="E369" s="107">
        <v>0.3881</v>
      </c>
      <c r="F369" s="107">
        <v>1</v>
      </c>
      <c r="G369" s="107">
        <v>33</v>
      </c>
      <c r="H369" s="108">
        <v>34</v>
      </c>
      <c r="I369" s="105">
        <f>SUM(Table2[[#This Row],[casual]],Table2[[#This Row],[registered]])</f>
        <v>34</v>
      </c>
      <c r="J369" s="113"/>
    </row>
    <row r="370" spans="1:10" ht="14.25">
      <c r="A370" s="106">
        <v>97</v>
      </c>
      <c r="B370" s="107">
        <v>98</v>
      </c>
      <c r="C370" s="107">
        <v>0.19700000000000001</v>
      </c>
      <c r="D370" s="107">
        <v>0.47</v>
      </c>
      <c r="E370" s="107">
        <v>0.22389999999999999</v>
      </c>
      <c r="F370" s="107">
        <v>0</v>
      </c>
      <c r="G370" s="107">
        <v>33</v>
      </c>
      <c r="H370" s="108">
        <v>33</v>
      </c>
      <c r="I370" s="105">
        <f>SUM(Table2[[#This Row],[casual]],Table2[[#This Row],[registered]])</f>
        <v>33</v>
      </c>
      <c r="J370" s="113"/>
    </row>
    <row r="371" spans="1:10" ht="14.25">
      <c r="A371" s="106">
        <v>275</v>
      </c>
      <c r="B371" s="107">
        <v>276</v>
      </c>
      <c r="C371" s="107">
        <v>0.1212</v>
      </c>
      <c r="D371" s="107">
        <v>0.55000000000000004</v>
      </c>
      <c r="E371" s="107">
        <v>0.44779999999999998</v>
      </c>
      <c r="F371" s="107">
        <v>1</v>
      </c>
      <c r="G371" s="107">
        <v>32</v>
      </c>
      <c r="H371" s="108">
        <v>33</v>
      </c>
      <c r="I371" s="105">
        <f>SUM(Table2[[#This Row],[casual]],Table2[[#This Row],[registered]])</f>
        <v>33</v>
      </c>
      <c r="J371" s="113"/>
    </row>
    <row r="372" spans="1:10" ht="14.25">
      <c r="A372" s="106">
        <v>333</v>
      </c>
      <c r="B372" s="107">
        <v>334</v>
      </c>
      <c r="C372" s="107">
        <v>0.18179999999999999</v>
      </c>
      <c r="D372" s="107">
        <v>0.64</v>
      </c>
      <c r="E372" s="107">
        <v>0.1343</v>
      </c>
      <c r="F372" s="107">
        <v>2</v>
      </c>
      <c r="G372" s="107">
        <v>31</v>
      </c>
      <c r="H372" s="108">
        <v>33</v>
      </c>
      <c r="I372" s="105">
        <f>SUM(Table2[[#This Row],[casual]],Table2[[#This Row],[registered]])</f>
        <v>33</v>
      </c>
      <c r="J372" s="113"/>
    </row>
    <row r="373" spans="1:10" ht="14.25">
      <c r="A373" s="106">
        <v>380</v>
      </c>
      <c r="B373" s="107">
        <v>381</v>
      </c>
      <c r="C373" s="107">
        <v>0.1515</v>
      </c>
      <c r="D373" s="107">
        <v>0.47</v>
      </c>
      <c r="E373" s="107">
        <v>0.22389999999999999</v>
      </c>
      <c r="F373" s="107">
        <v>3</v>
      </c>
      <c r="G373" s="107">
        <v>30</v>
      </c>
      <c r="H373" s="108">
        <v>33</v>
      </c>
      <c r="I373" s="105">
        <f>SUM(Table2[[#This Row],[casual]],Table2[[#This Row],[registered]])</f>
        <v>33</v>
      </c>
      <c r="J373" s="113"/>
    </row>
    <row r="374" spans="1:10" ht="14.25">
      <c r="A374" s="106">
        <v>392</v>
      </c>
      <c r="B374" s="107">
        <v>393</v>
      </c>
      <c r="C374" s="107">
        <v>0.1515</v>
      </c>
      <c r="D374" s="107">
        <v>0.8</v>
      </c>
      <c r="E374" s="107">
        <v>0.19400000000000001</v>
      </c>
      <c r="F374" s="107">
        <v>4</v>
      </c>
      <c r="G374" s="107">
        <v>29</v>
      </c>
      <c r="H374" s="108">
        <v>33</v>
      </c>
      <c r="I374" s="105">
        <f>SUM(Table2[[#This Row],[casual]],Table2[[#This Row],[registered]])</f>
        <v>33</v>
      </c>
      <c r="J374" s="113"/>
    </row>
    <row r="375" spans="1:10" ht="14.25">
      <c r="A375" s="106">
        <v>406</v>
      </c>
      <c r="B375" s="107">
        <v>407</v>
      </c>
      <c r="C375" s="107">
        <v>0.2576</v>
      </c>
      <c r="D375" s="107">
        <v>0.93</v>
      </c>
      <c r="E375" s="107">
        <v>8.9599999999999999E-2</v>
      </c>
      <c r="F375" s="107">
        <v>0</v>
      </c>
      <c r="G375" s="107">
        <v>33</v>
      </c>
      <c r="H375" s="108">
        <v>33</v>
      </c>
      <c r="I375" s="105">
        <f>SUM(Table2[[#This Row],[casual]],Table2[[#This Row],[registered]])</f>
        <v>33</v>
      </c>
      <c r="J375" s="113"/>
    </row>
    <row r="376" spans="1:10" ht="14.25">
      <c r="A376" s="106">
        <v>501</v>
      </c>
      <c r="B376" s="107">
        <v>502</v>
      </c>
      <c r="C376" s="107">
        <v>7.5800000000000006E-2</v>
      </c>
      <c r="D376" s="107">
        <v>0.56999999999999995</v>
      </c>
      <c r="E376" s="107">
        <v>0.1045</v>
      </c>
      <c r="F376" s="107">
        <v>2</v>
      </c>
      <c r="G376" s="107">
        <v>31</v>
      </c>
      <c r="H376" s="108">
        <v>33</v>
      </c>
      <c r="I376" s="105">
        <f>SUM(Table2[[#This Row],[casual]],Table2[[#This Row],[registered]])</f>
        <v>33</v>
      </c>
      <c r="J376" s="113"/>
    </row>
    <row r="377" spans="1:10" ht="14.25">
      <c r="A377" s="106">
        <v>2</v>
      </c>
      <c r="B377" s="107">
        <v>3</v>
      </c>
      <c r="C377" s="107">
        <v>0.2727</v>
      </c>
      <c r="D377" s="107">
        <v>0.8</v>
      </c>
      <c r="E377" s="107">
        <v>0</v>
      </c>
      <c r="F377" s="107">
        <v>5</v>
      </c>
      <c r="G377" s="107">
        <v>27</v>
      </c>
      <c r="H377" s="108">
        <v>32</v>
      </c>
      <c r="I377" s="105">
        <f>SUM(Table2[[#This Row],[casual]],Table2[[#This Row],[registered]])</f>
        <v>32</v>
      </c>
      <c r="J377" s="113"/>
    </row>
    <row r="378" spans="1:10" ht="14.25">
      <c r="A378" s="106">
        <v>251</v>
      </c>
      <c r="B378" s="107">
        <v>252</v>
      </c>
      <c r="C378" s="107">
        <v>0.1515</v>
      </c>
      <c r="D378" s="107">
        <v>0.93</v>
      </c>
      <c r="E378" s="107">
        <v>0.19400000000000001</v>
      </c>
      <c r="F378" s="107">
        <v>0</v>
      </c>
      <c r="G378" s="107">
        <v>32</v>
      </c>
      <c r="H378" s="108">
        <v>32</v>
      </c>
      <c r="I378" s="105">
        <f>SUM(Table2[[#This Row],[casual]],Table2[[#This Row],[registered]])</f>
        <v>32</v>
      </c>
      <c r="J378" s="113"/>
    </row>
    <row r="379" spans="1:10" ht="14.25">
      <c r="A379" s="106">
        <v>357</v>
      </c>
      <c r="B379" s="107">
        <v>358</v>
      </c>
      <c r="C379" s="107">
        <v>0.21210000000000001</v>
      </c>
      <c r="D379" s="107">
        <v>0.51</v>
      </c>
      <c r="E379" s="107">
        <v>0.25369999999999998</v>
      </c>
      <c r="F379" s="107">
        <v>3</v>
      </c>
      <c r="G379" s="107">
        <v>29</v>
      </c>
      <c r="H379" s="108">
        <v>32</v>
      </c>
      <c r="I379" s="105">
        <f>SUM(Table2[[#This Row],[casual]],Table2[[#This Row],[registered]])</f>
        <v>32</v>
      </c>
      <c r="J379" s="113"/>
    </row>
    <row r="380" spans="1:10" ht="14.25">
      <c r="A380" s="106">
        <v>413</v>
      </c>
      <c r="B380" s="107">
        <v>414</v>
      </c>
      <c r="C380" s="107">
        <v>0.2576</v>
      </c>
      <c r="D380" s="107">
        <v>0.93</v>
      </c>
      <c r="E380" s="107">
        <v>8.9599999999999999E-2</v>
      </c>
      <c r="F380" s="107">
        <v>0</v>
      </c>
      <c r="G380" s="107">
        <v>32</v>
      </c>
      <c r="H380" s="108">
        <v>32</v>
      </c>
      <c r="I380" s="105">
        <f>SUM(Table2[[#This Row],[casual]],Table2[[#This Row],[registered]])</f>
        <v>32</v>
      </c>
      <c r="J380" s="113"/>
    </row>
    <row r="381" spans="1:10" ht="14.25">
      <c r="A381" s="106">
        <v>44</v>
      </c>
      <c r="B381" s="107">
        <v>45</v>
      </c>
      <c r="C381" s="107">
        <v>0.2273</v>
      </c>
      <c r="D381" s="107">
        <v>0.44</v>
      </c>
      <c r="E381" s="107">
        <v>0.32840000000000003</v>
      </c>
      <c r="F381" s="107">
        <v>11</v>
      </c>
      <c r="G381" s="107">
        <v>20</v>
      </c>
      <c r="H381" s="108">
        <v>31</v>
      </c>
      <c r="I381" s="105">
        <f>SUM(Table2[[#This Row],[casual]],Table2[[#This Row],[registered]])</f>
        <v>31</v>
      </c>
      <c r="J381" s="113"/>
    </row>
    <row r="382" spans="1:10" ht="14.25">
      <c r="A382" s="106">
        <v>215</v>
      </c>
      <c r="B382" s="107">
        <v>216</v>
      </c>
      <c r="C382" s="107">
        <v>0.1212</v>
      </c>
      <c r="D382" s="107">
        <v>0.5</v>
      </c>
      <c r="E382" s="107">
        <v>0.28360000000000002</v>
      </c>
      <c r="F382" s="107">
        <v>0</v>
      </c>
      <c r="G382" s="107">
        <v>31</v>
      </c>
      <c r="H382" s="108">
        <v>31</v>
      </c>
      <c r="I382" s="105">
        <f>SUM(Table2[[#This Row],[casual]],Table2[[#This Row],[registered]])</f>
        <v>31</v>
      </c>
      <c r="J382" s="113"/>
    </row>
    <row r="383" spans="1:10" ht="14.25">
      <c r="A383" s="106">
        <v>219</v>
      </c>
      <c r="B383" s="107">
        <v>220</v>
      </c>
      <c r="C383" s="107">
        <v>0.1212</v>
      </c>
      <c r="D383" s="107">
        <v>0.5</v>
      </c>
      <c r="E383" s="107">
        <v>0.29849999999999999</v>
      </c>
      <c r="F383" s="107">
        <v>0</v>
      </c>
      <c r="G383" s="107">
        <v>31</v>
      </c>
      <c r="H383" s="108">
        <v>31</v>
      </c>
      <c r="I383" s="105">
        <f>SUM(Table2[[#This Row],[casual]],Table2[[#This Row],[registered]])</f>
        <v>31</v>
      </c>
      <c r="J383" s="113"/>
    </row>
    <row r="384" spans="1:10" ht="14.25">
      <c r="A384" s="106">
        <v>454</v>
      </c>
      <c r="B384" s="107">
        <v>455</v>
      </c>
      <c r="C384" s="107">
        <v>0.21210000000000001</v>
      </c>
      <c r="D384" s="107">
        <v>0.65</v>
      </c>
      <c r="E384" s="107">
        <v>0.32840000000000003</v>
      </c>
      <c r="F384" s="107">
        <v>3</v>
      </c>
      <c r="G384" s="107">
        <v>28</v>
      </c>
      <c r="H384" s="108">
        <v>31</v>
      </c>
      <c r="I384" s="105">
        <f>SUM(Table2[[#This Row],[casual]],Table2[[#This Row],[registered]])</f>
        <v>31</v>
      </c>
      <c r="J384" s="113"/>
    </row>
    <row r="385" spans="1:10" ht="14.25">
      <c r="A385" s="106">
        <v>607</v>
      </c>
      <c r="B385" s="107">
        <v>608</v>
      </c>
      <c r="C385" s="107">
        <v>0.21210000000000001</v>
      </c>
      <c r="D385" s="107">
        <v>0.93</v>
      </c>
      <c r="E385" s="107">
        <v>0.1045</v>
      </c>
      <c r="F385" s="107">
        <v>0</v>
      </c>
      <c r="G385" s="107">
        <v>31</v>
      </c>
      <c r="H385" s="108">
        <v>31</v>
      </c>
      <c r="I385" s="105">
        <f>SUM(Table2[[#This Row],[casual]],Table2[[#This Row],[registered]])</f>
        <v>31</v>
      </c>
      <c r="J385" s="113"/>
    </row>
    <row r="386" spans="1:10" ht="14.25">
      <c r="A386" s="106">
        <v>42</v>
      </c>
      <c r="B386" s="107">
        <v>43</v>
      </c>
      <c r="C386" s="107">
        <v>0.28789999999999999</v>
      </c>
      <c r="D386" s="107">
        <v>0.42</v>
      </c>
      <c r="E386" s="107">
        <v>0.44779999999999998</v>
      </c>
      <c r="F386" s="107">
        <v>1</v>
      </c>
      <c r="G386" s="107">
        <v>29</v>
      </c>
      <c r="H386" s="108">
        <v>30</v>
      </c>
      <c r="I386" s="105">
        <f>SUM(Table2[[#This Row],[casual]],Table2[[#This Row],[registered]])</f>
        <v>30</v>
      </c>
      <c r="J386" s="113"/>
    </row>
    <row r="387" spans="1:10" ht="14.25">
      <c r="A387" s="106">
        <v>51</v>
      </c>
      <c r="B387" s="107">
        <v>52</v>
      </c>
      <c r="C387" s="107">
        <v>0.1061</v>
      </c>
      <c r="D387" s="107">
        <v>0.5</v>
      </c>
      <c r="E387" s="107">
        <v>0.3881</v>
      </c>
      <c r="F387" s="107">
        <v>0</v>
      </c>
      <c r="G387" s="107">
        <v>30</v>
      </c>
      <c r="H387" s="108">
        <v>30</v>
      </c>
      <c r="I387" s="105">
        <f>SUM(Table2[[#This Row],[casual]],Table2[[#This Row],[registered]])</f>
        <v>30</v>
      </c>
      <c r="J387" s="113"/>
    </row>
    <row r="388" spans="1:10" ht="14.25">
      <c r="A388" s="106">
        <v>180</v>
      </c>
      <c r="B388" s="107">
        <v>181</v>
      </c>
      <c r="C388" s="107">
        <v>0.1212</v>
      </c>
      <c r="D388" s="107">
        <v>0.36</v>
      </c>
      <c r="E388" s="107">
        <v>0.25369999999999998</v>
      </c>
      <c r="F388" s="107">
        <v>4</v>
      </c>
      <c r="G388" s="107">
        <v>26</v>
      </c>
      <c r="H388" s="108">
        <v>30</v>
      </c>
      <c r="I388" s="105">
        <f>SUM(Table2[[#This Row],[casual]],Table2[[#This Row],[registered]])</f>
        <v>30</v>
      </c>
      <c r="J388" s="113"/>
    </row>
    <row r="389" spans="1:10" ht="14.25">
      <c r="A389" s="106">
        <v>220</v>
      </c>
      <c r="B389" s="107">
        <v>221</v>
      </c>
      <c r="C389" s="107">
        <v>0.13639999999999999</v>
      </c>
      <c r="D389" s="107">
        <v>0.47</v>
      </c>
      <c r="E389" s="107">
        <v>0.28360000000000002</v>
      </c>
      <c r="F389" s="107">
        <v>2</v>
      </c>
      <c r="G389" s="107">
        <v>28</v>
      </c>
      <c r="H389" s="108">
        <v>30</v>
      </c>
      <c r="I389" s="105">
        <f>SUM(Table2[[#This Row],[casual]],Table2[[#This Row],[registered]])</f>
        <v>30</v>
      </c>
      <c r="J389" s="113"/>
    </row>
    <row r="390" spans="1:10" ht="14.25">
      <c r="A390" s="106">
        <v>299</v>
      </c>
      <c r="B390" s="107">
        <v>300</v>
      </c>
      <c r="C390" s="107">
        <v>0.1212</v>
      </c>
      <c r="D390" s="107">
        <v>0.46</v>
      </c>
      <c r="E390" s="107">
        <v>0.32840000000000003</v>
      </c>
      <c r="F390" s="107">
        <v>0</v>
      </c>
      <c r="G390" s="107">
        <v>30</v>
      </c>
      <c r="H390" s="108">
        <v>30</v>
      </c>
      <c r="I390" s="105">
        <f>SUM(Table2[[#This Row],[casual]],Table2[[#This Row],[registered]])</f>
        <v>30</v>
      </c>
      <c r="J390" s="113"/>
    </row>
    <row r="391" spans="1:10" ht="14.25">
      <c r="A391" s="106">
        <v>500</v>
      </c>
      <c r="B391" s="107">
        <v>501</v>
      </c>
      <c r="C391" s="107">
        <v>0.1515</v>
      </c>
      <c r="D391" s="107">
        <v>0.49</v>
      </c>
      <c r="E391" s="107">
        <v>0</v>
      </c>
      <c r="F391" s="107">
        <v>7</v>
      </c>
      <c r="G391" s="107">
        <v>23</v>
      </c>
      <c r="H391" s="108">
        <v>30</v>
      </c>
      <c r="I391" s="105">
        <f>SUM(Table2[[#This Row],[casual]],Table2[[#This Row],[registered]])</f>
        <v>30</v>
      </c>
      <c r="J391" s="113"/>
    </row>
    <row r="392" spans="1:10" ht="14.25">
      <c r="A392" s="106">
        <v>576</v>
      </c>
      <c r="B392" s="107">
        <v>577</v>
      </c>
      <c r="C392" s="107">
        <v>0.21210000000000001</v>
      </c>
      <c r="D392" s="107">
        <v>0.87</v>
      </c>
      <c r="E392" s="107">
        <v>0.29849999999999999</v>
      </c>
      <c r="F392" s="107">
        <v>1</v>
      </c>
      <c r="G392" s="107">
        <v>29</v>
      </c>
      <c r="H392" s="108">
        <v>30</v>
      </c>
      <c r="I392" s="105">
        <f>SUM(Table2[[#This Row],[casual]],Table2[[#This Row],[registered]])</f>
        <v>30</v>
      </c>
      <c r="J392" s="113"/>
    </row>
    <row r="393" spans="1:10" ht="14.25">
      <c r="A393" s="106">
        <v>605</v>
      </c>
      <c r="B393" s="107">
        <v>606</v>
      </c>
      <c r="C393" s="107">
        <v>0.21210000000000001</v>
      </c>
      <c r="D393" s="107">
        <v>0.93</v>
      </c>
      <c r="E393" s="107">
        <v>0.1045</v>
      </c>
      <c r="F393" s="107">
        <v>0</v>
      </c>
      <c r="G393" s="107">
        <v>30</v>
      </c>
      <c r="H393" s="108">
        <v>30</v>
      </c>
      <c r="I393" s="105">
        <f>SUM(Table2[[#This Row],[casual]],Table2[[#This Row],[registered]])</f>
        <v>30</v>
      </c>
      <c r="J393" s="113"/>
    </row>
    <row r="394" spans="1:10" ht="14.25">
      <c r="A394" s="106">
        <v>253</v>
      </c>
      <c r="B394" s="107">
        <v>254</v>
      </c>
      <c r="C394" s="107">
        <v>0.18179999999999999</v>
      </c>
      <c r="D394" s="107">
        <v>0.93</v>
      </c>
      <c r="E394" s="107">
        <v>0.1045</v>
      </c>
      <c r="F394" s="107">
        <v>1</v>
      </c>
      <c r="G394" s="107">
        <v>28</v>
      </c>
      <c r="H394" s="108">
        <v>29</v>
      </c>
      <c r="I394" s="105">
        <f>SUM(Table2[[#This Row],[casual]],Table2[[#This Row],[registered]])</f>
        <v>29</v>
      </c>
      <c r="J394" s="113"/>
    </row>
    <row r="395" spans="1:10" ht="14.25">
      <c r="A395" s="106">
        <v>606</v>
      </c>
      <c r="B395" s="107">
        <v>607</v>
      </c>
      <c r="C395" s="107">
        <v>0.21210000000000001</v>
      </c>
      <c r="D395" s="107">
        <v>0.93</v>
      </c>
      <c r="E395" s="107">
        <v>0.1045</v>
      </c>
      <c r="F395" s="107">
        <v>1</v>
      </c>
      <c r="G395" s="107">
        <v>28</v>
      </c>
      <c r="H395" s="108">
        <v>29</v>
      </c>
      <c r="I395" s="105">
        <f>SUM(Table2[[#This Row],[casual]],Table2[[#This Row],[registered]])</f>
        <v>29</v>
      </c>
      <c r="J395" s="113"/>
    </row>
    <row r="396" spans="1:10" ht="14.25">
      <c r="A396" s="106">
        <v>22</v>
      </c>
      <c r="B396" s="107">
        <v>23</v>
      </c>
      <c r="C396" s="107">
        <v>0.40910000000000002</v>
      </c>
      <c r="D396" s="107">
        <v>0.94</v>
      </c>
      <c r="E396" s="107">
        <v>0.22389999999999999</v>
      </c>
      <c r="F396" s="107">
        <v>11</v>
      </c>
      <c r="G396" s="107">
        <v>17</v>
      </c>
      <c r="H396" s="108">
        <v>28</v>
      </c>
      <c r="I396" s="105">
        <f>SUM(Table2[[#This Row],[casual]],Table2[[#This Row],[registered]])</f>
        <v>28</v>
      </c>
      <c r="J396" s="113"/>
    </row>
    <row r="397" spans="1:10" ht="14.25">
      <c r="A397" s="106">
        <v>181</v>
      </c>
      <c r="B397" s="107">
        <v>182</v>
      </c>
      <c r="C397" s="107">
        <v>0.1212</v>
      </c>
      <c r="D397" s="107">
        <v>0.36</v>
      </c>
      <c r="E397" s="107">
        <v>0.25369999999999998</v>
      </c>
      <c r="F397" s="107">
        <v>0</v>
      </c>
      <c r="G397" s="107">
        <v>28</v>
      </c>
      <c r="H397" s="108">
        <v>28</v>
      </c>
      <c r="I397" s="105">
        <f>SUM(Table2[[#This Row],[casual]],Table2[[#This Row],[registered]])</f>
        <v>28</v>
      </c>
      <c r="J397" s="113"/>
    </row>
    <row r="398" spans="1:10" ht="14.25">
      <c r="A398" s="106">
        <v>283</v>
      </c>
      <c r="B398" s="107">
        <v>284</v>
      </c>
      <c r="C398" s="107">
        <v>0.1515</v>
      </c>
      <c r="D398" s="107">
        <v>0.54</v>
      </c>
      <c r="E398" s="107">
        <v>0.1343</v>
      </c>
      <c r="F398" s="107">
        <v>0</v>
      </c>
      <c r="G398" s="107">
        <v>28</v>
      </c>
      <c r="H398" s="108">
        <v>28</v>
      </c>
      <c r="I398" s="105">
        <f>SUM(Table2[[#This Row],[casual]],Table2[[#This Row],[registered]])</f>
        <v>28</v>
      </c>
      <c r="J398" s="113"/>
    </row>
    <row r="399" spans="1:10" ht="14.25">
      <c r="A399" s="106">
        <v>324</v>
      </c>
      <c r="B399" s="107">
        <v>325</v>
      </c>
      <c r="C399" s="107">
        <v>0.2424</v>
      </c>
      <c r="D399" s="107">
        <v>0.55000000000000004</v>
      </c>
      <c r="E399" s="107">
        <v>0</v>
      </c>
      <c r="F399" s="107">
        <v>3</v>
      </c>
      <c r="G399" s="107">
        <v>25</v>
      </c>
      <c r="H399" s="108">
        <v>28</v>
      </c>
      <c r="I399" s="105">
        <f>SUM(Table2[[#This Row],[casual]],Table2[[#This Row],[registered]])</f>
        <v>28</v>
      </c>
      <c r="J399" s="113"/>
    </row>
    <row r="400" spans="1:10" ht="14.25">
      <c r="A400" s="106">
        <v>369</v>
      </c>
      <c r="B400" s="107">
        <v>370</v>
      </c>
      <c r="C400" s="107">
        <v>0.19700000000000001</v>
      </c>
      <c r="D400" s="107">
        <v>0.51</v>
      </c>
      <c r="E400" s="107">
        <v>0.16420000000000001</v>
      </c>
      <c r="F400" s="107">
        <v>6</v>
      </c>
      <c r="G400" s="107">
        <v>22</v>
      </c>
      <c r="H400" s="108">
        <v>28</v>
      </c>
      <c r="I400" s="105">
        <f>SUM(Table2[[#This Row],[casual]],Table2[[#This Row],[registered]])</f>
        <v>28</v>
      </c>
      <c r="J400" s="113"/>
    </row>
    <row r="401" spans="1:10" ht="14.25">
      <c r="A401" s="106">
        <v>398</v>
      </c>
      <c r="B401" s="107">
        <v>399</v>
      </c>
      <c r="C401" s="107">
        <v>0.2273</v>
      </c>
      <c r="D401" s="107">
        <v>0.8</v>
      </c>
      <c r="E401" s="107">
        <v>0.16420000000000001</v>
      </c>
      <c r="F401" s="107">
        <v>2</v>
      </c>
      <c r="G401" s="107">
        <v>26</v>
      </c>
      <c r="H401" s="108">
        <v>28</v>
      </c>
      <c r="I401" s="105">
        <f>SUM(Table2[[#This Row],[casual]],Table2[[#This Row],[registered]])</f>
        <v>28</v>
      </c>
      <c r="J401" s="113"/>
    </row>
    <row r="402" spans="1:10" ht="14.25">
      <c r="A402" s="106">
        <v>430</v>
      </c>
      <c r="B402" s="107">
        <v>431</v>
      </c>
      <c r="C402" s="107">
        <v>0.2727</v>
      </c>
      <c r="D402" s="107">
        <v>0.52</v>
      </c>
      <c r="E402" s="107">
        <v>0.4627</v>
      </c>
      <c r="F402" s="107">
        <v>1</v>
      </c>
      <c r="G402" s="107">
        <v>27</v>
      </c>
      <c r="H402" s="108">
        <v>28</v>
      </c>
      <c r="I402" s="105">
        <f>SUM(Table2[[#This Row],[casual]],Table2[[#This Row],[registered]])</f>
        <v>28</v>
      </c>
      <c r="J402" s="113"/>
    </row>
    <row r="403" spans="1:10" ht="14.25">
      <c r="A403" s="106">
        <v>510</v>
      </c>
      <c r="B403" s="107">
        <v>511</v>
      </c>
      <c r="C403" s="107">
        <v>7.5800000000000006E-2</v>
      </c>
      <c r="D403" s="107">
        <v>0.54</v>
      </c>
      <c r="E403" s="107">
        <v>0.35820000000000002</v>
      </c>
      <c r="F403" s="107">
        <v>3</v>
      </c>
      <c r="G403" s="107">
        <v>25</v>
      </c>
      <c r="H403" s="108">
        <v>28</v>
      </c>
      <c r="I403" s="105">
        <f>SUM(Table2[[#This Row],[casual]],Table2[[#This Row],[registered]])</f>
        <v>28</v>
      </c>
      <c r="J403" s="113"/>
    </row>
    <row r="404" spans="1:10" ht="14.25">
      <c r="A404" s="106">
        <v>523</v>
      </c>
      <c r="B404" s="107">
        <v>524</v>
      </c>
      <c r="C404" s="107">
        <v>9.0899999999999995E-2</v>
      </c>
      <c r="D404" s="107">
        <v>0.38</v>
      </c>
      <c r="E404" s="107">
        <v>0.19400000000000001</v>
      </c>
      <c r="F404" s="107">
        <v>5</v>
      </c>
      <c r="G404" s="107">
        <v>23</v>
      </c>
      <c r="H404" s="108">
        <v>28</v>
      </c>
      <c r="I404" s="105">
        <f>SUM(Table2[[#This Row],[casual]],Table2[[#This Row],[registered]])</f>
        <v>28</v>
      </c>
      <c r="J404" s="113"/>
    </row>
    <row r="405" spans="1:10" ht="14.25">
      <c r="A405" s="106">
        <v>579</v>
      </c>
      <c r="B405" s="107">
        <v>580</v>
      </c>
      <c r="C405" s="107">
        <v>0.21210000000000001</v>
      </c>
      <c r="D405" s="107">
        <v>0.93</v>
      </c>
      <c r="E405" s="107">
        <v>0.28360000000000002</v>
      </c>
      <c r="F405" s="107">
        <v>2</v>
      </c>
      <c r="G405" s="107">
        <v>26</v>
      </c>
      <c r="H405" s="108">
        <v>28</v>
      </c>
      <c r="I405" s="105">
        <f>SUM(Table2[[#This Row],[casual]],Table2[[#This Row],[registered]])</f>
        <v>28</v>
      </c>
      <c r="J405" s="113"/>
    </row>
    <row r="406" spans="1:10" ht="14.25">
      <c r="A406" s="106">
        <v>237</v>
      </c>
      <c r="B406" s="107">
        <v>238</v>
      </c>
      <c r="C406" s="107">
        <v>0.18179999999999999</v>
      </c>
      <c r="D406" s="107">
        <v>0.55000000000000004</v>
      </c>
      <c r="E406" s="107">
        <v>0.1343</v>
      </c>
      <c r="F406" s="107">
        <v>0</v>
      </c>
      <c r="G406" s="107">
        <v>27</v>
      </c>
      <c r="H406" s="108">
        <v>27</v>
      </c>
      <c r="I406" s="105">
        <f>SUM(Table2[[#This Row],[casual]],Table2[[#This Row],[registered]])</f>
        <v>27</v>
      </c>
      <c r="J406" s="113"/>
    </row>
    <row r="407" spans="1:10" ht="14.25">
      <c r="A407" s="106">
        <v>323</v>
      </c>
      <c r="B407" s="107">
        <v>324</v>
      </c>
      <c r="C407" s="107">
        <v>0.2424</v>
      </c>
      <c r="D407" s="107">
        <v>0.55000000000000004</v>
      </c>
      <c r="E407" s="107">
        <v>0</v>
      </c>
      <c r="F407" s="107">
        <v>1</v>
      </c>
      <c r="G407" s="107">
        <v>26</v>
      </c>
      <c r="H407" s="108">
        <v>27</v>
      </c>
      <c r="I407" s="105">
        <f>SUM(Table2[[#This Row],[casual]],Table2[[#This Row],[registered]])</f>
        <v>27</v>
      </c>
      <c r="J407" s="113"/>
    </row>
    <row r="408" spans="1:10" ht="14.25">
      <c r="A408" s="106">
        <v>393</v>
      </c>
      <c r="B408" s="107">
        <v>394</v>
      </c>
      <c r="C408" s="107">
        <v>0.1515</v>
      </c>
      <c r="D408" s="107">
        <v>0.8</v>
      </c>
      <c r="E408" s="107">
        <v>0.19400000000000001</v>
      </c>
      <c r="F408" s="107">
        <v>3</v>
      </c>
      <c r="G408" s="107">
        <v>24</v>
      </c>
      <c r="H408" s="108">
        <v>27</v>
      </c>
      <c r="I408" s="105">
        <f>SUM(Table2[[#This Row],[casual]],Table2[[#This Row],[registered]])</f>
        <v>27</v>
      </c>
      <c r="J408" s="113"/>
    </row>
    <row r="409" spans="1:10" ht="14.25">
      <c r="A409" s="106">
        <v>461</v>
      </c>
      <c r="B409" s="107">
        <v>462</v>
      </c>
      <c r="C409" s="107">
        <v>0.21210000000000001</v>
      </c>
      <c r="D409" s="107">
        <v>0.55000000000000004</v>
      </c>
      <c r="E409" s="107">
        <v>0.25369999999999998</v>
      </c>
      <c r="F409" s="107">
        <v>0</v>
      </c>
      <c r="G409" s="107">
        <v>27</v>
      </c>
      <c r="H409" s="108">
        <v>27</v>
      </c>
      <c r="I409" s="105">
        <f>SUM(Table2[[#This Row],[casual]],Table2[[#This Row],[registered]])</f>
        <v>27</v>
      </c>
      <c r="J409" s="113"/>
    </row>
    <row r="410" spans="1:10" ht="14.25">
      <c r="A410" s="106">
        <v>478</v>
      </c>
      <c r="B410" s="107">
        <v>479</v>
      </c>
      <c r="C410" s="107">
        <v>4.5499999999999999E-2</v>
      </c>
      <c r="D410" s="107">
        <v>0.38</v>
      </c>
      <c r="E410" s="107">
        <v>0.32840000000000003</v>
      </c>
      <c r="F410" s="107">
        <v>0</v>
      </c>
      <c r="G410" s="107">
        <v>27</v>
      </c>
      <c r="H410" s="108">
        <v>27</v>
      </c>
      <c r="I410" s="105">
        <f>SUM(Table2[[#This Row],[casual]],Table2[[#This Row],[registered]])</f>
        <v>27</v>
      </c>
      <c r="J410" s="113"/>
    </row>
    <row r="411" spans="1:10" ht="14.25">
      <c r="A411" s="106">
        <v>486</v>
      </c>
      <c r="B411" s="107">
        <v>487</v>
      </c>
      <c r="C411" s="107">
        <v>0</v>
      </c>
      <c r="D411" s="107">
        <v>0.44</v>
      </c>
      <c r="E411" s="107">
        <v>0.32840000000000003</v>
      </c>
      <c r="F411" s="107">
        <v>1</v>
      </c>
      <c r="G411" s="107">
        <v>26</v>
      </c>
      <c r="H411" s="108">
        <v>27</v>
      </c>
      <c r="I411" s="105">
        <f>SUM(Table2[[#This Row],[casual]],Table2[[#This Row],[registered]])</f>
        <v>27</v>
      </c>
      <c r="J411" s="113"/>
    </row>
    <row r="412" spans="1:10" ht="14.25">
      <c r="A412" s="106">
        <v>593</v>
      </c>
      <c r="B412" s="107">
        <v>594</v>
      </c>
      <c r="C412" s="107">
        <v>0.21210000000000001</v>
      </c>
      <c r="D412" s="107">
        <v>0.74</v>
      </c>
      <c r="E412" s="107">
        <v>8.9599999999999999E-2</v>
      </c>
      <c r="F412" s="107">
        <v>0</v>
      </c>
      <c r="G412" s="107">
        <v>27</v>
      </c>
      <c r="H412" s="108">
        <v>27</v>
      </c>
      <c r="I412" s="105">
        <f>SUM(Table2[[#This Row],[casual]],Table2[[#This Row],[registered]])</f>
        <v>27</v>
      </c>
      <c r="J412" s="113"/>
    </row>
    <row r="413" spans="1:10" ht="14.25">
      <c r="A413" s="106">
        <v>346</v>
      </c>
      <c r="B413" s="107">
        <v>347</v>
      </c>
      <c r="C413" s="107">
        <v>0.31819999999999998</v>
      </c>
      <c r="D413" s="107">
        <v>0.42</v>
      </c>
      <c r="E413" s="107">
        <v>0.1045</v>
      </c>
      <c r="F413" s="107">
        <v>0</v>
      </c>
      <c r="G413" s="107">
        <v>26</v>
      </c>
      <c r="H413" s="108">
        <v>26</v>
      </c>
      <c r="I413" s="105">
        <f>SUM(Table2[[#This Row],[casual]],Table2[[#This Row],[registered]])</f>
        <v>26</v>
      </c>
      <c r="J413" s="113"/>
    </row>
    <row r="414" spans="1:10" ht="14.25">
      <c r="A414" s="106">
        <v>586</v>
      </c>
      <c r="B414" s="107">
        <v>587</v>
      </c>
      <c r="C414" s="107">
        <v>0.18179999999999999</v>
      </c>
      <c r="D414" s="107">
        <v>0.93</v>
      </c>
      <c r="E414" s="107">
        <v>0.35820000000000002</v>
      </c>
      <c r="F414" s="107">
        <v>0</v>
      </c>
      <c r="G414" s="107">
        <v>26</v>
      </c>
      <c r="H414" s="108">
        <v>26</v>
      </c>
      <c r="I414" s="105">
        <f>SUM(Table2[[#This Row],[casual]],Table2[[#This Row],[registered]])</f>
        <v>26</v>
      </c>
      <c r="J414" s="113"/>
    </row>
    <row r="415" spans="1:10" ht="14.25">
      <c r="A415" s="106">
        <v>161</v>
      </c>
      <c r="B415" s="107">
        <v>162</v>
      </c>
      <c r="C415" s="107">
        <v>0.19700000000000001</v>
      </c>
      <c r="D415" s="107">
        <v>0.51</v>
      </c>
      <c r="E415" s="107">
        <v>0.16420000000000001</v>
      </c>
      <c r="F415" s="107">
        <v>1</v>
      </c>
      <c r="G415" s="107">
        <v>24</v>
      </c>
      <c r="H415" s="108">
        <v>25</v>
      </c>
      <c r="I415" s="105">
        <f>SUM(Table2[[#This Row],[casual]],Table2[[#This Row],[registered]])</f>
        <v>25</v>
      </c>
      <c r="J415" s="113"/>
    </row>
    <row r="416" spans="1:10" ht="14.25">
      <c r="A416" s="106">
        <v>185</v>
      </c>
      <c r="B416" s="107">
        <v>186</v>
      </c>
      <c r="C416" s="107">
        <v>7.5800000000000006E-2</v>
      </c>
      <c r="D416" s="107">
        <v>0.42</v>
      </c>
      <c r="E416" s="107">
        <v>0.3881</v>
      </c>
      <c r="F416" s="107">
        <v>1</v>
      </c>
      <c r="G416" s="107">
        <v>24</v>
      </c>
      <c r="H416" s="108">
        <v>25</v>
      </c>
      <c r="I416" s="105">
        <f>SUM(Table2[[#This Row],[casual]],Table2[[#This Row],[registered]])</f>
        <v>25</v>
      </c>
      <c r="J416" s="113"/>
    </row>
    <row r="417" spans="1:10" ht="14.25">
      <c r="A417" s="106">
        <v>522</v>
      </c>
      <c r="B417" s="107">
        <v>523</v>
      </c>
      <c r="C417" s="107">
        <v>0.1061</v>
      </c>
      <c r="D417" s="107">
        <v>0.36</v>
      </c>
      <c r="E417" s="107">
        <v>0.19400000000000001</v>
      </c>
      <c r="F417" s="107">
        <v>5</v>
      </c>
      <c r="G417" s="107">
        <v>20</v>
      </c>
      <c r="H417" s="108">
        <v>25</v>
      </c>
      <c r="I417" s="105">
        <f>SUM(Table2[[#This Row],[casual]],Table2[[#This Row],[registered]])</f>
        <v>25</v>
      </c>
      <c r="J417" s="113"/>
    </row>
    <row r="418" spans="1:10" ht="14.25">
      <c r="A418" s="106">
        <v>231</v>
      </c>
      <c r="B418" s="107">
        <v>232</v>
      </c>
      <c r="C418" s="107">
        <v>0.1515</v>
      </c>
      <c r="D418" s="107">
        <v>0.59</v>
      </c>
      <c r="E418" s="107">
        <v>0.16420000000000001</v>
      </c>
      <c r="F418" s="107">
        <v>2</v>
      </c>
      <c r="G418" s="107">
        <v>22</v>
      </c>
      <c r="H418" s="108">
        <v>24</v>
      </c>
      <c r="I418" s="105">
        <f>SUM(Table2[[#This Row],[casual]],Table2[[#This Row],[registered]])</f>
        <v>24</v>
      </c>
      <c r="J418" s="113"/>
    </row>
    <row r="419" spans="1:10" ht="14.25">
      <c r="A419" s="106">
        <v>547</v>
      </c>
      <c r="B419" s="107">
        <v>548</v>
      </c>
      <c r="C419" s="107">
        <v>0.1515</v>
      </c>
      <c r="D419" s="107">
        <v>0.64</v>
      </c>
      <c r="E419" s="107">
        <v>0.25369999999999998</v>
      </c>
      <c r="F419" s="107">
        <v>3</v>
      </c>
      <c r="G419" s="107">
        <v>21</v>
      </c>
      <c r="H419" s="108">
        <v>24</v>
      </c>
      <c r="I419" s="105">
        <f>SUM(Table2[[#This Row],[casual]],Table2[[#This Row],[registered]])</f>
        <v>24</v>
      </c>
      <c r="J419" s="113"/>
    </row>
    <row r="420" spans="1:10" ht="14.25">
      <c r="A420" s="106">
        <v>587</v>
      </c>
      <c r="B420" s="107">
        <v>588</v>
      </c>
      <c r="C420" s="107">
        <v>0.2273</v>
      </c>
      <c r="D420" s="107">
        <v>0.55000000000000004</v>
      </c>
      <c r="E420" s="107">
        <v>0.19400000000000001</v>
      </c>
      <c r="F420" s="107">
        <v>1</v>
      </c>
      <c r="G420" s="107">
        <v>23</v>
      </c>
      <c r="H420" s="108">
        <v>24</v>
      </c>
      <c r="I420" s="105">
        <f>SUM(Table2[[#This Row],[casual]],Table2[[#This Row],[registered]])</f>
        <v>24</v>
      </c>
      <c r="J420" s="113"/>
    </row>
    <row r="421" spans="1:10" ht="14.25">
      <c r="A421" s="106">
        <v>137</v>
      </c>
      <c r="B421" s="107">
        <v>138</v>
      </c>
      <c r="C421" s="107">
        <v>0.19700000000000001</v>
      </c>
      <c r="D421" s="107">
        <v>0.59</v>
      </c>
      <c r="E421" s="107">
        <v>0.19400000000000001</v>
      </c>
      <c r="F421" s="107">
        <v>4</v>
      </c>
      <c r="G421" s="107">
        <v>19</v>
      </c>
      <c r="H421" s="108">
        <v>23</v>
      </c>
      <c r="I421" s="105">
        <f>SUM(Table2[[#This Row],[casual]],Table2[[#This Row],[registered]])</f>
        <v>23</v>
      </c>
      <c r="J421" s="113"/>
    </row>
    <row r="422" spans="1:10" ht="14.25">
      <c r="A422" s="106">
        <v>332</v>
      </c>
      <c r="B422" s="107">
        <v>333</v>
      </c>
      <c r="C422" s="107">
        <v>0.1515</v>
      </c>
      <c r="D422" s="107">
        <v>0.63</v>
      </c>
      <c r="E422" s="107">
        <v>0.1343</v>
      </c>
      <c r="F422" s="107">
        <v>1</v>
      </c>
      <c r="G422" s="107">
        <v>22</v>
      </c>
      <c r="H422" s="108">
        <v>23</v>
      </c>
      <c r="I422" s="105">
        <f>SUM(Table2[[#This Row],[casual]],Table2[[#This Row],[registered]])</f>
        <v>23</v>
      </c>
      <c r="J422" s="113"/>
    </row>
    <row r="423" spans="1:10" ht="14.25">
      <c r="A423" s="106">
        <v>349</v>
      </c>
      <c r="B423" s="107">
        <v>350</v>
      </c>
      <c r="C423" s="107">
        <v>0.2727</v>
      </c>
      <c r="D423" s="107">
        <v>0.56000000000000005</v>
      </c>
      <c r="E423" s="107">
        <v>0.1343</v>
      </c>
      <c r="F423" s="107">
        <v>4</v>
      </c>
      <c r="G423" s="107">
        <v>19</v>
      </c>
      <c r="H423" s="108">
        <v>23</v>
      </c>
      <c r="I423" s="105">
        <f>SUM(Table2[[#This Row],[casual]],Table2[[#This Row],[registered]])</f>
        <v>23</v>
      </c>
      <c r="J423" s="113"/>
    </row>
    <row r="424" spans="1:10" ht="14.25">
      <c r="A424" s="106">
        <v>43</v>
      </c>
      <c r="B424" s="107">
        <v>44</v>
      </c>
      <c r="C424" s="47"/>
      <c r="D424" s="107">
        <v>0.39</v>
      </c>
      <c r="E424" s="107">
        <v>0.35820000000000002</v>
      </c>
      <c r="F424" s="107">
        <v>5</v>
      </c>
      <c r="G424" s="107">
        <v>17</v>
      </c>
      <c r="H424" s="108">
        <v>22</v>
      </c>
      <c r="I424" s="105">
        <f>SUM(Table2[[#This Row],[casual]],Table2[[#This Row],[registered]])</f>
        <v>22</v>
      </c>
      <c r="J424" s="113"/>
    </row>
    <row r="425" spans="1:10" ht="14.25">
      <c r="A425" s="106">
        <v>184</v>
      </c>
      <c r="B425" s="107">
        <v>185</v>
      </c>
      <c r="C425" s="107">
        <v>6.0600000000000001E-2</v>
      </c>
      <c r="D425" s="107">
        <v>0.39</v>
      </c>
      <c r="E425" s="107">
        <v>0.44779999999999998</v>
      </c>
      <c r="F425" s="107">
        <v>0</v>
      </c>
      <c r="G425" s="107">
        <v>22</v>
      </c>
      <c r="H425" s="108">
        <v>22</v>
      </c>
      <c r="I425" s="105">
        <f>SUM(Table2[[#This Row],[casual]],Table2[[#This Row],[registered]])</f>
        <v>22</v>
      </c>
      <c r="J425" s="113"/>
    </row>
    <row r="426" spans="1:10" ht="14.25">
      <c r="A426" s="106">
        <v>397</v>
      </c>
      <c r="B426" s="107">
        <v>398</v>
      </c>
      <c r="C426" s="107">
        <v>0.19700000000000001</v>
      </c>
      <c r="D426" s="107">
        <v>0.86</v>
      </c>
      <c r="E426" s="107">
        <v>0.22389999999999999</v>
      </c>
      <c r="F426" s="107">
        <v>0</v>
      </c>
      <c r="G426" s="107">
        <v>22</v>
      </c>
      <c r="H426" s="108">
        <v>22</v>
      </c>
      <c r="I426" s="105">
        <f>SUM(Table2[[#This Row],[casual]],Table2[[#This Row],[registered]])</f>
        <v>22</v>
      </c>
      <c r="J426" s="113"/>
    </row>
    <row r="427" spans="1:10" ht="14.25">
      <c r="A427" s="106">
        <v>502</v>
      </c>
      <c r="B427" s="107">
        <v>503</v>
      </c>
      <c r="C427" s="107">
        <v>7.5800000000000006E-2</v>
      </c>
      <c r="D427" s="107">
        <v>0.56999999999999995</v>
      </c>
      <c r="E427" s="107">
        <v>0.1045</v>
      </c>
      <c r="F427" s="107">
        <v>2</v>
      </c>
      <c r="G427" s="107">
        <v>20</v>
      </c>
      <c r="H427" s="108">
        <v>22</v>
      </c>
      <c r="I427" s="105">
        <f>SUM(Table2[[#This Row],[casual]],Table2[[#This Row],[registered]])</f>
        <v>22</v>
      </c>
      <c r="J427" s="113"/>
    </row>
    <row r="428" spans="1:10" ht="14.25">
      <c r="A428" s="106">
        <v>370</v>
      </c>
      <c r="B428" s="107">
        <v>371</v>
      </c>
      <c r="C428" s="107">
        <v>0.21210000000000001</v>
      </c>
      <c r="D428" s="107">
        <v>0.49</v>
      </c>
      <c r="E428" s="107">
        <v>0.1343</v>
      </c>
      <c r="F428" s="107">
        <v>2</v>
      </c>
      <c r="G428" s="107">
        <v>19</v>
      </c>
      <c r="H428" s="108">
        <v>21</v>
      </c>
      <c r="I428" s="105">
        <f>SUM(Table2[[#This Row],[casual]],Table2[[#This Row],[registered]])</f>
        <v>21</v>
      </c>
      <c r="J428" s="113"/>
    </row>
    <row r="429" spans="1:10" ht="14.25">
      <c r="A429" s="106">
        <v>455</v>
      </c>
      <c r="B429" s="107">
        <v>456</v>
      </c>
      <c r="C429" s="107">
        <v>0.2273</v>
      </c>
      <c r="D429" s="107">
        <v>0.7</v>
      </c>
      <c r="E429" s="107">
        <v>0.25369999999999998</v>
      </c>
      <c r="F429" s="107">
        <v>1</v>
      </c>
      <c r="G429" s="107">
        <v>20</v>
      </c>
      <c r="H429" s="108">
        <v>21</v>
      </c>
      <c r="I429" s="105">
        <f>SUM(Table2[[#This Row],[casual]],Table2[[#This Row],[registered]])</f>
        <v>21</v>
      </c>
      <c r="J429" s="113"/>
    </row>
    <row r="430" spans="1:10" ht="14.25">
      <c r="A430" s="106">
        <v>524</v>
      </c>
      <c r="B430" s="107">
        <v>525</v>
      </c>
      <c r="C430" s="107">
        <v>6.0600000000000001E-2</v>
      </c>
      <c r="D430" s="107">
        <v>0.41</v>
      </c>
      <c r="E430" s="107">
        <v>0.22389999999999999</v>
      </c>
      <c r="F430" s="107">
        <v>4</v>
      </c>
      <c r="G430" s="107">
        <v>17</v>
      </c>
      <c r="H430" s="108">
        <v>21</v>
      </c>
      <c r="I430" s="105">
        <f>SUM(Table2[[#This Row],[casual]],Table2[[#This Row],[registered]])</f>
        <v>21</v>
      </c>
      <c r="J430" s="113"/>
    </row>
    <row r="431" spans="1:10" ht="14.25">
      <c r="A431" s="106">
        <v>32</v>
      </c>
      <c r="B431" s="107">
        <v>33</v>
      </c>
      <c r="C431" s="47"/>
      <c r="D431" s="107">
        <v>0.76</v>
      </c>
      <c r="E431" s="107">
        <v>0.22389999999999999</v>
      </c>
      <c r="F431" s="107">
        <v>1</v>
      </c>
      <c r="G431" s="107">
        <v>19</v>
      </c>
      <c r="H431" s="108">
        <v>20</v>
      </c>
      <c r="I431" s="105">
        <f>SUM(Table2[[#This Row],[casual]],Table2[[#This Row],[registered]])</f>
        <v>20</v>
      </c>
      <c r="J431" s="113"/>
    </row>
    <row r="432" spans="1:10" ht="14.25">
      <c r="A432" s="106">
        <v>67</v>
      </c>
      <c r="B432" s="107">
        <v>68</v>
      </c>
      <c r="C432" s="107">
        <v>0.1515</v>
      </c>
      <c r="D432" s="107">
        <v>0.69</v>
      </c>
      <c r="E432" s="107">
        <v>0.1343</v>
      </c>
      <c r="F432" s="107">
        <v>0</v>
      </c>
      <c r="G432" s="107">
        <v>20</v>
      </c>
      <c r="H432" s="108">
        <v>20</v>
      </c>
      <c r="I432" s="105">
        <f>SUM(Table2[[#This Row],[casual]],Table2[[#This Row],[registered]])</f>
        <v>20</v>
      </c>
      <c r="J432" s="113"/>
    </row>
    <row r="433" spans="1:10" ht="14.25">
      <c r="A433" s="106">
        <v>170</v>
      </c>
      <c r="B433" s="107">
        <v>171</v>
      </c>
      <c r="C433" s="107">
        <v>0.18179999999999999</v>
      </c>
      <c r="D433" s="107">
        <v>0.93</v>
      </c>
      <c r="E433" s="107">
        <v>0.1045</v>
      </c>
      <c r="F433" s="107">
        <v>0</v>
      </c>
      <c r="G433" s="107">
        <v>20</v>
      </c>
      <c r="H433" s="108">
        <v>20</v>
      </c>
      <c r="I433" s="105">
        <f>SUM(Table2[[#This Row],[casual]],Table2[[#This Row],[registered]])</f>
        <v>20</v>
      </c>
      <c r="J433" s="113"/>
    </row>
    <row r="434" spans="1:10" ht="14.25">
      <c r="A434" s="106">
        <v>206</v>
      </c>
      <c r="B434" s="107">
        <v>207</v>
      </c>
      <c r="C434" s="107">
        <v>0.1061</v>
      </c>
      <c r="D434" s="107">
        <v>0.46</v>
      </c>
      <c r="E434" s="107">
        <v>0.41789999999999999</v>
      </c>
      <c r="F434" s="107">
        <v>1</v>
      </c>
      <c r="G434" s="107">
        <v>19</v>
      </c>
      <c r="H434" s="108">
        <v>20</v>
      </c>
      <c r="I434" s="105">
        <f>SUM(Table2[[#This Row],[casual]],Table2[[#This Row],[registered]])</f>
        <v>20</v>
      </c>
      <c r="J434" s="113"/>
    </row>
    <row r="435" spans="1:10" ht="14.25">
      <c r="A435" s="106">
        <v>252</v>
      </c>
      <c r="B435" s="107">
        <v>253</v>
      </c>
      <c r="C435" s="107">
        <v>0.19700000000000001</v>
      </c>
      <c r="D435" s="107">
        <v>0.86</v>
      </c>
      <c r="E435" s="107">
        <v>8.9599999999999999E-2</v>
      </c>
      <c r="F435" s="107">
        <v>0</v>
      </c>
      <c r="G435" s="107">
        <v>20</v>
      </c>
      <c r="H435" s="108">
        <v>20</v>
      </c>
      <c r="I435" s="105">
        <f>SUM(Table2[[#This Row],[casual]],Table2[[#This Row],[registered]])</f>
        <v>20</v>
      </c>
      <c r="J435" s="113"/>
    </row>
    <row r="436" spans="1:10" ht="14.25">
      <c r="A436" s="106">
        <v>276</v>
      </c>
      <c r="B436" s="107">
        <v>277</v>
      </c>
      <c r="C436" s="107">
        <v>0.1061</v>
      </c>
      <c r="D436" s="107">
        <v>0.59</v>
      </c>
      <c r="E436" s="107">
        <v>0.41789999999999999</v>
      </c>
      <c r="F436" s="107">
        <v>1</v>
      </c>
      <c r="G436" s="107">
        <v>19</v>
      </c>
      <c r="H436" s="108">
        <v>20</v>
      </c>
      <c r="I436" s="105">
        <f>SUM(Table2[[#This Row],[casual]],Table2[[#This Row],[registered]])</f>
        <v>20</v>
      </c>
      <c r="J436" s="113"/>
    </row>
    <row r="437" spans="1:10" ht="14.25">
      <c r="A437" s="106">
        <v>325</v>
      </c>
      <c r="B437" s="107">
        <v>326</v>
      </c>
      <c r="C437" s="107">
        <v>0.19700000000000001</v>
      </c>
      <c r="D437" s="107">
        <v>0.59</v>
      </c>
      <c r="E437" s="107">
        <v>8.9599999999999999E-2</v>
      </c>
      <c r="F437" s="107">
        <v>2</v>
      </c>
      <c r="G437" s="107">
        <v>18</v>
      </c>
      <c r="H437" s="108">
        <v>20</v>
      </c>
      <c r="I437" s="105">
        <f>SUM(Table2[[#This Row],[casual]],Table2[[#This Row],[registered]])</f>
        <v>20</v>
      </c>
      <c r="J437" s="113"/>
    </row>
    <row r="438" spans="1:10" ht="14.25">
      <c r="A438" s="106">
        <v>407</v>
      </c>
      <c r="B438" s="107">
        <v>408</v>
      </c>
      <c r="C438" s="107">
        <v>0.2727</v>
      </c>
      <c r="D438" s="107">
        <v>0.93</v>
      </c>
      <c r="E438" s="107">
        <v>0</v>
      </c>
      <c r="F438" s="107">
        <v>1</v>
      </c>
      <c r="G438" s="107">
        <v>19</v>
      </c>
      <c r="H438" s="108">
        <v>20</v>
      </c>
      <c r="I438" s="105">
        <f>SUM(Table2[[#This Row],[casual]],Table2[[#This Row],[registered]])</f>
        <v>20</v>
      </c>
      <c r="J438" s="113"/>
    </row>
    <row r="439" spans="1:10" ht="14.25">
      <c r="A439" s="106">
        <v>114</v>
      </c>
      <c r="B439" s="107">
        <v>115</v>
      </c>
      <c r="C439" s="107">
        <v>0.2576</v>
      </c>
      <c r="D439" s="107">
        <v>0.47</v>
      </c>
      <c r="E439" s="107">
        <v>0</v>
      </c>
      <c r="F439" s="107">
        <v>1</v>
      </c>
      <c r="G439" s="107">
        <v>18</v>
      </c>
      <c r="H439" s="108">
        <v>19</v>
      </c>
      <c r="I439" s="105">
        <f>SUM(Table2[[#This Row],[casual]],Table2[[#This Row],[registered]])</f>
        <v>19</v>
      </c>
      <c r="J439" s="113"/>
    </row>
    <row r="440" spans="1:10" ht="14.25">
      <c r="A440" s="106">
        <v>194</v>
      </c>
      <c r="B440" s="107">
        <v>195</v>
      </c>
      <c r="C440" s="107">
        <v>7.5800000000000006E-2</v>
      </c>
      <c r="D440" s="107">
        <v>0.46</v>
      </c>
      <c r="E440" s="107">
        <v>0.52239999999999998</v>
      </c>
      <c r="F440" s="107">
        <v>0</v>
      </c>
      <c r="G440" s="107">
        <v>19</v>
      </c>
      <c r="H440" s="108">
        <v>19</v>
      </c>
      <c r="I440" s="105">
        <f>SUM(Table2[[#This Row],[casual]],Table2[[#This Row],[registered]])</f>
        <v>19</v>
      </c>
      <c r="J440" s="113"/>
    </row>
    <row r="441" spans="1:10" ht="14.25">
      <c r="A441" s="106">
        <v>254</v>
      </c>
      <c r="B441" s="107">
        <v>255</v>
      </c>
      <c r="C441" s="107">
        <v>0.19700000000000001</v>
      </c>
      <c r="D441" s="107">
        <v>0.93</v>
      </c>
      <c r="E441" s="107">
        <v>8.9599999999999999E-2</v>
      </c>
      <c r="F441" s="107">
        <v>1</v>
      </c>
      <c r="G441" s="107">
        <v>18</v>
      </c>
      <c r="H441" s="108">
        <v>19</v>
      </c>
      <c r="I441" s="105">
        <f>SUM(Table2[[#This Row],[casual]],Table2[[#This Row],[registered]])</f>
        <v>19</v>
      </c>
      <c r="J441" s="113"/>
    </row>
    <row r="442" spans="1:10" ht="14.25">
      <c r="A442" s="106">
        <v>509</v>
      </c>
      <c r="B442" s="107">
        <v>510</v>
      </c>
      <c r="C442" s="107">
        <v>7.5800000000000006E-2</v>
      </c>
      <c r="D442" s="107">
        <v>0.62</v>
      </c>
      <c r="E442" s="107">
        <v>0.16420000000000001</v>
      </c>
      <c r="F442" s="107">
        <v>2</v>
      </c>
      <c r="G442" s="107">
        <v>17</v>
      </c>
      <c r="H442" s="108">
        <v>19</v>
      </c>
      <c r="I442" s="105">
        <f>SUM(Table2[[#This Row],[casual]],Table2[[#This Row],[registered]])</f>
        <v>19</v>
      </c>
      <c r="J442" s="113"/>
    </row>
    <row r="443" spans="1:10" ht="14.25">
      <c r="A443" s="106">
        <v>232</v>
      </c>
      <c r="B443" s="107">
        <v>233</v>
      </c>
      <c r="C443" s="107">
        <v>0.1515</v>
      </c>
      <c r="D443" s="107">
        <v>0.59</v>
      </c>
      <c r="E443" s="107">
        <v>0.16420000000000001</v>
      </c>
      <c r="F443" s="107">
        <v>0</v>
      </c>
      <c r="G443" s="107">
        <v>18</v>
      </c>
      <c r="H443" s="108">
        <v>18</v>
      </c>
      <c r="I443" s="105">
        <f>SUM(Table2[[#This Row],[casual]],Table2[[#This Row],[registered]])</f>
        <v>18</v>
      </c>
      <c r="J443" s="113"/>
    </row>
    <row r="444" spans="1:10" ht="14.25">
      <c r="A444" s="106">
        <v>356</v>
      </c>
      <c r="B444" s="107">
        <v>357</v>
      </c>
      <c r="C444" s="107">
        <v>0.21210000000000001</v>
      </c>
      <c r="D444" s="107">
        <v>0.55000000000000004</v>
      </c>
      <c r="E444" s="107">
        <v>0.28360000000000002</v>
      </c>
      <c r="F444" s="107">
        <v>0</v>
      </c>
      <c r="G444" s="107">
        <v>18</v>
      </c>
      <c r="H444" s="108">
        <v>18</v>
      </c>
      <c r="I444" s="105">
        <f>SUM(Table2[[#This Row],[casual]],Table2[[#This Row],[registered]])</f>
        <v>18</v>
      </c>
      <c r="J444" s="113"/>
    </row>
    <row r="445" spans="1:10" ht="14.25">
      <c r="A445" s="106">
        <v>371</v>
      </c>
      <c r="B445" s="107">
        <v>372</v>
      </c>
      <c r="C445" s="107">
        <v>0.2273</v>
      </c>
      <c r="D445" s="107">
        <v>0.4</v>
      </c>
      <c r="E445" s="107">
        <v>0.1045</v>
      </c>
      <c r="F445" s="107">
        <v>0</v>
      </c>
      <c r="G445" s="107">
        <v>18</v>
      </c>
      <c r="H445" s="108">
        <v>18</v>
      </c>
      <c r="I445" s="105">
        <f>SUM(Table2[[#This Row],[casual]],Table2[[#This Row],[registered]])</f>
        <v>18</v>
      </c>
      <c r="J445" s="113"/>
    </row>
    <row r="446" spans="1:10" ht="14.25">
      <c r="A446" s="106">
        <v>504</v>
      </c>
      <c r="B446" s="107">
        <v>505</v>
      </c>
      <c r="C446" s="107">
        <v>6.0600000000000001E-2</v>
      </c>
      <c r="D446" s="107">
        <v>0.62</v>
      </c>
      <c r="E446" s="107">
        <v>0.1343</v>
      </c>
      <c r="F446" s="107">
        <v>3</v>
      </c>
      <c r="G446" s="107">
        <v>15</v>
      </c>
      <c r="H446" s="108">
        <v>18</v>
      </c>
      <c r="I446" s="105">
        <f>SUM(Table2[[#This Row],[casual]],Table2[[#This Row],[registered]])</f>
        <v>18</v>
      </c>
      <c r="J446" s="113"/>
    </row>
    <row r="447" spans="1:10" ht="14.25">
      <c r="A447" s="106">
        <v>24</v>
      </c>
      <c r="B447" s="107">
        <v>25</v>
      </c>
      <c r="C447" s="107">
        <v>0.45450000000000002</v>
      </c>
      <c r="D447" s="107">
        <v>0.88</v>
      </c>
      <c r="E447" s="107">
        <v>0.29849999999999999</v>
      </c>
      <c r="F447" s="107">
        <v>4</v>
      </c>
      <c r="G447" s="107">
        <v>13</v>
      </c>
      <c r="H447" s="108">
        <v>17</v>
      </c>
      <c r="I447" s="105">
        <f>SUM(Table2[[#This Row],[casual]],Table2[[#This Row],[registered]])</f>
        <v>17</v>
      </c>
      <c r="J447" s="113"/>
    </row>
    <row r="448" spans="1:10" ht="14.25">
      <c r="A448" s="106">
        <v>25</v>
      </c>
      <c r="B448" s="107">
        <v>26</v>
      </c>
      <c r="C448" s="107">
        <v>0.43940000000000001</v>
      </c>
      <c r="D448" s="107">
        <v>0.94</v>
      </c>
      <c r="E448" s="107">
        <v>0.25369999999999998</v>
      </c>
      <c r="F448" s="107">
        <v>1</v>
      </c>
      <c r="G448" s="107">
        <v>16</v>
      </c>
      <c r="H448" s="108">
        <v>17</v>
      </c>
      <c r="I448" s="105">
        <f>SUM(Table2[[#This Row],[casual]],Table2[[#This Row],[registered]])</f>
        <v>17</v>
      </c>
      <c r="J448" s="113"/>
    </row>
    <row r="449" spans="1:10" ht="14.25">
      <c r="A449" s="106">
        <v>138</v>
      </c>
      <c r="B449" s="107">
        <v>139</v>
      </c>
      <c r="C449" s="107">
        <v>0.19700000000000001</v>
      </c>
      <c r="D449" s="107">
        <v>0.64</v>
      </c>
      <c r="E449" s="107">
        <v>0.19400000000000001</v>
      </c>
      <c r="F449" s="107">
        <v>4</v>
      </c>
      <c r="G449" s="107">
        <v>13</v>
      </c>
      <c r="H449" s="108">
        <v>17</v>
      </c>
      <c r="I449" s="105">
        <f>SUM(Table2[[#This Row],[casual]],Table2[[#This Row],[registered]])</f>
        <v>17</v>
      </c>
      <c r="J449" s="113"/>
    </row>
    <row r="450" spans="1:10" ht="14.25">
      <c r="A450" s="106">
        <v>306</v>
      </c>
      <c r="B450" s="107">
        <v>307</v>
      </c>
      <c r="C450" s="107">
        <v>0.18179999999999999</v>
      </c>
      <c r="D450" s="107">
        <v>0.54</v>
      </c>
      <c r="E450" s="107">
        <v>0</v>
      </c>
      <c r="F450" s="107">
        <v>0</v>
      </c>
      <c r="G450" s="107">
        <v>17</v>
      </c>
      <c r="H450" s="108">
        <v>17</v>
      </c>
      <c r="I450" s="105">
        <f>SUM(Table2[[#This Row],[casual]],Table2[[#This Row],[registered]])</f>
        <v>17</v>
      </c>
      <c r="J450" s="113"/>
    </row>
    <row r="451" spans="1:10" ht="14.25">
      <c r="A451" s="106">
        <v>372</v>
      </c>
      <c r="B451" s="107">
        <v>373</v>
      </c>
      <c r="C451" s="107">
        <v>0.19700000000000001</v>
      </c>
      <c r="D451" s="107">
        <v>0.47</v>
      </c>
      <c r="E451" s="107">
        <v>0.22389999999999999</v>
      </c>
      <c r="F451" s="107">
        <v>1</v>
      </c>
      <c r="G451" s="107">
        <v>16</v>
      </c>
      <c r="H451" s="108">
        <v>17</v>
      </c>
      <c r="I451" s="105">
        <f>SUM(Table2[[#This Row],[casual]],Table2[[#This Row],[registered]])</f>
        <v>17</v>
      </c>
      <c r="J451" s="113"/>
    </row>
    <row r="452" spans="1:10" ht="14.25">
      <c r="A452" s="106">
        <v>571</v>
      </c>
      <c r="B452" s="107">
        <v>572</v>
      </c>
      <c r="C452" s="107">
        <v>0.2273</v>
      </c>
      <c r="D452" s="107">
        <v>0.69</v>
      </c>
      <c r="E452" s="107">
        <v>0.1343</v>
      </c>
      <c r="F452" s="107">
        <v>3</v>
      </c>
      <c r="G452" s="107">
        <v>14</v>
      </c>
      <c r="H452" s="108">
        <v>17</v>
      </c>
      <c r="I452" s="105">
        <f>SUM(Table2[[#This Row],[casual]],Table2[[#This Row],[registered]])</f>
        <v>17</v>
      </c>
      <c r="J452" s="113"/>
    </row>
    <row r="453" spans="1:10" ht="14.25">
      <c r="A453" s="106">
        <v>0</v>
      </c>
      <c r="B453" s="107">
        <v>1</v>
      </c>
      <c r="C453" s="107">
        <v>0.28789999999999999</v>
      </c>
      <c r="D453" s="107">
        <v>0.81</v>
      </c>
      <c r="E453" s="107">
        <v>0</v>
      </c>
      <c r="F453" s="107">
        <v>3</v>
      </c>
      <c r="G453" s="107">
        <v>13</v>
      </c>
      <c r="H453" s="108">
        <v>16</v>
      </c>
      <c r="I453" s="105">
        <f>SUM(Table2[[#This Row],[casual]],Table2[[#This Row],[registered]])</f>
        <v>16</v>
      </c>
      <c r="J453" s="113"/>
    </row>
    <row r="454" spans="1:10" ht="14.25">
      <c r="A454" s="106">
        <v>162</v>
      </c>
      <c r="B454" s="107">
        <v>163</v>
      </c>
      <c r="C454" s="107">
        <v>0.21210000000000001</v>
      </c>
      <c r="D454" s="107">
        <v>0.55000000000000004</v>
      </c>
      <c r="E454" s="107">
        <v>8.9599999999999999E-2</v>
      </c>
      <c r="F454" s="107">
        <v>1</v>
      </c>
      <c r="G454" s="107">
        <v>15</v>
      </c>
      <c r="H454" s="108">
        <v>16</v>
      </c>
      <c r="I454" s="105">
        <f>SUM(Table2[[#This Row],[casual]],Table2[[#This Row],[registered]])</f>
        <v>16</v>
      </c>
      <c r="J454" s="113"/>
    </row>
    <row r="455" spans="1:10" ht="14.25">
      <c r="A455" s="106">
        <v>163</v>
      </c>
      <c r="B455" s="107">
        <v>164</v>
      </c>
      <c r="C455" s="107">
        <v>0.2424</v>
      </c>
      <c r="D455" s="107">
        <v>0.55000000000000004</v>
      </c>
      <c r="E455" s="107">
        <v>0</v>
      </c>
      <c r="F455" s="107">
        <v>3</v>
      </c>
      <c r="G455" s="107">
        <v>13</v>
      </c>
      <c r="H455" s="108">
        <v>16</v>
      </c>
      <c r="I455" s="105">
        <f>SUM(Table2[[#This Row],[casual]],Table2[[#This Row],[registered]])</f>
        <v>16</v>
      </c>
      <c r="J455" s="113"/>
    </row>
    <row r="456" spans="1:10" ht="14.25">
      <c r="A456" s="106">
        <v>259</v>
      </c>
      <c r="B456" s="107">
        <v>260</v>
      </c>
      <c r="C456" s="107">
        <v>0.1515</v>
      </c>
      <c r="D456" s="107">
        <v>0.93</v>
      </c>
      <c r="E456" s="107">
        <v>0.1343</v>
      </c>
      <c r="F456" s="107">
        <v>0</v>
      </c>
      <c r="G456" s="107">
        <v>16</v>
      </c>
      <c r="H456" s="108">
        <v>16</v>
      </c>
      <c r="I456" s="105">
        <f>SUM(Table2[[#This Row],[casual]],Table2[[#This Row],[registered]])</f>
        <v>16</v>
      </c>
      <c r="J456" s="113"/>
    </row>
    <row r="457" spans="1:10" ht="14.25">
      <c r="A457" s="106">
        <v>350</v>
      </c>
      <c r="B457" s="107">
        <v>351</v>
      </c>
      <c r="C457" s="107">
        <v>0.28789999999999999</v>
      </c>
      <c r="D457" s="107">
        <v>0.56000000000000005</v>
      </c>
      <c r="E457" s="107">
        <v>8.9599999999999999E-2</v>
      </c>
      <c r="F457" s="107">
        <v>3</v>
      </c>
      <c r="G457" s="107">
        <v>13</v>
      </c>
      <c r="H457" s="108">
        <v>16</v>
      </c>
      <c r="I457" s="105">
        <f>SUM(Table2[[#This Row],[casual]],Table2[[#This Row],[registered]])</f>
        <v>16</v>
      </c>
      <c r="J457" s="113"/>
    </row>
    <row r="458" spans="1:10" ht="14.25">
      <c r="A458" s="106">
        <v>373</v>
      </c>
      <c r="B458" s="107">
        <v>374</v>
      </c>
      <c r="C458" s="107">
        <v>0.19700000000000001</v>
      </c>
      <c r="D458" s="107">
        <v>0.44</v>
      </c>
      <c r="E458" s="107">
        <v>0.19400000000000001</v>
      </c>
      <c r="F458" s="107">
        <v>1</v>
      </c>
      <c r="G458" s="107">
        <v>15</v>
      </c>
      <c r="H458" s="108">
        <v>16</v>
      </c>
      <c r="I458" s="105">
        <f>SUM(Table2[[#This Row],[casual]],Table2[[#This Row],[registered]])</f>
        <v>16</v>
      </c>
      <c r="J458" s="113"/>
    </row>
    <row r="459" spans="1:10" ht="14.25">
      <c r="A459" s="106">
        <v>594</v>
      </c>
      <c r="B459" s="107">
        <v>595</v>
      </c>
      <c r="C459" s="107">
        <v>0.19700000000000001</v>
      </c>
      <c r="D459" s="107">
        <v>0.8</v>
      </c>
      <c r="E459" s="107">
        <v>0.16420000000000001</v>
      </c>
      <c r="F459" s="107">
        <v>0</v>
      </c>
      <c r="G459" s="107">
        <v>16</v>
      </c>
      <c r="H459" s="108">
        <v>16</v>
      </c>
      <c r="I459" s="105">
        <f>SUM(Table2[[#This Row],[casual]],Table2[[#This Row],[registered]])</f>
        <v>16</v>
      </c>
      <c r="J459" s="113"/>
    </row>
    <row r="460" spans="1:10" ht="14.25">
      <c r="A460" s="106">
        <v>600</v>
      </c>
      <c r="B460" s="107">
        <v>601</v>
      </c>
      <c r="C460" s="107">
        <v>0.19700000000000001</v>
      </c>
      <c r="D460" s="107">
        <v>0.8</v>
      </c>
      <c r="E460" s="107">
        <v>0.1343</v>
      </c>
      <c r="F460" s="107">
        <v>0</v>
      </c>
      <c r="G460" s="107">
        <v>16</v>
      </c>
      <c r="H460" s="108">
        <v>16</v>
      </c>
      <c r="I460" s="105">
        <f>SUM(Table2[[#This Row],[casual]],Table2[[#This Row],[registered]])</f>
        <v>16</v>
      </c>
      <c r="J460" s="113"/>
    </row>
    <row r="461" spans="1:10" ht="14.25">
      <c r="A461" s="106">
        <v>160</v>
      </c>
      <c r="B461" s="107">
        <v>161</v>
      </c>
      <c r="C461" s="107">
        <v>0.19700000000000001</v>
      </c>
      <c r="D461" s="107">
        <v>0.51</v>
      </c>
      <c r="E461" s="107">
        <v>0.16420000000000001</v>
      </c>
      <c r="F461" s="107">
        <v>1</v>
      </c>
      <c r="G461" s="107">
        <v>14</v>
      </c>
      <c r="H461" s="108">
        <v>15</v>
      </c>
      <c r="I461" s="105">
        <f>SUM(Table2[[#This Row],[casual]],Table2[[#This Row],[registered]])</f>
        <v>15</v>
      </c>
      <c r="J461" s="113"/>
    </row>
    <row r="462" spans="1:10" ht="14.25">
      <c r="A462" s="106">
        <v>169</v>
      </c>
      <c r="B462" s="107">
        <v>170</v>
      </c>
      <c r="C462" s="107">
        <v>0.18179999999999999</v>
      </c>
      <c r="D462" s="107">
        <v>0.93</v>
      </c>
      <c r="E462" s="107">
        <v>0.1045</v>
      </c>
      <c r="F462" s="107">
        <v>0</v>
      </c>
      <c r="G462" s="107">
        <v>15</v>
      </c>
      <c r="H462" s="108">
        <v>15</v>
      </c>
      <c r="I462" s="105">
        <f>SUM(Table2[[#This Row],[casual]],Table2[[#This Row],[registered]])</f>
        <v>15</v>
      </c>
      <c r="J462" s="113"/>
    </row>
    <row r="463" spans="1:10" ht="14.25">
      <c r="A463" s="106">
        <v>207</v>
      </c>
      <c r="B463" s="107">
        <v>208</v>
      </c>
      <c r="C463" s="107">
        <v>0.1212</v>
      </c>
      <c r="D463" s="107">
        <v>0.46</v>
      </c>
      <c r="E463" s="107">
        <v>0.29849999999999999</v>
      </c>
      <c r="F463" s="107">
        <v>5</v>
      </c>
      <c r="G463" s="107">
        <v>10</v>
      </c>
      <c r="H463" s="108">
        <v>15</v>
      </c>
      <c r="I463" s="105">
        <f>SUM(Table2[[#This Row],[casual]],Table2[[#This Row],[registered]])</f>
        <v>15</v>
      </c>
      <c r="J463" s="113"/>
    </row>
    <row r="464" spans="1:10" ht="14.25">
      <c r="A464" s="106">
        <v>300</v>
      </c>
      <c r="B464" s="107">
        <v>301</v>
      </c>
      <c r="C464" s="107">
        <v>0.13639999999999999</v>
      </c>
      <c r="D464" s="107">
        <v>0.5</v>
      </c>
      <c r="E464" s="107">
        <v>0.19400000000000001</v>
      </c>
      <c r="F464" s="107">
        <v>1</v>
      </c>
      <c r="G464" s="107">
        <v>14</v>
      </c>
      <c r="H464" s="108">
        <v>15</v>
      </c>
      <c r="I464" s="105">
        <f>SUM(Table2[[#This Row],[casual]],Table2[[#This Row],[registered]])</f>
        <v>15</v>
      </c>
      <c r="J464" s="113"/>
    </row>
    <row r="465" spans="1:10" ht="14.25">
      <c r="A465" s="106">
        <v>351</v>
      </c>
      <c r="B465" s="107">
        <v>352</v>
      </c>
      <c r="C465" s="107">
        <v>0.2727</v>
      </c>
      <c r="D465" s="107">
        <v>0.69</v>
      </c>
      <c r="E465" s="107">
        <v>0</v>
      </c>
      <c r="F465" s="107">
        <v>9</v>
      </c>
      <c r="G465" s="107">
        <v>6</v>
      </c>
      <c r="H465" s="108">
        <v>15</v>
      </c>
      <c r="I465" s="105">
        <f>SUM(Table2[[#This Row],[casual]],Table2[[#This Row],[registered]])</f>
        <v>15</v>
      </c>
      <c r="J465" s="113"/>
    </row>
    <row r="466" spans="1:10" ht="14.25">
      <c r="A466" s="106">
        <v>530</v>
      </c>
      <c r="B466" s="107">
        <v>531</v>
      </c>
      <c r="C466" s="107">
        <v>7.5800000000000006E-2</v>
      </c>
      <c r="D466" s="107">
        <v>0.48</v>
      </c>
      <c r="E466" s="107">
        <v>8.9599999999999999E-2</v>
      </c>
      <c r="F466" s="107">
        <v>0</v>
      </c>
      <c r="G466" s="107">
        <v>15</v>
      </c>
      <c r="H466" s="108">
        <v>15</v>
      </c>
      <c r="I466" s="105">
        <f>SUM(Table2[[#This Row],[casual]],Table2[[#This Row],[registered]])</f>
        <v>15</v>
      </c>
      <c r="J466" s="113"/>
    </row>
    <row r="467" spans="1:10" ht="14.25">
      <c r="A467" s="106">
        <v>9</v>
      </c>
      <c r="B467" s="107">
        <v>10</v>
      </c>
      <c r="C467" s="107">
        <v>0.34849999999999998</v>
      </c>
      <c r="D467" s="107">
        <v>0.76</v>
      </c>
      <c r="E467" s="107">
        <v>0</v>
      </c>
      <c r="F467" s="107">
        <v>8</v>
      </c>
      <c r="G467" s="107">
        <v>6</v>
      </c>
      <c r="H467" s="108">
        <v>14</v>
      </c>
      <c r="I467" s="105">
        <f>SUM(Table2[[#This Row],[casual]],Table2[[#This Row],[registered]])</f>
        <v>14</v>
      </c>
      <c r="J467" s="113"/>
    </row>
    <row r="468" spans="1:10" ht="14.25">
      <c r="A468" s="106">
        <v>301</v>
      </c>
      <c r="B468" s="107">
        <v>302</v>
      </c>
      <c r="C468" s="107">
        <v>0.13639999999999999</v>
      </c>
      <c r="D468" s="107">
        <v>0.5</v>
      </c>
      <c r="E468" s="107">
        <v>0.19400000000000001</v>
      </c>
      <c r="F468" s="107">
        <v>0</v>
      </c>
      <c r="G468" s="107">
        <v>14</v>
      </c>
      <c r="H468" s="108">
        <v>14</v>
      </c>
      <c r="I468" s="105">
        <f>SUM(Table2[[#This Row],[casual]],Table2[[#This Row],[registered]])</f>
        <v>14</v>
      </c>
      <c r="J468" s="113"/>
    </row>
    <row r="469" spans="1:10" ht="14.25">
      <c r="A469" s="106">
        <v>3</v>
      </c>
      <c r="B469" s="107">
        <v>4</v>
      </c>
      <c r="C469" s="107">
        <v>0.28789999999999999</v>
      </c>
      <c r="D469" s="107">
        <v>0.75</v>
      </c>
      <c r="E469" s="107">
        <v>0</v>
      </c>
      <c r="F469" s="107">
        <v>3</v>
      </c>
      <c r="G469" s="107">
        <v>10</v>
      </c>
      <c r="H469" s="108">
        <v>13</v>
      </c>
      <c r="I469" s="105">
        <f>SUM(Table2[[#This Row],[casual]],Table2[[#This Row],[registered]])</f>
        <v>13</v>
      </c>
      <c r="J469" s="113"/>
    </row>
    <row r="470" spans="1:10" ht="14.25">
      <c r="A470" s="106">
        <v>379</v>
      </c>
      <c r="B470" s="107">
        <v>380</v>
      </c>
      <c r="C470" s="107">
        <v>0.18179999999999999</v>
      </c>
      <c r="D470" s="107">
        <v>0.5</v>
      </c>
      <c r="E470" s="107">
        <v>0.1343</v>
      </c>
      <c r="F470" s="107">
        <v>4</v>
      </c>
      <c r="G470" s="107">
        <v>9</v>
      </c>
      <c r="H470" s="108">
        <v>13</v>
      </c>
      <c r="I470" s="105">
        <f>SUM(Table2[[#This Row],[casual]],Table2[[#This Row],[registered]])</f>
        <v>13</v>
      </c>
      <c r="J470" s="113"/>
    </row>
    <row r="471" spans="1:10" ht="14.25">
      <c r="A471" s="106">
        <v>394</v>
      </c>
      <c r="B471" s="107">
        <v>395</v>
      </c>
      <c r="C471" s="107">
        <v>0.1212</v>
      </c>
      <c r="D471" s="107">
        <v>0.93</v>
      </c>
      <c r="E471" s="107">
        <v>0.25369999999999998</v>
      </c>
      <c r="F471" s="107">
        <v>0</v>
      </c>
      <c r="G471" s="107">
        <v>13</v>
      </c>
      <c r="H471" s="108">
        <v>13</v>
      </c>
      <c r="I471" s="105">
        <f>SUM(Table2[[#This Row],[casual]],Table2[[#This Row],[registered]])</f>
        <v>13</v>
      </c>
      <c r="J471" s="113"/>
    </row>
    <row r="472" spans="1:10" ht="14.25">
      <c r="A472" s="106">
        <v>431</v>
      </c>
      <c r="B472" s="107">
        <v>432</v>
      </c>
      <c r="C472" s="107">
        <v>0.2273</v>
      </c>
      <c r="D472" s="107">
        <v>0.56000000000000005</v>
      </c>
      <c r="E472" s="107">
        <v>0.3881</v>
      </c>
      <c r="F472" s="107">
        <v>5</v>
      </c>
      <c r="G472" s="107">
        <v>8</v>
      </c>
      <c r="H472" s="108">
        <v>13</v>
      </c>
      <c r="I472" s="105">
        <f>SUM(Table2[[#This Row],[casual]],Table2[[#This Row],[registered]])</f>
        <v>13</v>
      </c>
      <c r="J472" s="113"/>
    </row>
    <row r="473" spans="1:10" ht="14.25">
      <c r="A473" s="106">
        <v>479</v>
      </c>
      <c r="B473" s="107">
        <v>480</v>
      </c>
      <c r="C473" s="107">
        <v>3.0300000000000001E-2</v>
      </c>
      <c r="D473" s="107">
        <v>0.45</v>
      </c>
      <c r="E473" s="107">
        <v>0.25369999999999998</v>
      </c>
      <c r="F473" s="107">
        <v>0</v>
      </c>
      <c r="G473" s="107">
        <v>13</v>
      </c>
      <c r="H473" s="108">
        <v>13</v>
      </c>
      <c r="I473" s="105">
        <f>SUM(Table2[[#This Row],[casual]],Table2[[#This Row],[registered]])</f>
        <v>13</v>
      </c>
      <c r="J473" s="113"/>
    </row>
    <row r="474" spans="1:10" ht="14.25">
      <c r="A474" s="106">
        <v>503</v>
      </c>
      <c r="B474" s="107">
        <v>504</v>
      </c>
      <c r="C474" s="107">
        <v>7.5800000000000006E-2</v>
      </c>
      <c r="D474" s="107">
        <v>0.56999999999999995</v>
      </c>
      <c r="E474" s="107">
        <v>0.1045</v>
      </c>
      <c r="F474" s="107">
        <v>1</v>
      </c>
      <c r="G474" s="107">
        <v>12</v>
      </c>
      <c r="H474" s="108">
        <v>13</v>
      </c>
      <c r="I474" s="105">
        <f>SUM(Table2[[#This Row],[casual]],Table2[[#This Row],[registered]])</f>
        <v>13</v>
      </c>
      <c r="J474" s="113"/>
    </row>
    <row r="475" spans="1:10" ht="14.25">
      <c r="A475" s="106">
        <v>68</v>
      </c>
      <c r="B475" s="107">
        <v>69</v>
      </c>
      <c r="C475" s="107">
        <v>0.21210000000000001</v>
      </c>
      <c r="D475" s="107">
        <v>0.55000000000000004</v>
      </c>
      <c r="E475" s="107">
        <v>0.1045</v>
      </c>
      <c r="F475" s="107">
        <v>1</v>
      </c>
      <c r="G475" s="107">
        <v>11</v>
      </c>
      <c r="H475" s="108">
        <v>12</v>
      </c>
      <c r="I475" s="105">
        <f>SUM(Table2[[#This Row],[casual]],Table2[[#This Row],[registered]])</f>
        <v>12</v>
      </c>
      <c r="J475" s="113"/>
    </row>
    <row r="476" spans="1:10" ht="14.25">
      <c r="A476" s="106">
        <v>186</v>
      </c>
      <c r="B476" s="107">
        <v>187</v>
      </c>
      <c r="C476" s="107">
        <v>6.0600000000000001E-2</v>
      </c>
      <c r="D476" s="107">
        <v>0.42</v>
      </c>
      <c r="E476" s="107">
        <v>0.4627</v>
      </c>
      <c r="F476" s="107">
        <v>0</v>
      </c>
      <c r="G476" s="107">
        <v>12</v>
      </c>
      <c r="H476" s="108">
        <v>12</v>
      </c>
      <c r="I476" s="105">
        <f>SUM(Table2[[#This Row],[casual]],Table2[[#This Row],[registered]])</f>
        <v>12</v>
      </c>
      <c r="J476" s="113"/>
    </row>
    <row r="477" spans="1:10" ht="14.25">
      <c r="A477" s="106">
        <v>233</v>
      </c>
      <c r="B477" s="107">
        <v>234</v>
      </c>
      <c r="C477" s="107">
        <v>0.16669999999999999</v>
      </c>
      <c r="D477" s="107">
        <v>0.59</v>
      </c>
      <c r="E477" s="107">
        <v>0.1045</v>
      </c>
      <c r="F477" s="107">
        <v>2</v>
      </c>
      <c r="G477" s="107">
        <v>10</v>
      </c>
      <c r="H477" s="108">
        <v>12</v>
      </c>
      <c r="I477" s="105">
        <f>SUM(Table2[[#This Row],[casual]],Table2[[#This Row],[registered]])</f>
        <v>12</v>
      </c>
      <c r="J477" s="113"/>
    </row>
    <row r="478" spans="1:10" ht="14.25">
      <c r="A478" s="106">
        <v>326</v>
      </c>
      <c r="B478" s="107">
        <v>327</v>
      </c>
      <c r="C478" s="107">
        <v>0.19700000000000001</v>
      </c>
      <c r="D478" s="107">
        <v>0.59</v>
      </c>
      <c r="E478" s="107">
        <v>8.9599999999999999E-2</v>
      </c>
      <c r="F478" s="107">
        <v>0</v>
      </c>
      <c r="G478" s="107">
        <v>12</v>
      </c>
      <c r="H478" s="108">
        <v>12</v>
      </c>
      <c r="I478" s="105">
        <f>SUM(Table2[[#This Row],[casual]],Table2[[#This Row],[registered]])</f>
        <v>12</v>
      </c>
      <c r="J478" s="113"/>
    </row>
    <row r="479" spans="1:10" ht="14.25">
      <c r="A479" s="106">
        <v>480</v>
      </c>
      <c r="B479" s="107">
        <v>481</v>
      </c>
      <c r="C479" s="107">
        <v>0</v>
      </c>
      <c r="D479" s="107">
        <v>0.41</v>
      </c>
      <c r="E479" s="107">
        <v>0.3881</v>
      </c>
      <c r="F479" s="107">
        <v>3</v>
      </c>
      <c r="G479" s="107">
        <v>9</v>
      </c>
      <c r="H479" s="108">
        <v>12</v>
      </c>
      <c r="I479" s="105">
        <f>SUM(Table2[[#This Row],[casual]],Table2[[#This Row],[registered]])</f>
        <v>12</v>
      </c>
      <c r="J479" s="113"/>
    </row>
    <row r="480" spans="1:10" ht="14.25">
      <c r="A480" s="106">
        <v>91</v>
      </c>
      <c r="B480" s="107">
        <v>92</v>
      </c>
      <c r="C480" s="107">
        <v>0.2273</v>
      </c>
      <c r="D480" s="107">
        <v>0.69</v>
      </c>
      <c r="E480" s="107">
        <v>8.9599999999999999E-2</v>
      </c>
      <c r="F480" s="107">
        <v>2</v>
      </c>
      <c r="G480" s="107">
        <v>9</v>
      </c>
      <c r="H480" s="108">
        <v>11</v>
      </c>
      <c r="I480" s="105">
        <f>SUM(Table2[[#This Row],[casual]],Table2[[#This Row],[registered]])</f>
        <v>11</v>
      </c>
      <c r="J480" s="113"/>
    </row>
    <row r="481" spans="1:10" ht="14.25">
      <c r="A481" s="106">
        <v>115</v>
      </c>
      <c r="B481" s="107">
        <v>116</v>
      </c>
      <c r="C481" s="107">
        <v>0.2424</v>
      </c>
      <c r="D481" s="107">
        <v>0.55000000000000004</v>
      </c>
      <c r="E481" s="107">
        <v>0</v>
      </c>
      <c r="F481" s="107">
        <v>0</v>
      </c>
      <c r="G481" s="107">
        <v>11</v>
      </c>
      <c r="H481" s="108">
        <v>11</v>
      </c>
      <c r="I481" s="105">
        <f>SUM(Table2[[#This Row],[casual]],Table2[[#This Row],[registered]])</f>
        <v>11</v>
      </c>
      <c r="J481" s="113"/>
    </row>
    <row r="482" spans="1:10" ht="14.25">
      <c r="A482" s="106">
        <v>187</v>
      </c>
      <c r="B482" s="107">
        <v>188</v>
      </c>
      <c r="C482" s="107">
        <v>6.0600000000000001E-2</v>
      </c>
      <c r="D482" s="107">
        <v>0.46</v>
      </c>
      <c r="E482" s="107">
        <v>0.4627</v>
      </c>
      <c r="F482" s="107">
        <v>0</v>
      </c>
      <c r="G482" s="107">
        <v>11</v>
      </c>
      <c r="H482" s="108">
        <v>11</v>
      </c>
      <c r="I482" s="105">
        <f>SUM(Table2[[#This Row],[casual]],Table2[[#This Row],[registered]])</f>
        <v>11</v>
      </c>
      <c r="J482" s="113"/>
    </row>
    <row r="483" spans="1:10" ht="14.25">
      <c r="A483" s="106">
        <v>481</v>
      </c>
      <c r="B483" s="107">
        <v>482</v>
      </c>
      <c r="C483" s="107">
        <v>3.0300000000000001E-2</v>
      </c>
      <c r="D483" s="107">
        <v>0.41</v>
      </c>
      <c r="E483" s="107">
        <v>0.25369999999999998</v>
      </c>
      <c r="F483" s="107">
        <v>0</v>
      </c>
      <c r="G483" s="107">
        <v>11</v>
      </c>
      <c r="H483" s="108">
        <v>11</v>
      </c>
      <c r="I483" s="105">
        <f>SUM(Table2[[#This Row],[casual]],Table2[[#This Row],[registered]])</f>
        <v>11</v>
      </c>
      <c r="J483" s="113"/>
    </row>
    <row r="484" spans="1:10" ht="14.25">
      <c r="A484" s="106">
        <v>193</v>
      </c>
      <c r="B484" s="107">
        <v>194</v>
      </c>
      <c r="C484" s="107">
        <v>9.0899999999999995E-2</v>
      </c>
      <c r="D484" s="107">
        <v>0.49</v>
      </c>
      <c r="E484" s="107">
        <v>0.28360000000000002</v>
      </c>
      <c r="F484" s="107">
        <v>0</v>
      </c>
      <c r="G484" s="107">
        <v>10</v>
      </c>
      <c r="H484" s="108">
        <v>10</v>
      </c>
      <c r="I484" s="105">
        <f>SUM(Table2[[#This Row],[casual]],Table2[[#This Row],[registered]])</f>
        <v>10</v>
      </c>
      <c r="J484" s="113"/>
    </row>
    <row r="485" spans="1:10" ht="14.25">
      <c r="A485" s="106">
        <v>331</v>
      </c>
      <c r="B485" s="107">
        <v>332</v>
      </c>
      <c r="C485" s="107">
        <v>0.21210000000000001</v>
      </c>
      <c r="D485" s="107">
        <v>0.63</v>
      </c>
      <c r="E485" s="107">
        <v>0</v>
      </c>
      <c r="F485" s="107">
        <v>1</v>
      </c>
      <c r="G485" s="107">
        <v>9</v>
      </c>
      <c r="H485" s="108">
        <v>10</v>
      </c>
      <c r="I485" s="105">
        <f>SUM(Table2[[#This Row],[casual]],Table2[[#This Row],[registered]])</f>
        <v>10</v>
      </c>
      <c r="J485" s="113"/>
    </row>
    <row r="486" spans="1:10" ht="14.25">
      <c r="A486" s="106">
        <v>573</v>
      </c>
      <c r="B486" s="107">
        <v>574</v>
      </c>
      <c r="C486" s="107">
        <v>0.2273</v>
      </c>
      <c r="D486" s="107">
        <v>0.69</v>
      </c>
      <c r="E486" s="107">
        <v>0.19400000000000001</v>
      </c>
      <c r="F486" s="107">
        <v>3</v>
      </c>
      <c r="G486" s="107">
        <v>7</v>
      </c>
      <c r="H486" s="108">
        <v>10</v>
      </c>
      <c r="I486" s="105">
        <f>SUM(Table2[[#This Row],[casual]],Table2[[#This Row],[registered]])</f>
        <v>10</v>
      </c>
      <c r="J486" s="113"/>
    </row>
    <row r="487" spans="1:10" ht="14.25">
      <c r="A487" s="106">
        <v>26</v>
      </c>
      <c r="B487" s="107">
        <v>27</v>
      </c>
      <c r="C487" s="107">
        <v>0.42420000000000002</v>
      </c>
      <c r="D487" s="107">
        <v>1</v>
      </c>
      <c r="E487" s="107">
        <v>0.28360000000000002</v>
      </c>
      <c r="F487" s="107">
        <v>1</v>
      </c>
      <c r="G487" s="107">
        <v>8</v>
      </c>
      <c r="H487" s="108">
        <v>9</v>
      </c>
      <c r="I487" s="105">
        <f>SUM(Table2[[#This Row],[casual]],Table2[[#This Row],[registered]])</f>
        <v>9</v>
      </c>
      <c r="J487" s="113"/>
    </row>
    <row r="488" spans="1:10" ht="14.25">
      <c r="A488" s="106">
        <v>45</v>
      </c>
      <c r="B488" s="107">
        <v>46</v>
      </c>
      <c r="C488" s="107">
        <v>0.21210000000000001</v>
      </c>
      <c r="D488" s="107">
        <v>0.44</v>
      </c>
      <c r="E488" s="107">
        <v>0.29849999999999999</v>
      </c>
      <c r="F488" s="107">
        <v>0</v>
      </c>
      <c r="G488" s="107">
        <v>9</v>
      </c>
      <c r="H488" s="108">
        <v>9</v>
      </c>
      <c r="I488" s="105">
        <f>SUM(Table2[[#This Row],[casual]],Table2[[#This Row],[registered]])</f>
        <v>9</v>
      </c>
      <c r="J488" s="113"/>
    </row>
    <row r="489" spans="1:10" ht="14.25">
      <c r="A489" s="106">
        <v>168</v>
      </c>
      <c r="B489" s="107">
        <v>169</v>
      </c>
      <c r="C489" s="107">
        <v>0.18179999999999999</v>
      </c>
      <c r="D489" s="107">
        <v>0.74</v>
      </c>
      <c r="E489" s="107">
        <v>0.1045</v>
      </c>
      <c r="F489" s="107">
        <v>1</v>
      </c>
      <c r="G489" s="107">
        <v>8</v>
      </c>
      <c r="H489" s="108">
        <v>9</v>
      </c>
      <c r="I489" s="105">
        <f>SUM(Table2[[#This Row],[casual]],Table2[[#This Row],[registered]])</f>
        <v>9</v>
      </c>
      <c r="J489" s="113"/>
    </row>
    <row r="490" spans="1:10" ht="14.25">
      <c r="A490" s="106">
        <v>548</v>
      </c>
      <c r="B490" s="107">
        <v>549</v>
      </c>
      <c r="C490" s="107">
        <v>0.13639999999999999</v>
      </c>
      <c r="D490" s="107">
        <v>0.69</v>
      </c>
      <c r="E490" s="107">
        <v>0.28360000000000002</v>
      </c>
      <c r="F490" s="107">
        <v>3</v>
      </c>
      <c r="G490" s="107">
        <v>6</v>
      </c>
      <c r="H490" s="108">
        <v>9</v>
      </c>
      <c r="I490" s="105">
        <f>SUM(Table2[[#This Row],[casual]],Table2[[#This Row],[registered]])</f>
        <v>9</v>
      </c>
      <c r="J490" s="113"/>
    </row>
    <row r="491" spans="1:10" ht="14.25">
      <c r="A491" s="106">
        <v>552</v>
      </c>
      <c r="B491" s="107">
        <v>553</v>
      </c>
      <c r="C491" s="107">
        <v>0.13639999999999999</v>
      </c>
      <c r="D491" s="107">
        <v>0.74</v>
      </c>
      <c r="E491" s="107">
        <v>0.22389999999999999</v>
      </c>
      <c r="F491" s="107">
        <v>0</v>
      </c>
      <c r="G491" s="107">
        <v>9</v>
      </c>
      <c r="H491" s="108">
        <v>9</v>
      </c>
      <c r="I491" s="105">
        <f>SUM(Table2[[#This Row],[casual]],Table2[[#This Row],[registered]])</f>
        <v>9</v>
      </c>
      <c r="J491" s="113"/>
    </row>
    <row r="492" spans="1:10" ht="14.25">
      <c r="A492" s="106">
        <v>595</v>
      </c>
      <c r="B492" s="107">
        <v>596</v>
      </c>
      <c r="C492" s="107">
        <v>0.21210000000000001</v>
      </c>
      <c r="D492" s="107">
        <v>0.75</v>
      </c>
      <c r="E492" s="107">
        <v>0.1343</v>
      </c>
      <c r="F492" s="107">
        <v>0</v>
      </c>
      <c r="G492" s="107">
        <v>9</v>
      </c>
      <c r="H492" s="108">
        <v>9</v>
      </c>
      <c r="I492" s="105">
        <f>SUM(Table2[[#This Row],[casual]],Table2[[#This Row],[registered]])</f>
        <v>9</v>
      </c>
      <c r="J492" s="113"/>
    </row>
    <row r="493" spans="1:10" ht="14.25">
      <c r="A493" s="106">
        <v>8</v>
      </c>
      <c r="B493" s="107">
        <v>9</v>
      </c>
      <c r="C493" s="47"/>
      <c r="D493" s="107">
        <v>0.75</v>
      </c>
      <c r="E493" s="107">
        <v>0</v>
      </c>
      <c r="F493" s="107">
        <v>1</v>
      </c>
      <c r="G493" s="107">
        <v>7</v>
      </c>
      <c r="H493" s="108">
        <v>8</v>
      </c>
      <c r="I493" s="105">
        <f>SUM(Table2[[#This Row],[casual]],Table2[[#This Row],[registered]])</f>
        <v>8</v>
      </c>
      <c r="J493" s="113"/>
    </row>
    <row r="494" spans="1:10" ht="14.25">
      <c r="A494" s="106">
        <v>31</v>
      </c>
      <c r="B494" s="107">
        <v>32</v>
      </c>
      <c r="C494" s="107">
        <v>0.40910000000000002</v>
      </c>
      <c r="D494" s="107">
        <v>0.71</v>
      </c>
      <c r="E494" s="107">
        <v>0.22389999999999999</v>
      </c>
      <c r="F494" s="107">
        <v>0</v>
      </c>
      <c r="G494" s="107">
        <v>8</v>
      </c>
      <c r="H494" s="108">
        <v>8</v>
      </c>
      <c r="I494" s="105">
        <f>SUM(Table2[[#This Row],[casual]],Table2[[#This Row],[registered]])</f>
        <v>8</v>
      </c>
      <c r="J494" s="113"/>
    </row>
    <row r="495" spans="1:10" ht="14.25">
      <c r="A495" s="106">
        <v>46</v>
      </c>
      <c r="B495" s="107">
        <v>47</v>
      </c>
      <c r="C495" s="107">
        <v>0.2273</v>
      </c>
      <c r="D495" s="107">
        <v>0.47</v>
      </c>
      <c r="E495" s="107">
        <v>0.16420000000000001</v>
      </c>
      <c r="F495" s="107">
        <v>0</v>
      </c>
      <c r="G495" s="107">
        <v>8</v>
      </c>
      <c r="H495" s="108">
        <v>8</v>
      </c>
      <c r="I495" s="105">
        <f>SUM(Table2[[#This Row],[casual]],Table2[[#This Row],[registered]])</f>
        <v>8</v>
      </c>
      <c r="J495" s="113"/>
    </row>
    <row r="496" spans="1:10" ht="14.25">
      <c r="A496" s="106">
        <v>305</v>
      </c>
      <c r="B496" s="107">
        <v>306</v>
      </c>
      <c r="C496" s="107">
        <v>0.13639999999999999</v>
      </c>
      <c r="D496" s="107">
        <v>0.54</v>
      </c>
      <c r="E496" s="107">
        <v>8.9599999999999999E-2</v>
      </c>
      <c r="F496" s="107">
        <v>0</v>
      </c>
      <c r="G496" s="107">
        <v>8</v>
      </c>
      <c r="H496" s="108">
        <v>8</v>
      </c>
      <c r="I496" s="105">
        <f>SUM(Table2[[#This Row],[casual]],Table2[[#This Row],[registered]])</f>
        <v>8</v>
      </c>
      <c r="J496" s="113"/>
    </row>
    <row r="497" spans="1:10" ht="14.25">
      <c r="A497" s="106">
        <v>327</v>
      </c>
      <c r="B497" s="107">
        <v>328</v>
      </c>
      <c r="C497" s="107">
        <v>0.2273</v>
      </c>
      <c r="D497" s="107">
        <v>0.59</v>
      </c>
      <c r="E497" s="107">
        <v>0</v>
      </c>
      <c r="F497" s="107">
        <v>1</v>
      </c>
      <c r="G497" s="107">
        <v>7</v>
      </c>
      <c r="H497" s="108">
        <v>8</v>
      </c>
      <c r="I497" s="105">
        <f>SUM(Table2[[#This Row],[casual]],Table2[[#This Row],[registered]])</f>
        <v>8</v>
      </c>
      <c r="J497" s="113"/>
    </row>
    <row r="498" spans="1:10" ht="14.25">
      <c r="A498" s="106">
        <v>374</v>
      </c>
      <c r="B498" s="107">
        <v>375</v>
      </c>
      <c r="C498" s="107">
        <v>0.16669999999999999</v>
      </c>
      <c r="D498" s="107">
        <v>0.43</v>
      </c>
      <c r="E498" s="107">
        <v>0.25369999999999998</v>
      </c>
      <c r="F498" s="107">
        <v>0</v>
      </c>
      <c r="G498" s="107">
        <v>8</v>
      </c>
      <c r="H498" s="108">
        <v>8</v>
      </c>
      <c r="I498" s="105">
        <f>SUM(Table2[[#This Row],[casual]],Table2[[#This Row],[registered]])</f>
        <v>8</v>
      </c>
      <c r="J498" s="113"/>
    </row>
    <row r="499" spans="1:10" ht="14.25">
      <c r="A499" s="106">
        <v>485</v>
      </c>
      <c r="B499" s="107">
        <v>486</v>
      </c>
      <c r="C499" s="107">
        <v>1.52E-2</v>
      </c>
      <c r="D499" s="107">
        <v>0.44</v>
      </c>
      <c r="E499" s="107">
        <v>0.28360000000000002</v>
      </c>
      <c r="F499" s="107">
        <v>0</v>
      </c>
      <c r="G499" s="107">
        <v>8</v>
      </c>
      <c r="H499" s="108">
        <v>8</v>
      </c>
      <c r="I499" s="105">
        <f>SUM(Table2[[#This Row],[casual]],Table2[[#This Row],[registered]])</f>
        <v>8</v>
      </c>
      <c r="J499" s="113"/>
    </row>
    <row r="500" spans="1:10" ht="14.25">
      <c r="A500" s="106">
        <v>575</v>
      </c>
      <c r="B500" s="107">
        <v>576</v>
      </c>
      <c r="C500" s="107">
        <v>0.18179999999999999</v>
      </c>
      <c r="D500" s="107">
        <v>0.86</v>
      </c>
      <c r="E500" s="107">
        <v>0.28360000000000002</v>
      </c>
      <c r="F500" s="107">
        <v>0</v>
      </c>
      <c r="G500" s="107">
        <v>8</v>
      </c>
      <c r="H500" s="108">
        <v>8</v>
      </c>
      <c r="I500" s="105">
        <f>SUM(Table2[[#This Row],[casual]],Table2[[#This Row],[registered]])</f>
        <v>8</v>
      </c>
      <c r="J500" s="113"/>
    </row>
    <row r="501" spans="1:10" ht="14.25">
      <c r="A501" s="106">
        <v>139</v>
      </c>
      <c r="B501" s="107">
        <v>140</v>
      </c>
      <c r="C501" s="107">
        <v>0.19700000000000001</v>
      </c>
      <c r="D501" s="107">
        <v>0.69</v>
      </c>
      <c r="E501" s="107">
        <v>0.22389999999999999</v>
      </c>
      <c r="F501" s="107">
        <v>2</v>
      </c>
      <c r="G501" s="107">
        <v>5</v>
      </c>
      <c r="H501" s="108">
        <v>7</v>
      </c>
      <c r="I501" s="105">
        <f>SUM(Table2[[#This Row],[casual]],Table2[[#This Row],[registered]])</f>
        <v>7</v>
      </c>
      <c r="J501" s="113"/>
    </row>
    <row r="502" spans="1:10" ht="14.25">
      <c r="A502" s="106">
        <v>164</v>
      </c>
      <c r="B502" s="107">
        <v>165</v>
      </c>
      <c r="C502" s="107">
        <v>0.19700000000000001</v>
      </c>
      <c r="D502" s="107">
        <v>0.55000000000000004</v>
      </c>
      <c r="E502" s="107">
        <v>0.16420000000000001</v>
      </c>
      <c r="F502" s="107">
        <v>0</v>
      </c>
      <c r="G502" s="107">
        <v>7</v>
      </c>
      <c r="H502" s="108">
        <v>7</v>
      </c>
      <c r="I502" s="105">
        <f>SUM(Table2[[#This Row],[casual]],Table2[[#This Row],[registered]])</f>
        <v>7</v>
      </c>
      <c r="J502" s="113"/>
    </row>
    <row r="503" spans="1:10" ht="14.25">
      <c r="A503" s="106">
        <v>255</v>
      </c>
      <c r="B503" s="107">
        <v>256</v>
      </c>
      <c r="C503" s="107">
        <v>0.19700000000000001</v>
      </c>
      <c r="D503" s="107">
        <v>0.86</v>
      </c>
      <c r="E503" s="107">
        <v>8.9599999999999999E-2</v>
      </c>
      <c r="F503" s="107">
        <v>0</v>
      </c>
      <c r="G503" s="107">
        <v>7</v>
      </c>
      <c r="H503" s="108">
        <v>7</v>
      </c>
      <c r="I503" s="105">
        <f>SUM(Table2[[#This Row],[casual]],Table2[[#This Row],[registered]])</f>
        <v>7</v>
      </c>
      <c r="J503" s="113"/>
    </row>
    <row r="504" spans="1:10" ht="14.25">
      <c r="A504" s="106">
        <v>277</v>
      </c>
      <c r="B504" s="107">
        <v>278</v>
      </c>
      <c r="C504" s="107">
        <v>0.1212</v>
      </c>
      <c r="D504" s="107">
        <v>0.59</v>
      </c>
      <c r="E504" s="107">
        <v>0.28360000000000002</v>
      </c>
      <c r="F504" s="107">
        <v>1</v>
      </c>
      <c r="G504" s="107">
        <v>6</v>
      </c>
      <c r="H504" s="108">
        <v>7</v>
      </c>
      <c r="I504" s="105">
        <f>SUM(Table2[[#This Row],[casual]],Table2[[#This Row],[registered]])</f>
        <v>7</v>
      </c>
      <c r="J504" s="113"/>
    </row>
    <row r="505" spans="1:10" ht="14.25">
      <c r="A505" s="106">
        <v>409</v>
      </c>
      <c r="B505" s="107">
        <v>410</v>
      </c>
      <c r="C505" s="107">
        <v>0.2273</v>
      </c>
      <c r="D505" s="107">
        <v>0.93</v>
      </c>
      <c r="E505" s="107">
        <v>0.1343</v>
      </c>
      <c r="F505" s="107">
        <v>1</v>
      </c>
      <c r="G505" s="107">
        <v>6</v>
      </c>
      <c r="H505" s="108">
        <v>7</v>
      </c>
      <c r="I505" s="105">
        <f>SUM(Table2[[#This Row],[casual]],Table2[[#This Row],[registered]])</f>
        <v>7</v>
      </c>
      <c r="J505" s="113"/>
    </row>
    <row r="506" spans="1:10" ht="14.25">
      <c r="A506" s="106">
        <v>412</v>
      </c>
      <c r="B506" s="107">
        <v>413</v>
      </c>
      <c r="C506" s="107">
        <v>0.2576</v>
      </c>
      <c r="D506" s="107">
        <v>0.93</v>
      </c>
      <c r="E506" s="107">
        <v>8.9599999999999999E-2</v>
      </c>
      <c r="F506" s="107">
        <v>0</v>
      </c>
      <c r="G506" s="107">
        <v>7</v>
      </c>
      <c r="H506" s="108">
        <v>7</v>
      </c>
      <c r="I506" s="105">
        <f>SUM(Table2[[#This Row],[casual]],Table2[[#This Row],[registered]])</f>
        <v>7</v>
      </c>
      <c r="J506" s="113"/>
    </row>
    <row r="507" spans="1:10" ht="14.25">
      <c r="A507" s="106">
        <v>482</v>
      </c>
      <c r="B507" s="107">
        <v>483</v>
      </c>
      <c r="C507" s="107">
        <v>3.0300000000000001E-2</v>
      </c>
      <c r="D507" s="107">
        <v>0.41</v>
      </c>
      <c r="E507" s="107">
        <v>0.28360000000000002</v>
      </c>
      <c r="F507" s="107">
        <v>1</v>
      </c>
      <c r="G507" s="107">
        <v>6</v>
      </c>
      <c r="H507" s="108">
        <v>7</v>
      </c>
      <c r="I507" s="105">
        <f>SUM(Table2[[#This Row],[casual]],Table2[[#This Row],[registered]])</f>
        <v>7</v>
      </c>
      <c r="J507" s="113"/>
    </row>
    <row r="508" spans="1:10" ht="14.25">
      <c r="A508" s="106">
        <v>525</v>
      </c>
      <c r="B508" s="107">
        <v>526</v>
      </c>
      <c r="C508" s="107">
        <v>6.0600000000000001E-2</v>
      </c>
      <c r="D508" s="107">
        <v>0.41</v>
      </c>
      <c r="E508" s="107">
        <v>0.19400000000000001</v>
      </c>
      <c r="F508" s="107">
        <v>0</v>
      </c>
      <c r="G508" s="107">
        <v>7</v>
      </c>
      <c r="H508" s="108">
        <v>7</v>
      </c>
      <c r="I508" s="105">
        <f>SUM(Table2[[#This Row],[casual]],Table2[[#This Row],[registered]])</f>
        <v>7</v>
      </c>
      <c r="J508" s="113"/>
    </row>
    <row r="509" spans="1:10" ht="14.25">
      <c r="A509" s="106">
        <v>27</v>
      </c>
      <c r="B509" s="107">
        <v>28</v>
      </c>
      <c r="C509" s="107">
        <v>0.45450000000000002</v>
      </c>
      <c r="D509" s="107">
        <v>0.94</v>
      </c>
      <c r="E509" s="107">
        <v>0.19400000000000001</v>
      </c>
      <c r="F509" s="107">
        <v>2</v>
      </c>
      <c r="G509" s="107">
        <v>4</v>
      </c>
      <c r="H509" s="108">
        <v>6</v>
      </c>
      <c r="I509" s="105">
        <f>SUM(Table2[[#This Row],[casual]],Table2[[#This Row],[registered]])</f>
        <v>6</v>
      </c>
      <c r="J509" s="113"/>
    </row>
    <row r="510" spans="1:10" ht="14.25">
      <c r="A510" s="106">
        <v>92</v>
      </c>
      <c r="B510" s="107">
        <v>93</v>
      </c>
      <c r="C510" s="107">
        <v>0.2576</v>
      </c>
      <c r="D510" s="107">
        <v>0.64</v>
      </c>
      <c r="E510" s="107">
        <v>0</v>
      </c>
      <c r="F510" s="107">
        <v>0</v>
      </c>
      <c r="G510" s="107">
        <v>6</v>
      </c>
      <c r="H510" s="108">
        <v>6</v>
      </c>
      <c r="I510" s="105">
        <f>SUM(Table2[[#This Row],[casual]],Table2[[#This Row],[registered]])</f>
        <v>6</v>
      </c>
      <c r="J510" s="113"/>
    </row>
    <row r="511" spans="1:10" ht="14.25">
      <c r="A511" s="106">
        <v>93</v>
      </c>
      <c r="B511" s="107">
        <v>94</v>
      </c>
      <c r="C511" s="107">
        <v>0.19700000000000001</v>
      </c>
      <c r="D511" s="107">
        <v>0.74</v>
      </c>
      <c r="E511" s="107">
        <v>8.9599999999999999E-2</v>
      </c>
      <c r="F511" s="107">
        <v>0</v>
      </c>
      <c r="G511" s="107">
        <v>6</v>
      </c>
      <c r="H511" s="108">
        <v>6</v>
      </c>
      <c r="I511" s="105">
        <f>SUM(Table2[[#This Row],[casual]],Table2[[#This Row],[registered]])</f>
        <v>6</v>
      </c>
      <c r="J511" s="113"/>
    </row>
    <row r="512" spans="1:10" ht="14.25">
      <c r="A512" s="106">
        <v>192</v>
      </c>
      <c r="B512" s="107">
        <v>193</v>
      </c>
      <c r="C512" s="107">
        <v>9.0899999999999995E-2</v>
      </c>
      <c r="D512" s="107">
        <v>0.53</v>
      </c>
      <c r="E512" s="107">
        <v>0.19400000000000001</v>
      </c>
      <c r="F512" s="107">
        <v>1</v>
      </c>
      <c r="G512" s="107">
        <v>5</v>
      </c>
      <c r="H512" s="108">
        <v>6</v>
      </c>
      <c r="I512" s="105">
        <f>SUM(Table2[[#This Row],[casual]],Table2[[#This Row],[registered]])</f>
        <v>6</v>
      </c>
      <c r="J512" s="113"/>
    </row>
    <row r="513" spans="1:10" ht="14.25">
      <c r="A513" s="106">
        <v>208</v>
      </c>
      <c r="B513" s="107">
        <v>209</v>
      </c>
      <c r="C513" s="107">
        <v>0.13639999999999999</v>
      </c>
      <c r="D513" s="107">
        <v>0.5</v>
      </c>
      <c r="E513" s="107">
        <v>0.19400000000000001</v>
      </c>
      <c r="F513" s="107">
        <v>0</v>
      </c>
      <c r="G513" s="107">
        <v>6</v>
      </c>
      <c r="H513" s="108">
        <v>6</v>
      </c>
      <c r="I513" s="105">
        <f>SUM(Table2[[#This Row],[casual]],Table2[[#This Row],[registered]])</f>
        <v>6</v>
      </c>
      <c r="J513" s="113"/>
    </row>
    <row r="514" spans="1:10" ht="14.25">
      <c r="A514" s="106">
        <v>236</v>
      </c>
      <c r="B514" s="107">
        <v>237</v>
      </c>
      <c r="C514" s="107">
        <v>0.18179999999999999</v>
      </c>
      <c r="D514" s="107">
        <v>0.55000000000000004</v>
      </c>
      <c r="E514" s="107">
        <v>0.1343</v>
      </c>
      <c r="F514" s="107">
        <v>0</v>
      </c>
      <c r="G514" s="107">
        <v>6</v>
      </c>
      <c r="H514" s="108">
        <v>6</v>
      </c>
      <c r="I514" s="105">
        <f>SUM(Table2[[#This Row],[casual]],Table2[[#This Row],[registered]])</f>
        <v>6</v>
      </c>
      <c r="J514" s="113"/>
    </row>
    <row r="515" spans="1:10" ht="14.25">
      <c r="A515" s="106">
        <v>256</v>
      </c>
      <c r="B515" s="107">
        <v>257</v>
      </c>
      <c r="C515" s="107">
        <v>0.18179999999999999</v>
      </c>
      <c r="D515" s="107">
        <v>0.86</v>
      </c>
      <c r="E515" s="107">
        <v>0.1045</v>
      </c>
      <c r="F515" s="107">
        <v>0</v>
      </c>
      <c r="G515" s="107">
        <v>6</v>
      </c>
      <c r="H515" s="108">
        <v>6</v>
      </c>
      <c r="I515" s="105">
        <f>SUM(Table2[[#This Row],[casual]],Table2[[#This Row],[registered]])</f>
        <v>6</v>
      </c>
      <c r="J515" s="113"/>
    </row>
    <row r="516" spans="1:10" ht="14.25">
      <c r="A516" s="106">
        <v>436</v>
      </c>
      <c r="B516" s="107">
        <v>437</v>
      </c>
      <c r="C516" s="107">
        <v>0.2273</v>
      </c>
      <c r="D516" s="107">
        <v>0.6</v>
      </c>
      <c r="E516" s="107">
        <v>0.22389999999999999</v>
      </c>
      <c r="F516" s="107">
        <v>0</v>
      </c>
      <c r="G516" s="107">
        <v>6</v>
      </c>
      <c r="H516" s="108">
        <v>6</v>
      </c>
      <c r="I516" s="105">
        <f>SUM(Table2[[#This Row],[casual]],Table2[[#This Row],[registered]])</f>
        <v>6</v>
      </c>
      <c r="J516" s="113"/>
    </row>
    <row r="517" spans="1:10" ht="14.25">
      <c r="A517" s="106">
        <v>456</v>
      </c>
      <c r="B517" s="107">
        <v>457</v>
      </c>
      <c r="C517" s="107">
        <v>0.2273</v>
      </c>
      <c r="D517" s="107">
        <v>0.7</v>
      </c>
      <c r="E517" s="107">
        <v>0.25369999999999998</v>
      </c>
      <c r="F517" s="107">
        <v>0</v>
      </c>
      <c r="G517" s="107">
        <v>6</v>
      </c>
      <c r="H517" s="108">
        <v>6</v>
      </c>
      <c r="I517" s="105">
        <f>SUM(Table2[[#This Row],[casual]],Table2[[#This Row],[registered]])</f>
        <v>6</v>
      </c>
      <c r="J517" s="113"/>
    </row>
    <row r="518" spans="1:10" ht="14.25">
      <c r="A518" s="106">
        <v>47</v>
      </c>
      <c r="B518" s="107">
        <v>48</v>
      </c>
      <c r="C518" s="107">
        <v>0.19700000000000001</v>
      </c>
      <c r="D518" s="107">
        <v>0.44</v>
      </c>
      <c r="E518" s="107">
        <v>0.35820000000000002</v>
      </c>
      <c r="F518" s="107">
        <v>0</v>
      </c>
      <c r="G518" s="107">
        <v>5</v>
      </c>
      <c r="H518" s="108">
        <v>5</v>
      </c>
      <c r="I518" s="105">
        <f>SUM(Table2[[#This Row],[casual]],Table2[[#This Row],[registered]])</f>
        <v>5</v>
      </c>
      <c r="J518" s="113"/>
    </row>
    <row r="519" spans="1:10" ht="14.25">
      <c r="A519" s="106">
        <v>69</v>
      </c>
      <c r="B519" s="107">
        <v>70</v>
      </c>
      <c r="C519" s="47"/>
      <c r="D519" s="107">
        <v>0.55000000000000004</v>
      </c>
      <c r="E519" s="107">
        <v>0.1045</v>
      </c>
      <c r="F519" s="107">
        <v>0</v>
      </c>
      <c r="G519" s="107">
        <v>5</v>
      </c>
      <c r="H519" s="108">
        <v>5</v>
      </c>
      <c r="I519" s="105">
        <f>SUM(Table2[[#This Row],[casual]],Table2[[#This Row],[registered]])</f>
        <v>5</v>
      </c>
      <c r="J519" s="113"/>
    </row>
    <row r="520" spans="1:10" ht="14.25">
      <c r="A520" s="106">
        <v>142</v>
      </c>
      <c r="B520" s="107">
        <v>143</v>
      </c>
      <c r="C520" s="107">
        <v>0.2727</v>
      </c>
      <c r="D520" s="107">
        <v>0.55000000000000004</v>
      </c>
      <c r="E520" s="107">
        <v>0</v>
      </c>
      <c r="F520" s="107">
        <v>0</v>
      </c>
      <c r="G520" s="107">
        <v>5</v>
      </c>
      <c r="H520" s="108">
        <v>5</v>
      </c>
      <c r="I520" s="105">
        <f>SUM(Table2[[#This Row],[casual]],Table2[[#This Row],[registered]])</f>
        <v>5</v>
      </c>
      <c r="J520" s="113"/>
    </row>
    <row r="521" spans="1:10" ht="14.25">
      <c r="A521" s="106">
        <v>166</v>
      </c>
      <c r="B521" s="107">
        <v>167</v>
      </c>
      <c r="C521" s="107">
        <v>0.16669999999999999</v>
      </c>
      <c r="D521" s="107">
        <v>0.74</v>
      </c>
      <c r="E521" s="107">
        <v>0.16420000000000001</v>
      </c>
      <c r="F521" s="107">
        <v>0</v>
      </c>
      <c r="G521" s="107">
        <v>5</v>
      </c>
      <c r="H521" s="108">
        <v>5</v>
      </c>
      <c r="I521" s="105">
        <f>SUM(Table2[[#This Row],[casual]],Table2[[#This Row],[registered]])</f>
        <v>5</v>
      </c>
      <c r="J521" s="113"/>
    </row>
    <row r="522" spans="1:10" ht="14.25">
      <c r="A522" s="106">
        <v>209</v>
      </c>
      <c r="B522" s="107">
        <v>210</v>
      </c>
      <c r="C522" s="107">
        <v>0.1212</v>
      </c>
      <c r="D522" s="107">
        <v>0.5</v>
      </c>
      <c r="E522" s="107">
        <v>0.28360000000000002</v>
      </c>
      <c r="F522" s="107">
        <v>2</v>
      </c>
      <c r="G522" s="107">
        <v>3</v>
      </c>
      <c r="H522" s="108">
        <v>5</v>
      </c>
      <c r="I522" s="105">
        <f>SUM(Table2[[#This Row],[casual]],Table2[[#This Row],[registered]])</f>
        <v>5</v>
      </c>
      <c r="J522" s="113"/>
    </row>
    <row r="523" spans="1:10" ht="14.25">
      <c r="A523" s="106">
        <v>258</v>
      </c>
      <c r="B523" s="107">
        <v>259</v>
      </c>
      <c r="C523" s="107">
        <v>0.1515</v>
      </c>
      <c r="D523" s="107">
        <v>0.86</v>
      </c>
      <c r="E523" s="107">
        <v>0.16420000000000001</v>
      </c>
      <c r="F523" s="107">
        <v>0</v>
      </c>
      <c r="G523" s="107">
        <v>5</v>
      </c>
      <c r="H523" s="108">
        <v>5</v>
      </c>
      <c r="I523" s="105">
        <f>SUM(Table2[[#This Row],[casual]],Table2[[#This Row],[registered]])</f>
        <v>5</v>
      </c>
      <c r="J523" s="113"/>
    </row>
    <row r="524" spans="1:10" ht="14.25">
      <c r="A524" s="106">
        <v>302</v>
      </c>
      <c r="B524" s="107">
        <v>303</v>
      </c>
      <c r="C524" s="107">
        <v>0.1212</v>
      </c>
      <c r="D524" s="107">
        <v>0.54</v>
      </c>
      <c r="E524" s="107">
        <v>0.16420000000000001</v>
      </c>
      <c r="F524" s="107">
        <v>0</v>
      </c>
      <c r="G524" s="107">
        <v>5</v>
      </c>
      <c r="H524" s="108">
        <v>5</v>
      </c>
      <c r="I524" s="105">
        <f>SUM(Table2[[#This Row],[casual]],Table2[[#This Row],[registered]])</f>
        <v>5</v>
      </c>
      <c r="J524" s="113"/>
    </row>
    <row r="525" spans="1:10" ht="14.25">
      <c r="A525" s="106">
        <v>328</v>
      </c>
      <c r="B525" s="107">
        <v>329</v>
      </c>
      <c r="C525" s="107">
        <v>0.2273</v>
      </c>
      <c r="D525" s="107">
        <v>0.59</v>
      </c>
      <c r="E525" s="107">
        <v>0</v>
      </c>
      <c r="F525" s="107">
        <v>0</v>
      </c>
      <c r="G525" s="107">
        <v>5</v>
      </c>
      <c r="H525" s="108">
        <v>5</v>
      </c>
      <c r="I525" s="105">
        <f>SUM(Table2[[#This Row],[casual]],Table2[[#This Row],[registered]])</f>
        <v>5</v>
      </c>
      <c r="J525" s="113"/>
    </row>
    <row r="526" spans="1:10" ht="14.25">
      <c r="A526" s="106">
        <v>378</v>
      </c>
      <c r="B526" s="107">
        <v>379</v>
      </c>
      <c r="C526" s="107">
        <v>0.18179999999999999</v>
      </c>
      <c r="D526" s="107">
        <v>0.43</v>
      </c>
      <c r="E526" s="107">
        <v>0.19400000000000001</v>
      </c>
      <c r="F526" s="107">
        <v>0</v>
      </c>
      <c r="G526" s="107">
        <v>5</v>
      </c>
      <c r="H526" s="108">
        <v>5</v>
      </c>
      <c r="I526" s="105">
        <f>SUM(Table2[[#This Row],[casual]],Table2[[#This Row],[registered]])</f>
        <v>5</v>
      </c>
      <c r="J526" s="113"/>
    </row>
    <row r="527" spans="1:10" ht="14.25">
      <c r="A527" s="106">
        <v>432</v>
      </c>
      <c r="B527" s="107">
        <v>433</v>
      </c>
      <c r="C527" s="107">
        <v>0.2727</v>
      </c>
      <c r="D527" s="107">
        <v>0.56000000000000005</v>
      </c>
      <c r="E527" s="107">
        <v>0</v>
      </c>
      <c r="F527" s="107">
        <v>2</v>
      </c>
      <c r="G527" s="107">
        <v>3</v>
      </c>
      <c r="H527" s="108">
        <v>5</v>
      </c>
      <c r="I527" s="105">
        <f>SUM(Table2[[#This Row],[casual]],Table2[[#This Row],[registered]])</f>
        <v>5</v>
      </c>
      <c r="J527" s="113"/>
    </row>
    <row r="528" spans="1:10" ht="14.25">
      <c r="A528" s="106">
        <v>460</v>
      </c>
      <c r="B528" s="107">
        <v>461</v>
      </c>
      <c r="C528" s="107">
        <v>0.19700000000000001</v>
      </c>
      <c r="D528" s="107">
        <v>0.6</v>
      </c>
      <c r="E528" s="107">
        <v>0.41789999999999999</v>
      </c>
      <c r="F528" s="107">
        <v>1</v>
      </c>
      <c r="G528" s="107">
        <v>4</v>
      </c>
      <c r="H528" s="108">
        <v>5</v>
      </c>
      <c r="I528" s="105">
        <f>SUM(Table2[[#This Row],[casual]],Table2[[#This Row],[registered]])</f>
        <v>5</v>
      </c>
      <c r="J528" s="113"/>
    </row>
    <row r="529" spans="1:10" ht="14.25">
      <c r="A529" s="106">
        <v>505</v>
      </c>
      <c r="B529" s="107">
        <v>506</v>
      </c>
      <c r="C529" s="107">
        <v>6.0600000000000001E-2</v>
      </c>
      <c r="D529" s="107">
        <v>0.62</v>
      </c>
      <c r="E529" s="107">
        <v>0.1343</v>
      </c>
      <c r="F529" s="107">
        <v>1</v>
      </c>
      <c r="G529" s="107">
        <v>4</v>
      </c>
      <c r="H529" s="108">
        <v>5</v>
      </c>
      <c r="I529" s="105">
        <f>SUM(Table2[[#This Row],[casual]],Table2[[#This Row],[registered]])</f>
        <v>5</v>
      </c>
      <c r="J529" s="113"/>
    </row>
    <row r="530" spans="1:10" ht="14.25">
      <c r="A530" s="106">
        <v>529</v>
      </c>
      <c r="B530" s="107">
        <v>530</v>
      </c>
      <c r="C530" s="107">
        <v>6.0600000000000001E-2</v>
      </c>
      <c r="D530" s="107">
        <v>0.48</v>
      </c>
      <c r="E530" s="107">
        <v>0.1343</v>
      </c>
      <c r="F530" s="107">
        <v>0</v>
      </c>
      <c r="G530" s="107">
        <v>5</v>
      </c>
      <c r="H530" s="108">
        <v>5</v>
      </c>
      <c r="I530" s="105">
        <f>SUM(Table2[[#This Row],[casual]],Table2[[#This Row],[registered]])</f>
        <v>5</v>
      </c>
      <c r="J530" s="113"/>
    </row>
    <row r="531" spans="1:10" ht="14.25">
      <c r="A531" s="106">
        <v>549</v>
      </c>
      <c r="B531" s="107">
        <v>550</v>
      </c>
      <c r="C531" s="107">
        <v>0.16669999999999999</v>
      </c>
      <c r="D531" s="107">
        <v>0.69</v>
      </c>
      <c r="E531" s="107">
        <v>0.16420000000000001</v>
      </c>
      <c r="F531" s="107">
        <v>0</v>
      </c>
      <c r="G531" s="107">
        <v>5</v>
      </c>
      <c r="H531" s="108">
        <v>5</v>
      </c>
      <c r="I531" s="105">
        <f>SUM(Table2[[#This Row],[casual]],Table2[[#This Row],[registered]])</f>
        <v>5</v>
      </c>
      <c r="J531" s="113"/>
    </row>
    <row r="532" spans="1:10" ht="14.25">
      <c r="A532" s="106">
        <v>572</v>
      </c>
      <c r="B532" s="107">
        <v>573</v>
      </c>
      <c r="C532" s="107">
        <v>0.2424</v>
      </c>
      <c r="D532" s="107">
        <v>0.65</v>
      </c>
      <c r="E532" s="107">
        <v>0.1343</v>
      </c>
      <c r="F532" s="107">
        <v>0</v>
      </c>
      <c r="G532" s="107">
        <v>5</v>
      </c>
      <c r="H532" s="108">
        <v>5</v>
      </c>
      <c r="I532" s="105">
        <f>SUM(Table2[[#This Row],[casual]],Table2[[#This Row],[registered]])</f>
        <v>5</v>
      </c>
      <c r="J532" s="113"/>
    </row>
    <row r="533" spans="1:10" ht="14.25">
      <c r="A533" s="106">
        <v>73</v>
      </c>
      <c r="B533" s="107">
        <v>74</v>
      </c>
      <c r="C533" s="107">
        <v>0.1515</v>
      </c>
      <c r="D533" s="107">
        <v>0.68</v>
      </c>
      <c r="E533" s="107">
        <v>0.1045</v>
      </c>
      <c r="F533" s="107">
        <v>0</v>
      </c>
      <c r="G533" s="107">
        <v>4</v>
      </c>
      <c r="H533" s="108">
        <v>4</v>
      </c>
      <c r="I533" s="105">
        <f>SUM(Table2[[#This Row],[casual]],Table2[[#This Row],[registered]])</f>
        <v>4</v>
      </c>
      <c r="J533" s="113"/>
    </row>
    <row r="534" spans="1:10" ht="14.25">
      <c r="A534" s="106">
        <v>116</v>
      </c>
      <c r="B534" s="107">
        <v>117</v>
      </c>
      <c r="C534" s="107">
        <v>0.2273</v>
      </c>
      <c r="D534" s="107">
        <v>0.64</v>
      </c>
      <c r="E534" s="107">
        <v>0</v>
      </c>
      <c r="F534" s="107">
        <v>0</v>
      </c>
      <c r="G534" s="107">
        <v>4</v>
      </c>
      <c r="H534" s="108">
        <v>4</v>
      </c>
      <c r="I534" s="105">
        <f>SUM(Table2[[#This Row],[casual]],Table2[[#This Row],[registered]])</f>
        <v>4</v>
      </c>
      <c r="J534" s="113"/>
    </row>
    <row r="535" spans="1:10" ht="14.25">
      <c r="A535" s="106">
        <v>119</v>
      </c>
      <c r="B535" s="107">
        <v>120</v>
      </c>
      <c r="C535" s="107">
        <v>0.18179999999999999</v>
      </c>
      <c r="D535" s="107">
        <v>0.69</v>
      </c>
      <c r="E535" s="107">
        <v>8.9599999999999999E-2</v>
      </c>
      <c r="F535" s="107">
        <v>0</v>
      </c>
      <c r="G535" s="107">
        <v>4</v>
      </c>
      <c r="H535" s="108">
        <v>4</v>
      </c>
      <c r="I535" s="105">
        <f>SUM(Table2[[#This Row],[casual]],Table2[[#This Row],[registered]])</f>
        <v>4</v>
      </c>
      <c r="J535" s="113"/>
    </row>
    <row r="536" spans="1:10" ht="14.25">
      <c r="A536" s="106">
        <v>188</v>
      </c>
      <c r="B536" s="107">
        <v>189</v>
      </c>
      <c r="C536" s="107">
        <v>7.5800000000000006E-2</v>
      </c>
      <c r="D536" s="107">
        <v>0.46</v>
      </c>
      <c r="E536" s="107">
        <v>0.41789999999999999</v>
      </c>
      <c r="F536" s="107">
        <v>0</v>
      </c>
      <c r="G536" s="107">
        <v>4</v>
      </c>
      <c r="H536" s="108">
        <v>4</v>
      </c>
      <c r="I536" s="105">
        <f>SUM(Table2[[#This Row],[casual]],Table2[[#This Row],[registered]])</f>
        <v>4</v>
      </c>
      <c r="J536" s="113"/>
    </row>
    <row r="537" spans="1:10" ht="14.25">
      <c r="A537" s="106">
        <v>281</v>
      </c>
      <c r="B537" s="107">
        <v>282</v>
      </c>
      <c r="C537" s="107">
        <v>0.1212</v>
      </c>
      <c r="D537" s="107">
        <v>0.5</v>
      </c>
      <c r="E537" s="107">
        <v>0.25369999999999998</v>
      </c>
      <c r="F537" s="107">
        <v>0</v>
      </c>
      <c r="G537" s="107">
        <v>4</v>
      </c>
      <c r="H537" s="108">
        <v>4</v>
      </c>
      <c r="I537" s="105">
        <f>SUM(Table2[[#This Row],[casual]],Table2[[#This Row],[registered]])</f>
        <v>4</v>
      </c>
      <c r="J537" s="113"/>
    </row>
    <row r="538" spans="1:10" ht="14.25">
      <c r="A538" s="106">
        <v>395</v>
      </c>
      <c r="B538" s="107">
        <v>396</v>
      </c>
      <c r="C538" s="107">
        <v>0.13639999999999999</v>
      </c>
      <c r="D538" s="107">
        <v>0.86</v>
      </c>
      <c r="E538" s="107">
        <v>0.28360000000000002</v>
      </c>
      <c r="F538" s="107">
        <v>1</v>
      </c>
      <c r="G538" s="107">
        <v>3</v>
      </c>
      <c r="H538" s="108">
        <v>4</v>
      </c>
      <c r="I538" s="105">
        <f>SUM(Table2[[#This Row],[casual]],Table2[[#This Row],[registered]])</f>
        <v>4</v>
      </c>
      <c r="J538" s="113"/>
    </row>
    <row r="539" spans="1:10" ht="14.25">
      <c r="A539" s="106">
        <v>599</v>
      </c>
      <c r="B539" s="107">
        <v>600</v>
      </c>
      <c r="C539" s="107">
        <v>0.21210000000000001</v>
      </c>
      <c r="D539" s="107">
        <v>0.8</v>
      </c>
      <c r="E539" s="107">
        <v>0.1045</v>
      </c>
      <c r="F539" s="107">
        <v>0</v>
      </c>
      <c r="G539" s="107">
        <v>4</v>
      </c>
      <c r="H539" s="108">
        <v>4</v>
      </c>
      <c r="I539" s="105">
        <f>SUM(Table2[[#This Row],[casual]],Table2[[#This Row],[registered]])</f>
        <v>4</v>
      </c>
      <c r="J539" s="113"/>
    </row>
    <row r="540" spans="1:10" ht="14.25">
      <c r="A540" s="106">
        <v>7</v>
      </c>
      <c r="B540" s="107">
        <v>8</v>
      </c>
      <c r="C540" s="107">
        <v>0.2576</v>
      </c>
      <c r="D540" s="107">
        <v>0.86</v>
      </c>
      <c r="E540" s="107">
        <v>0</v>
      </c>
      <c r="F540" s="107">
        <v>1</v>
      </c>
      <c r="G540" s="107">
        <v>2</v>
      </c>
      <c r="H540" s="108">
        <v>3</v>
      </c>
      <c r="I540" s="105">
        <f>SUM(Table2[[#This Row],[casual]],Table2[[#This Row],[registered]])</f>
        <v>3</v>
      </c>
      <c r="J540" s="113"/>
    </row>
    <row r="541" spans="1:10" ht="14.25">
      <c r="A541" s="106">
        <v>28</v>
      </c>
      <c r="B541" s="107">
        <v>29</v>
      </c>
      <c r="C541" s="47"/>
      <c r="D541" s="107">
        <v>0.94</v>
      </c>
      <c r="E541" s="107">
        <v>0.19400000000000001</v>
      </c>
      <c r="F541" s="107">
        <v>2</v>
      </c>
      <c r="G541" s="107">
        <v>1</v>
      </c>
      <c r="H541" s="108">
        <v>3</v>
      </c>
      <c r="I541" s="105">
        <f>SUM(Table2[[#This Row],[casual]],Table2[[#This Row],[registered]])</f>
        <v>3</v>
      </c>
      <c r="J541" s="113"/>
    </row>
    <row r="542" spans="1:10" ht="14.25">
      <c r="A542" s="106">
        <v>50</v>
      </c>
      <c r="B542" s="107">
        <v>51</v>
      </c>
      <c r="C542" s="107">
        <v>0.13639999999999999</v>
      </c>
      <c r="D542" s="107">
        <v>0.47</v>
      </c>
      <c r="E542" s="107">
        <v>0.28360000000000002</v>
      </c>
      <c r="F542" s="107">
        <v>0</v>
      </c>
      <c r="G542" s="107">
        <v>3</v>
      </c>
      <c r="H542" s="108">
        <v>3</v>
      </c>
      <c r="I542" s="105">
        <f>SUM(Table2[[#This Row],[casual]],Table2[[#This Row],[registered]])</f>
        <v>3</v>
      </c>
      <c r="J542" s="113"/>
    </row>
    <row r="543" spans="1:10" ht="14.25">
      <c r="A543" s="106">
        <v>96</v>
      </c>
      <c r="B543" s="107">
        <v>97</v>
      </c>
      <c r="C543" s="107">
        <v>0.2273</v>
      </c>
      <c r="D543" s="107">
        <v>0.47</v>
      </c>
      <c r="E543" s="107">
        <v>0.16420000000000001</v>
      </c>
      <c r="F543" s="107">
        <v>0</v>
      </c>
      <c r="G543" s="107">
        <v>3</v>
      </c>
      <c r="H543" s="108">
        <v>3</v>
      </c>
      <c r="I543" s="105">
        <f>SUM(Table2[[#This Row],[casual]],Table2[[#This Row],[registered]])</f>
        <v>3</v>
      </c>
      <c r="J543" s="113"/>
    </row>
    <row r="544" spans="1:10" ht="14.25">
      <c r="A544" s="106">
        <v>211</v>
      </c>
      <c r="B544" s="107">
        <v>212</v>
      </c>
      <c r="C544" s="107">
        <v>0.1212</v>
      </c>
      <c r="D544" s="107">
        <v>0.5</v>
      </c>
      <c r="E544" s="107">
        <v>0.22389999999999999</v>
      </c>
      <c r="F544" s="107">
        <v>0</v>
      </c>
      <c r="G544" s="107">
        <v>3</v>
      </c>
      <c r="H544" s="108">
        <v>3</v>
      </c>
      <c r="I544" s="105">
        <f>SUM(Table2[[#This Row],[casual]],Table2[[#This Row],[registered]])</f>
        <v>3</v>
      </c>
      <c r="J544" s="113"/>
    </row>
    <row r="545" spans="1:10" ht="14.25">
      <c r="A545" s="106">
        <v>213</v>
      </c>
      <c r="B545" s="107">
        <v>214</v>
      </c>
      <c r="C545" s="107">
        <v>0.1212</v>
      </c>
      <c r="D545" s="107">
        <v>0.54</v>
      </c>
      <c r="E545" s="107">
        <v>0.1343</v>
      </c>
      <c r="F545" s="107">
        <v>1</v>
      </c>
      <c r="G545" s="107">
        <v>2</v>
      </c>
      <c r="H545" s="108">
        <v>3</v>
      </c>
      <c r="I545" s="105">
        <f>SUM(Table2[[#This Row],[casual]],Table2[[#This Row],[registered]])</f>
        <v>3</v>
      </c>
      <c r="J545" s="113"/>
    </row>
    <row r="546" spans="1:10" ht="14.25">
      <c r="A546" s="106">
        <v>214</v>
      </c>
      <c r="B546" s="107">
        <v>215</v>
      </c>
      <c r="C546" s="107">
        <v>0.1061</v>
      </c>
      <c r="D546" s="107">
        <v>0.54</v>
      </c>
      <c r="E546" s="107">
        <v>0.25369999999999998</v>
      </c>
      <c r="F546" s="107">
        <v>0</v>
      </c>
      <c r="G546" s="107">
        <v>3</v>
      </c>
      <c r="H546" s="108">
        <v>3</v>
      </c>
      <c r="I546" s="105">
        <f>SUM(Table2[[#This Row],[casual]],Table2[[#This Row],[registered]])</f>
        <v>3</v>
      </c>
      <c r="J546" s="113"/>
    </row>
    <row r="547" spans="1:10" ht="14.25">
      <c r="A547" s="106">
        <v>234</v>
      </c>
      <c r="B547" s="107">
        <v>235</v>
      </c>
      <c r="C547" s="107">
        <v>0.1515</v>
      </c>
      <c r="D547" s="107">
        <v>0.59</v>
      </c>
      <c r="E547" s="107">
        <v>0.16420000000000001</v>
      </c>
      <c r="F547" s="107">
        <v>0</v>
      </c>
      <c r="G547" s="107">
        <v>3</v>
      </c>
      <c r="H547" s="108">
        <v>3</v>
      </c>
      <c r="I547" s="105">
        <f>SUM(Table2[[#This Row],[casual]],Table2[[#This Row],[registered]])</f>
        <v>3</v>
      </c>
      <c r="J547" s="113"/>
    </row>
    <row r="548" spans="1:10" ht="14.25">
      <c r="A548" s="106">
        <v>235</v>
      </c>
      <c r="B548" s="107">
        <v>236</v>
      </c>
      <c r="C548" s="107">
        <v>0.1515</v>
      </c>
      <c r="D548" s="107">
        <v>0.55000000000000004</v>
      </c>
      <c r="E548" s="107">
        <v>0.19400000000000001</v>
      </c>
      <c r="F548" s="107">
        <v>0</v>
      </c>
      <c r="G548" s="107">
        <v>3</v>
      </c>
      <c r="H548" s="108">
        <v>3</v>
      </c>
      <c r="I548" s="105">
        <f>SUM(Table2[[#This Row],[casual]],Table2[[#This Row],[registered]])</f>
        <v>3</v>
      </c>
      <c r="J548" s="113"/>
    </row>
    <row r="549" spans="1:10" ht="14.25">
      <c r="A549" s="106">
        <v>280</v>
      </c>
      <c r="B549" s="107">
        <v>281</v>
      </c>
      <c r="C549" s="107">
        <v>0.1212</v>
      </c>
      <c r="D549" s="107">
        <v>0.5</v>
      </c>
      <c r="E549" s="107">
        <v>0.32840000000000003</v>
      </c>
      <c r="F549" s="107">
        <v>0</v>
      </c>
      <c r="G549" s="107">
        <v>3</v>
      </c>
      <c r="H549" s="108">
        <v>3</v>
      </c>
      <c r="I549" s="105">
        <f>SUM(Table2[[#This Row],[casual]],Table2[[#This Row],[registered]])</f>
        <v>3</v>
      </c>
      <c r="J549" s="113"/>
    </row>
    <row r="550" spans="1:10" ht="14.25">
      <c r="A550" s="106">
        <v>282</v>
      </c>
      <c r="B550" s="107">
        <v>283</v>
      </c>
      <c r="C550" s="107">
        <v>0.1212</v>
      </c>
      <c r="D550" s="107">
        <v>0.5</v>
      </c>
      <c r="E550" s="107">
        <v>0.29849999999999999</v>
      </c>
      <c r="F550" s="107">
        <v>0</v>
      </c>
      <c r="G550" s="107">
        <v>3</v>
      </c>
      <c r="H550" s="108">
        <v>3</v>
      </c>
      <c r="I550" s="105">
        <f>SUM(Table2[[#This Row],[casual]],Table2[[#This Row],[registered]])</f>
        <v>3</v>
      </c>
      <c r="J550" s="113"/>
    </row>
    <row r="551" spans="1:10" ht="14.25">
      <c r="A551" s="106">
        <v>330</v>
      </c>
      <c r="B551" s="107">
        <v>331</v>
      </c>
      <c r="C551" s="107">
        <v>0.16669999999999999</v>
      </c>
      <c r="D551" s="107">
        <v>0.63</v>
      </c>
      <c r="E551" s="107">
        <v>0.1045</v>
      </c>
      <c r="F551" s="107">
        <v>1</v>
      </c>
      <c r="G551" s="107">
        <v>2</v>
      </c>
      <c r="H551" s="108">
        <v>3</v>
      </c>
      <c r="I551" s="105">
        <f>SUM(Table2[[#This Row],[casual]],Table2[[#This Row],[registered]])</f>
        <v>3</v>
      </c>
      <c r="J551" s="113"/>
    </row>
    <row r="552" spans="1:10" ht="14.25">
      <c r="A552" s="106">
        <v>355</v>
      </c>
      <c r="B552" s="107">
        <v>356</v>
      </c>
      <c r="C552" s="107">
        <v>0.21210000000000001</v>
      </c>
      <c r="D552" s="107">
        <v>0.56000000000000005</v>
      </c>
      <c r="E552" s="107">
        <v>0.29849999999999999</v>
      </c>
      <c r="F552" s="107">
        <v>0</v>
      </c>
      <c r="G552" s="107">
        <v>3</v>
      </c>
      <c r="H552" s="108">
        <v>3</v>
      </c>
      <c r="I552" s="105">
        <f>SUM(Table2[[#This Row],[casual]],Table2[[#This Row],[registered]])</f>
        <v>3</v>
      </c>
      <c r="J552" s="113"/>
    </row>
    <row r="553" spans="1:10" ht="14.25">
      <c r="A553" s="106">
        <v>376</v>
      </c>
      <c r="B553" s="107">
        <v>377</v>
      </c>
      <c r="C553" s="107">
        <v>0.19700000000000001</v>
      </c>
      <c r="D553" s="107">
        <v>0.43</v>
      </c>
      <c r="E553" s="107">
        <v>0.1343</v>
      </c>
      <c r="F553" s="107">
        <v>1</v>
      </c>
      <c r="G553" s="107">
        <v>2</v>
      </c>
      <c r="H553" s="108">
        <v>3</v>
      </c>
      <c r="I553" s="105">
        <f>SUM(Table2[[#This Row],[casual]],Table2[[#This Row],[registered]])</f>
        <v>3</v>
      </c>
      <c r="J553" s="113"/>
    </row>
    <row r="554" spans="1:10" ht="14.25">
      <c r="A554" s="106">
        <v>396</v>
      </c>
      <c r="B554" s="107">
        <v>397</v>
      </c>
      <c r="C554" s="107">
        <v>0.18179999999999999</v>
      </c>
      <c r="D554" s="107">
        <v>0.86</v>
      </c>
      <c r="E554" s="107">
        <v>0.32840000000000003</v>
      </c>
      <c r="F554" s="107">
        <v>0</v>
      </c>
      <c r="G554" s="107">
        <v>3</v>
      </c>
      <c r="H554" s="108">
        <v>3</v>
      </c>
      <c r="I554" s="105">
        <f>SUM(Table2[[#This Row],[casual]],Table2[[#This Row],[registered]])</f>
        <v>3</v>
      </c>
      <c r="J554" s="113"/>
    </row>
    <row r="555" spans="1:10" ht="14.25">
      <c r="A555" s="106">
        <v>408</v>
      </c>
      <c r="B555" s="107">
        <v>409</v>
      </c>
      <c r="C555" s="107">
        <v>0.2727</v>
      </c>
      <c r="D555" s="107">
        <v>0.93</v>
      </c>
      <c r="E555" s="107">
        <v>0</v>
      </c>
      <c r="F555" s="107">
        <v>0</v>
      </c>
      <c r="G555" s="107">
        <v>3</v>
      </c>
      <c r="H555" s="108">
        <v>3</v>
      </c>
      <c r="I555" s="105">
        <f>SUM(Table2[[#This Row],[casual]],Table2[[#This Row],[registered]])</f>
        <v>3</v>
      </c>
      <c r="J555" s="113"/>
    </row>
    <row r="556" spans="1:10" ht="14.25">
      <c r="A556" s="106">
        <v>410</v>
      </c>
      <c r="B556" s="107">
        <v>411</v>
      </c>
      <c r="C556" s="107">
        <v>0.2273</v>
      </c>
      <c r="D556" s="107">
        <v>0.93</v>
      </c>
      <c r="E556" s="107">
        <v>0.1343</v>
      </c>
      <c r="F556" s="107">
        <v>0</v>
      </c>
      <c r="G556" s="107">
        <v>3</v>
      </c>
      <c r="H556" s="108">
        <v>3</v>
      </c>
      <c r="I556" s="105">
        <f>SUM(Table2[[#This Row],[casual]],Table2[[#This Row],[registered]])</f>
        <v>3</v>
      </c>
      <c r="J556" s="113"/>
    </row>
    <row r="557" spans="1:10" ht="14.25">
      <c r="A557" s="106">
        <v>483</v>
      </c>
      <c r="B557" s="107">
        <v>484</v>
      </c>
      <c r="C557" s="107">
        <v>1.52E-2</v>
      </c>
      <c r="D557" s="107">
        <v>0.48</v>
      </c>
      <c r="E557" s="107">
        <v>0.29849999999999999</v>
      </c>
      <c r="F557" s="107">
        <v>0</v>
      </c>
      <c r="G557" s="107">
        <v>3</v>
      </c>
      <c r="H557" s="108">
        <v>3</v>
      </c>
      <c r="I557" s="105">
        <f>SUM(Table2[[#This Row],[casual]],Table2[[#This Row],[registered]])</f>
        <v>3</v>
      </c>
      <c r="J557" s="113"/>
    </row>
    <row r="558" spans="1:10" ht="14.25">
      <c r="A558" s="106">
        <v>506</v>
      </c>
      <c r="B558" s="107">
        <v>507</v>
      </c>
      <c r="C558" s="107">
        <v>7.5800000000000006E-2</v>
      </c>
      <c r="D558" s="107">
        <v>0.56999999999999995</v>
      </c>
      <c r="E558" s="107">
        <v>0.1045</v>
      </c>
      <c r="F558" s="107">
        <v>0</v>
      </c>
      <c r="G558" s="107">
        <v>3</v>
      </c>
      <c r="H558" s="108">
        <v>3</v>
      </c>
      <c r="I558" s="105">
        <f>SUM(Table2[[#This Row],[casual]],Table2[[#This Row],[registered]])</f>
        <v>3</v>
      </c>
      <c r="J558" s="113"/>
    </row>
    <row r="559" spans="1:10" ht="14.25">
      <c r="A559" s="106">
        <v>596</v>
      </c>
      <c r="B559" s="107">
        <v>597</v>
      </c>
      <c r="C559" s="107">
        <v>0.21210000000000001</v>
      </c>
      <c r="D559" s="107">
        <v>0.75</v>
      </c>
      <c r="E559" s="107">
        <v>0.1343</v>
      </c>
      <c r="F559" s="107">
        <v>1</v>
      </c>
      <c r="G559" s="107">
        <v>2</v>
      </c>
      <c r="H559" s="108">
        <v>3</v>
      </c>
      <c r="I559" s="105">
        <f>SUM(Table2[[#This Row],[casual]],Table2[[#This Row],[registered]])</f>
        <v>3</v>
      </c>
      <c r="J559" s="113"/>
    </row>
    <row r="560" spans="1:10" ht="14.25">
      <c r="A560" s="106">
        <v>6</v>
      </c>
      <c r="B560" s="107">
        <v>7</v>
      </c>
      <c r="C560" s="107">
        <v>0.2727</v>
      </c>
      <c r="D560" s="107">
        <v>0.8</v>
      </c>
      <c r="E560" s="107">
        <v>0</v>
      </c>
      <c r="F560" s="107">
        <v>2</v>
      </c>
      <c r="G560" s="107">
        <v>0</v>
      </c>
      <c r="H560" s="108">
        <v>2</v>
      </c>
      <c r="I560" s="105">
        <f>SUM(Table2[[#This Row],[casual]],Table2[[#This Row],[registered]])</f>
        <v>2</v>
      </c>
      <c r="J560" s="113"/>
    </row>
    <row r="561" spans="1:10" ht="14.25">
      <c r="A561" s="106">
        <v>29</v>
      </c>
      <c r="B561" s="107">
        <v>30</v>
      </c>
      <c r="C561" s="107">
        <v>0.42420000000000002</v>
      </c>
      <c r="D561" s="107">
        <v>0.77</v>
      </c>
      <c r="E561" s="107">
        <v>0.29849999999999999</v>
      </c>
      <c r="F561" s="107">
        <v>0</v>
      </c>
      <c r="G561" s="107">
        <v>2</v>
      </c>
      <c r="H561" s="108">
        <v>2</v>
      </c>
      <c r="I561" s="105">
        <f>SUM(Table2[[#This Row],[casual]],Table2[[#This Row],[registered]])</f>
        <v>2</v>
      </c>
      <c r="J561" s="113"/>
    </row>
    <row r="562" spans="1:10" ht="14.25">
      <c r="A562" s="106">
        <v>48</v>
      </c>
      <c r="B562" s="107">
        <v>49</v>
      </c>
      <c r="C562" s="47"/>
      <c r="D562" s="107">
        <v>0.44</v>
      </c>
      <c r="E562" s="107">
        <v>0.41789999999999999</v>
      </c>
      <c r="F562" s="107">
        <v>0</v>
      </c>
      <c r="G562" s="107">
        <v>2</v>
      </c>
      <c r="H562" s="108">
        <v>2</v>
      </c>
      <c r="I562" s="105">
        <f>SUM(Table2[[#This Row],[casual]],Table2[[#This Row],[registered]])</f>
        <v>2</v>
      </c>
      <c r="J562" s="113"/>
    </row>
    <row r="563" spans="1:10" ht="14.25">
      <c r="A563" s="106">
        <v>70</v>
      </c>
      <c r="B563" s="107">
        <v>71</v>
      </c>
      <c r="C563" s="107">
        <v>0.18179999999999999</v>
      </c>
      <c r="D563" s="107">
        <v>0.59</v>
      </c>
      <c r="E563" s="107">
        <v>0.1045</v>
      </c>
      <c r="F563" s="107">
        <v>0</v>
      </c>
      <c r="G563" s="107">
        <v>2</v>
      </c>
      <c r="H563" s="108">
        <v>2</v>
      </c>
      <c r="I563" s="105">
        <f>SUM(Table2[[#This Row],[casual]],Table2[[#This Row],[registered]])</f>
        <v>2</v>
      </c>
      <c r="J563" s="113"/>
    </row>
    <row r="564" spans="1:10" ht="14.25">
      <c r="A564" s="106">
        <v>72</v>
      </c>
      <c r="B564" s="107">
        <v>73</v>
      </c>
      <c r="C564" s="107">
        <v>0.18179999999999999</v>
      </c>
      <c r="D564" s="107">
        <v>0.63</v>
      </c>
      <c r="E564" s="107">
        <v>8.9599999999999999E-2</v>
      </c>
      <c r="F564" s="107">
        <v>0</v>
      </c>
      <c r="G564" s="107">
        <v>2</v>
      </c>
      <c r="H564" s="108">
        <v>2</v>
      </c>
      <c r="I564" s="105">
        <f>SUM(Table2[[#This Row],[casual]],Table2[[#This Row],[registered]])</f>
        <v>2</v>
      </c>
      <c r="J564" s="113"/>
    </row>
    <row r="565" spans="1:10" ht="14.25">
      <c r="A565" s="106">
        <v>94</v>
      </c>
      <c r="B565" s="107">
        <v>95</v>
      </c>
      <c r="C565" s="107">
        <v>0.19700000000000001</v>
      </c>
      <c r="D565" s="107">
        <v>0.74</v>
      </c>
      <c r="E565" s="107">
        <v>8.9599999999999999E-2</v>
      </c>
      <c r="F565" s="107">
        <v>0</v>
      </c>
      <c r="G565" s="107">
        <v>2</v>
      </c>
      <c r="H565" s="108">
        <v>2</v>
      </c>
      <c r="I565" s="105">
        <f>SUM(Table2[[#This Row],[casual]],Table2[[#This Row],[registered]])</f>
        <v>2</v>
      </c>
      <c r="J565" s="113"/>
    </row>
    <row r="566" spans="1:10" ht="14.25">
      <c r="A566" s="106">
        <v>95</v>
      </c>
      <c r="B566" s="107">
        <v>96</v>
      </c>
      <c r="C566" s="107">
        <v>0.2273</v>
      </c>
      <c r="D566" s="107">
        <v>0.48</v>
      </c>
      <c r="E566" s="107">
        <v>0.22389999999999999</v>
      </c>
      <c r="F566" s="107">
        <v>0</v>
      </c>
      <c r="G566" s="107">
        <v>2</v>
      </c>
      <c r="H566" s="108">
        <v>2</v>
      </c>
      <c r="I566" s="105">
        <f>SUM(Table2[[#This Row],[casual]],Table2[[#This Row],[registered]])</f>
        <v>2</v>
      </c>
      <c r="J566" s="113"/>
    </row>
    <row r="567" spans="1:10" ht="14.25">
      <c r="A567" s="106">
        <v>117</v>
      </c>
      <c r="B567" s="107">
        <v>118</v>
      </c>
      <c r="C567" s="107">
        <v>0.2273</v>
      </c>
      <c r="D567" s="107">
        <v>0.64</v>
      </c>
      <c r="E567" s="107">
        <v>0</v>
      </c>
      <c r="F567" s="107">
        <v>0</v>
      </c>
      <c r="G567" s="107">
        <v>2</v>
      </c>
      <c r="H567" s="108">
        <v>2</v>
      </c>
      <c r="I567" s="105">
        <f>SUM(Table2[[#This Row],[casual]],Table2[[#This Row],[registered]])</f>
        <v>2</v>
      </c>
      <c r="J567" s="113"/>
    </row>
    <row r="568" spans="1:10" ht="14.25">
      <c r="A568" s="106">
        <v>167</v>
      </c>
      <c r="B568" s="107">
        <v>168</v>
      </c>
      <c r="C568" s="107">
        <v>0.16669999999999999</v>
      </c>
      <c r="D568" s="107">
        <v>0.74</v>
      </c>
      <c r="E568" s="107">
        <v>0.16420000000000001</v>
      </c>
      <c r="F568" s="107">
        <v>0</v>
      </c>
      <c r="G568" s="107">
        <v>2</v>
      </c>
      <c r="H568" s="108">
        <v>2</v>
      </c>
      <c r="I568" s="105">
        <f>SUM(Table2[[#This Row],[casual]],Table2[[#This Row],[registered]])</f>
        <v>2</v>
      </c>
      <c r="J568" s="113"/>
    </row>
    <row r="569" spans="1:10" ht="14.25">
      <c r="A569" s="106">
        <v>278</v>
      </c>
      <c r="B569" s="107">
        <v>279</v>
      </c>
      <c r="C569" s="107">
        <v>0.1212</v>
      </c>
      <c r="D569" s="107">
        <v>0.5</v>
      </c>
      <c r="E569" s="107">
        <v>0.28360000000000002</v>
      </c>
      <c r="F569" s="107">
        <v>0</v>
      </c>
      <c r="G569" s="107">
        <v>2</v>
      </c>
      <c r="H569" s="108">
        <v>2</v>
      </c>
      <c r="I569" s="105">
        <f>SUM(Table2[[#This Row],[casual]],Table2[[#This Row],[registered]])</f>
        <v>2</v>
      </c>
      <c r="J569" s="113"/>
    </row>
    <row r="570" spans="1:10" ht="14.25">
      <c r="A570" s="106">
        <v>279</v>
      </c>
      <c r="B570" s="107">
        <v>280</v>
      </c>
      <c r="C570" s="107">
        <v>0.1212</v>
      </c>
      <c r="D570" s="107">
        <v>0.5</v>
      </c>
      <c r="E570" s="107">
        <v>0.35820000000000002</v>
      </c>
      <c r="F570" s="107">
        <v>0</v>
      </c>
      <c r="G570" s="107">
        <v>2</v>
      </c>
      <c r="H570" s="108">
        <v>2</v>
      </c>
      <c r="I570" s="105">
        <f>SUM(Table2[[#This Row],[casual]],Table2[[#This Row],[registered]])</f>
        <v>2</v>
      </c>
      <c r="J570" s="113"/>
    </row>
    <row r="571" spans="1:10" ht="14.25">
      <c r="A571" s="106">
        <v>353</v>
      </c>
      <c r="B571" s="107">
        <v>354</v>
      </c>
      <c r="C571" s="107">
        <v>0.2576</v>
      </c>
      <c r="D571" s="107">
        <v>0.56000000000000005</v>
      </c>
      <c r="E571" s="107">
        <v>0.16420000000000001</v>
      </c>
      <c r="F571" s="107">
        <v>1</v>
      </c>
      <c r="G571" s="107">
        <v>1</v>
      </c>
      <c r="H571" s="108">
        <v>2</v>
      </c>
      <c r="I571" s="105">
        <f>SUM(Table2[[#This Row],[casual]],Table2[[#This Row],[registered]])</f>
        <v>2</v>
      </c>
      <c r="J571" s="113"/>
    </row>
    <row r="572" spans="1:10" ht="14.25">
      <c r="A572" s="106">
        <v>375</v>
      </c>
      <c r="B572" s="107">
        <v>376</v>
      </c>
      <c r="C572" s="107">
        <v>0.18179999999999999</v>
      </c>
      <c r="D572" s="107">
        <v>0.43</v>
      </c>
      <c r="E572" s="107">
        <v>0.19400000000000001</v>
      </c>
      <c r="F572" s="107">
        <v>0</v>
      </c>
      <c r="G572" s="107">
        <v>2</v>
      </c>
      <c r="H572" s="108">
        <v>2</v>
      </c>
      <c r="I572" s="105">
        <f>SUM(Table2[[#This Row],[casual]],Table2[[#This Row],[registered]])</f>
        <v>2</v>
      </c>
      <c r="J572" s="113"/>
    </row>
    <row r="573" spans="1:10" ht="14.25">
      <c r="A573" s="106">
        <v>411</v>
      </c>
      <c r="B573" s="107">
        <v>412</v>
      </c>
      <c r="C573" s="107">
        <v>0.2273</v>
      </c>
      <c r="D573" s="107">
        <v>0.93</v>
      </c>
      <c r="E573" s="107">
        <v>0.1343</v>
      </c>
      <c r="F573" s="107">
        <v>1</v>
      </c>
      <c r="G573" s="107">
        <v>1</v>
      </c>
      <c r="H573" s="108">
        <v>2</v>
      </c>
      <c r="I573" s="105">
        <f>SUM(Table2[[#This Row],[casual]],Table2[[#This Row],[registered]])</f>
        <v>2</v>
      </c>
      <c r="J573" s="113"/>
    </row>
    <row r="574" spans="1:10" ht="14.25">
      <c r="A574" s="106">
        <v>433</v>
      </c>
      <c r="B574" s="107">
        <v>434</v>
      </c>
      <c r="C574" s="107">
        <v>0.2727</v>
      </c>
      <c r="D574" s="107">
        <v>0.56000000000000005</v>
      </c>
      <c r="E574" s="107">
        <v>0</v>
      </c>
      <c r="F574" s="107">
        <v>0</v>
      </c>
      <c r="G574" s="107">
        <v>2</v>
      </c>
      <c r="H574" s="108">
        <v>2</v>
      </c>
      <c r="I574" s="105">
        <f>SUM(Table2[[#This Row],[casual]],Table2[[#This Row],[registered]])</f>
        <v>2</v>
      </c>
      <c r="J574" s="113"/>
    </row>
    <row r="575" spans="1:10" ht="14.25">
      <c r="A575" s="106">
        <v>457</v>
      </c>
      <c r="B575" s="107">
        <v>458</v>
      </c>
      <c r="C575" s="107">
        <v>0.2424</v>
      </c>
      <c r="D575" s="107">
        <v>0.75</v>
      </c>
      <c r="E575" s="107">
        <v>0.16420000000000001</v>
      </c>
      <c r="F575" s="107">
        <v>0</v>
      </c>
      <c r="G575" s="107">
        <v>2</v>
      </c>
      <c r="H575" s="108">
        <v>2</v>
      </c>
      <c r="I575" s="105">
        <f>SUM(Table2[[#This Row],[casual]],Table2[[#This Row],[registered]])</f>
        <v>2</v>
      </c>
      <c r="J575" s="113"/>
    </row>
    <row r="576" spans="1:10" ht="14.25">
      <c r="A576" s="106">
        <v>484</v>
      </c>
      <c r="B576" s="107">
        <v>485</v>
      </c>
      <c r="C576" s="107">
        <v>3.0300000000000001E-2</v>
      </c>
      <c r="D576" s="107">
        <v>0.44</v>
      </c>
      <c r="E576" s="107">
        <v>0.22389999999999999</v>
      </c>
      <c r="F576" s="107">
        <v>0</v>
      </c>
      <c r="G576" s="107">
        <v>2</v>
      </c>
      <c r="H576" s="108">
        <v>2</v>
      </c>
      <c r="I576" s="105">
        <f>SUM(Table2[[#This Row],[casual]],Table2[[#This Row],[registered]])</f>
        <v>2</v>
      </c>
      <c r="J576" s="113"/>
    </row>
    <row r="577" spans="1:10" ht="14.25">
      <c r="A577" s="106">
        <v>508</v>
      </c>
      <c r="B577" s="107">
        <v>509</v>
      </c>
      <c r="C577" s="107">
        <v>0.1061</v>
      </c>
      <c r="D577" s="107">
        <v>0.57999999999999996</v>
      </c>
      <c r="E577" s="107">
        <v>0.16420000000000001</v>
      </c>
      <c r="F577" s="107">
        <v>1</v>
      </c>
      <c r="G577" s="107">
        <v>1</v>
      </c>
      <c r="H577" s="108">
        <v>2</v>
      </c>
      <c r="I577" s="105">
        <f>SUM(Table2[[#This Row],[casual]],Table2[[#This Row],[registered]])</f>
        <v>2</v>
      </c>
      <c r="J577" s="113"/>
    </row>
    <row r="578" spans="1:10" ht="14.25">
      <c r="A578" s="106">
        <v>550</v>
      </c>
      <c r="B578" s="107">
        <v>551</v>
      </c>
      <c r="C578" s="107">
        <v>0.1515</v>
      </c>
      <c r="D578" s="107">
        <v>0.69</v>
      </c>
      <c r="E578" s="107">
        <v>0.22389999999999999</v>
      </c>
      <c r="F578" s="107">
        <v>0</v>
      </c>
      <c r="G578" s="107">
        <v>2</v>
      </c>
      <c r="H578" s="108">
        <v>2</v>
      </c>
      <c r="I578" s="105">
        <f>SUM(Table2[[#This Row],[casual]],Table2[[#This Row],[registered]])</f>
        <v>2</v>
      </c>
      <c r="J578" s="113"/>
    </row>
    <row r="579" spans="1:10" ht="14.25">
      <c r="A579" s="106">
        <v>597</v>
      </c>
      <c r="B579" s="107">
        <v>598</v>
      </c>
      <c r="C579" s="107">
        <v>0.21210000000000001</v>
      </c>
      <c r="D579" s="107">
        <v>0.75</v>
      </c>
      <c r="E579" s="107">
        <v>0.16420000000000001</v>
      </c>
      <c r="F579" s="107">
        <v>0</v>
      </c>
      <c r="G579" s="107">
        <v>2</v>
      </c>
      <c r="H579" s="108">
        <v>2</v>
      </c>
      <c r="I579" s="105">
        <f>SUM(Table2[[#This Row],[casual]],Table2[[#This Row],[registered]])</f>
        <v>2</v>
      </c>
      <c r="J579" s="113"/>
    </row>
    <row r="580" spans="1:10" ht="14.25">
      <c r="A580" s="106">
        <v>4</v>
      </c>
      <c r="B580" s="107">
        <v>5</v>
      </c>
      <c r="C580" s="107">
        <v>0.28789999999999999</v>
      </c>
      <c r="D580" s="107">
        <v>0.75</v>
      </c>
      <c r="E580" s="107">
        <v>0</v>
      </c>
      <c r="F580" s="107">
        <v>0</v>
      </c>
      <c r="G580" s="107">
        <v>1</v>
      </c>
      <c r="H580" s="108">
        <v>1</v>
      </c>
      <c r="I580" s="105">
        <f>SUM(Table2[[#This Row],[casual]],Table2[[#This Row],[registered]])</f>
        <v>1</v>
      </c>
      <c r="J580" s="113"/>
    </row>
    <row r="581" spans="1:10" ht="14.25">
      <c r="A581" s="106">
        <v>5</v>
      </c>
      <c r="B581" s="107">
        <v>6</v>
      </c>
      <c r="C581" s="107">
        <v>0.2576</v>
      </c>
      <c r="D581" s="107">
        <v>0.75</v>
      </c>
      <c r="E581" s="107">
        <v>8.9599999999999999E-2</v>
      </c>
      <c r="F581" s="107">
        <v>0</v>
      </c>
      <c r="G581" s="107">
        <v>1</v>
      </c>
      <c r="H581" s="108">
        <v>1</v>
      </c>
      <c r="I581" s="105">
        <f>SUM(Table2[[#This Row],[casual]],Table2[[#This Row],[registered]])</f>
        <v>1</v>
      </c>
      <c r="J581" s="113"/>
    </row>
    <row r="582" spans="1:10" ht="14.25">
      <c r="A582" s="106">
        <v>30</v>
      </c>
      <c r="B582" s="107">
        <v>31</v>
      </c>
      <c r="C582" s="107">
        <v>0.40910000000000002</v>
      </c>
      <c r="D582" s="107">
        <v>0.76</v>
      </c>
      <c r="E582" s="107">
        <v>0.19400000000000001</v>
      </c>
      <c r="F582" s="107">
        <v>0</v>
      </c>
      <c r="G582" s="107">
        <v>1</v>
      </c>
      <c r="H582" s="108">
        <v>1</v>
      </c>
      <c r="I582" s="105">
        <f>SUM(Table2[[#This Row],[casual]],Table2[[#This Row],[registered]])</f>
        <v>1</v>
      </c>
      <c r="J582" s="113"/>
    </row>
    <row r="583" spans="1:10" ht="14.25">
      <c r="A583" s="106">
        <v>49</v>
      </c>
      <c r="B583" s="107">
        <v>50</v>
      </c>
      <c r="C583" s="107">
        <v>0.13639999999999999</v>
      </c>
      <c r="D583" s="107">
        <v>0.47</v>
      </c>
      <c r="E583" s="107">
        <v>0.3881</v>
      </c>
      <c r="F583" s="107">
        <v>0</v>
      </c>
      <c r="G583" s="107">
        <v>1</v>
      </c>
      <c r="H583" s="108">
        <v>1</v>
      </c>
      <c r="I583" s="105">
        <f>SUM(Table2[[#This Row],[casual]],Table2[[#This Row],[registered]])</f>
        <v>1</v>
      </c>
      <c r="J583" s="113"/>
    </row>
    <row r="584" spans="1:10" ht="14.25">
      <c r="A584" s="106">
        <v>71</v>
      </c>
      <c r="B584" s="107">
        <v>72</v>
      </c>
      <c r="C584" s="107">
        <v>0.1515</v>
      </c>
      <c r="D584" s="107">
        <v>0.63</v>
      </c>
      <c r="E584" s="107">
        <v>0.1343</v>
      </c>
      <c r="F584" s="107">
        <v>0</v>
      </c>
      <c r="G584" s="107">
        <v>1</v>
      </c>
      <c r="H584" s="108">
        <v>1</v>
      </c>
      <c r="I584" s="105">
        <f>SUM(Table2[[#This Row],[casual]],Table2[[#This Row],[registered]])</f>
        <v>1</v>
      </c>
      <c r="J584" s="113"/>
    </row>
    <row r="585" spans="1:10" ht="14.25">
      <c r="A585" s="106">
        <v>118</v>
      </c>
      <c r="B585" s="107">
        <v>119</v>
      </c>
      <c r="C585" s="107">
        <v>0.19700000000000001</v>
      </c>
      <c r="D585" s="107">
        <v>0.64</v>
      </c>
      <c r="E585" s="107">
        <v>8.9599999999999999E-2</v>
      </c>
      <c r="F585" s="107">
        <v>0</v>
      </c>
      <c r="G585" s="107">
        <v>1</v>
      </c>
      <c r="H585" s="108">
        <v>1</v>
      </c>
      <c r="I585" s="105">
        <f>SUM(Table2[[#This Row],[casual]],Table2[[#This Row],[registered]])</f>
        <v>1</v>
      </c>
      <c r="J585" s="113"/>
    </row>
    <row r="586" spans="1:10" ht="14.25">
      <c r="A586" s="106">
        <v>140</v>
      </c>
      <c r="B586" s="107">
        <v>141</v>
      </c>
      <c r="C586" s="107">
        <v>0.19700000000000001</v>
      </c>
      <c r="D586" s="107">
        <v>0.69</v>
      </c>
      <c r="E586" s="107">
        <v>0.22389999999999999</v>
      </c>
      <c r="F586" s="107">
        <v>0</v>
      </c>
      <c r="G586" s="107">
        <v>1</v>
      </c>
      <c r="H586" s="108">
        <v>1</v>
      </c>
      <c r="I586" s="105">
        <f>SUM(Table2[[#This Row],[casual]],Table2[[#This Row],[registered]])</f>
        <v>1</v>
      </c>
      <c r="J586" s="113"/>
    </row>
    <row r="587" spans="1:10" ht="14.25">
      <c r="A587" s="106">
        <v>141</v>
      </c>
      <c r="B587" s="107">
        <v>142</v>
      </c>
      <c r="C587" s="107">
        <v>0.21210000000000001</v>
      </c>
      <c r="D587" s="107">
        <v>0.69</v>
      </c>
      <c r="E587" s="107">
        <v>0.1343</v>
      </c>
      <c r="F587" s="107">
        <v>0</v>
      </c>
      <c r="G587" s="107">
        <v>1</v>
      </c>
      <c r="H587" s="108">
        <v>1</v>
      </c>
      <c r="I587" s="105">
        <f>SUM(Table2[[#This Row],[casual]],Table2[[#This Row],[registered]])</f>
        <v>1</v>
      </c>
      <c r="J587" s="113"/>
    </row>
    <row r="588" spans="1:10" ht="14.25">
      <c r="A588" s="106">
        <v>165</v>
      </c>
      <c r="B588" s="107">
        <v>166</v>
      </c>
      <c r="C588" s="107">
        <v>0.19700000000000001</v>
      </c>
      <c r="D588" s="107">
        <v>0.55000000000000004</v>
      </c>
      <c r="E588" s="107">
        <v>0.16420000000000001</v>
      </c>
      <c r="F588" s="107">
        <v>0</v>
      </c>
      <c r="G588" s="107">
        <v>1</v>
      </c>
      <c r="H588" s="108">
        <v>1</v>
      </c>
      <c r="I588" s="105">
        <f>SUM(Table2[[#This Row],[casual]],Table2[[#This Row],[registered]])</f>
        <v>1</v>
      </c>
      <c r="J588" s="113"/>
    </row>
    <row r="589" spans="1:10" ht="14.25">
      <c r="A589" s="106">
        <v>189</v>
      </c>
      <c r="B589" s="107">
        <v>190</v>
      </c>
      <c r="C589" s="107">
        <v>9.0899999999999995E-2</v>
      </c>
      <c r="D589" s="107">
        <v>0.53</v>
      </c>
      <c r="E589" s="107">
        <v>0.19400000000000001</v>
      </c>
      <c r="F589" s="107">
        <v>0</v>
      </c>
      <c r="G589" s="107">
        <v>1</v>
      </c>
      <c r="H589" s="108">
        <v>1</v>
      </c>
      <c r="I589" s="105">
        <f>SUM(Table2[[#This Row],[casual]],Table2[[#This Row],[registered]])</f>
        <v>1</v>
      </c>
      <c r="J589" s="113"/>
    </row>
    <row r="590" spans="1:10" ht="14.25">
      <c r="A590" s="106">
        <v>190</v>
      </c>
      <c r="B590" s="107">
        <v>191</v>
      </c>
      <c r="C590" s="107">
        <v>9.0899999999999995E-2</v>
      </c>
      <c r="D590" s="107">
        <v>0.53</v>
      </c>
      <c r="E590" s="107">
        <v>0.19400000000000001</v>
      </c>
      <c r="F590" s="107">
        <v>0</v>
      </c>
      <c r="G590" s="107">
        <v>1</v>
      </c>
      <c r="H590" s="108">
        <v>1</v>
      </c>
      <c r="I590" s="105">
        <f>SUM(Table2[[#This Row],[casual]],Table2[[#This Row],[registered]])</f>
        <v>1</v>
      </c>
      <c r="J590" s="113"/>
    </row>
    <row r="591" spans="1:10" ht="14.25">
      <c r="A591" s="106">
        <v>191</v>
      </c>
      <c r="B591" s="107">
        <v>192</v>
      </c>
      <c r="C591" s="107">
        <v>9.0899999999999995E-2</v>
      </c>
      <c r="D591" s="107">
        <v>0.49</v>
      </c>
      <c r="E591" s="107">
        <v>0.28360000000000002</v>
      </c>
      <c r="F591" s="107">
        <v>0</v>
      </c>
      <c r="G591" s="107">
        <v>1</v>
      </c>
      <c r="H591" s="108">
        <v>1</v>
      </c>
      <c r="I591" s="105">
        <f>SUM(Table2[[#This Row],[casual]],Table2[[#This Row],[registered]])</f>
        <v>1</v>
      </c>
      <c r="J591" s="113"/>
    </row>
    <row r="592" spans="1:10" ht="14.25">
      <c r="A592" s="106">
        <v>210</v>
      </c>
      <c r="B592" s="107">
        <v>211</v>
      </c>
      <c r="C592" s="107">
        <v>0.1212</v>
      </c>
      <c r="D592" s="107">
        <v>0.5</v>
      </c>
      <c r="E592" s="107">
        <v>0.28360000000000002</v>
      </c>
      <c r="F592" s="107">
        <v>1</v>
      </c>
      <c r="G592" s="107">
        <v>0</v>
      </c>
      <c r="H592" s="108">
        <v>1</v>
      </c>
      <c r="I592" s="105">
        <f>SUM(Table2[[#This Row],[casual]],Table2[[#This Row],[registered]])</f>
        <v>1</v>
      </c>
      <c r="J592" s="113"/>
    </row>
    <row r="593" spans="1:10" ht="14.25">
      <c r="A593" s="106">
        <v>212</v>
      </c>
      <c r="B593" s="107">
        <v>213</v>
      </c>
      <c r="C593" s="107">
        <v>0.1212</v>
      </c>
      <c r="D593" s="107">
        <v>0.5</v>
      </c>
      <c r="E593" s="107">
        <v>0.22389999999999999</v>
      </c>
      <c r="F593" s="107">
        <v>0</v>
      </c>
      <c r="G593" s="107">
        <v>1</v>
      </c>
      <c r="H593" s="108">
        <v>1</v>
      </c>
      <c r="I593" s="105">
        <f>SUM(Table2[[#This Row],[casual]],Table2[[#This Row],[registered]])</f>
        <v>1</v>
      </c>
      <c r="J593" s="113"/>
    </row>
    <row r="594" spans="1:10" ht="14.25">
      <c r="A594" s="106">
        <v>257</v>
      </c>
      <c r="B594" s="107">
        <v>258</v>
      </c>
      <c r="C594" s="107">
        <v>0.1515</v>
      </c>
      <c r="D594" s="107">
        <v>0.86</v>
      </c>
      <c r="E594" s="107">
        <v>0.1343</v>
      </c>
      <c r="F594" s="107">
        <v>0</v>
      </c>
      <c r="G594" s="107">
        <v>1</v>
      </c>
      <c r="H594" s="108">
        <v>1</v>
      </c>
      <c r="I594" s="105">
        <f>SUM(Table2[[#This Row],[casual]],Table2[[#This Row],[registered]])</f>
        <v>1</v>
      </c>
      <c r="J594" s="113"/>
    </row>
    <row r="595" spans="1:10" ht="14.25">
      <c r="A595" s="106">
        <v>303</v>
      </c>
      <c r="B595" s="107">
        <v>304</v>
      </c>
      <c r="C595" s="107">
        <v>0.1212</v>
      </c>
      <c r="D595" s="107">
        <v>0.54</v>
      </c>
      <c r="E595" s="107">
        <v>0.1343</v>
      </c>
      <c r="F595" s="107">
        <v>0</v>
      </c>
      <c r="G595" s="107">
        <v>1</v>
      </c>
      <c r="H595" s="108">
        <v>1</v>
      </c>
      <c r="I595" s="105">
        <f>SUM(Table2[[#This Row],[casual]],Table2[[#This Row],[registered]])</f>
        <v>1</v>
      </c>
      <c r="J595" s="113"/>
    </row>
    <row r="596" spans="1:10" ht="14.25">
      <c r="A596" s="106">
        <v>304</v>
      </c>
      <c r="B596" s="107">
        <v>305</v>
      </c>
      <c r="C596" s="107">
        <v>0.13639999999999999</v>
      </c>
      <c r="D596" s="107">
        <v>0.54</v>
      </c>
      <c r="E596" s="107">
        <v>0.1045</v>
      </c>
      <c r="F596" s="107">
        <v>0</v>
      </c>
      <c r="G596" s="107">
        <v>1</v>
      </c>
      <c r="H596" s="108">
        <v>1</v>
      </c>
      <c r="I596" s="105">
        <f>SUM(Table2[[#This Row],[casual]],Table2[[#This Row],[registered]])</f>
        <v>1</v>
      </c>
      <c r="J596" s="113"/>
    </row>
    <row r="597" spans="1:10" ht="14.25">
      <c r="A597" s="106">
        <v>329</v>
      </c>
      <c r="B597" s="107">
        <v>330</v>
      </c>
      <c r="C597" s="107">
        <v>0.2273</v>
      </c>
      <c r="D597" s="107">
        <v>0.59</v>
      </c>
      <c r="E597" s="107">
        <v>0</v>
      </c>
      <c r="F597" s="107">
        <v>0</v>
      </c>
      <c r="G597" s="107">
        <v>1</v>
      </c>
      <c r="H597" s="108">
        <v>1</v>
      </c>
      <c r="I597" s="105">
        <f>SUM(Table2[[#This Row],[casual]],Table2[[#This Row],[registered]])</f>
        <v>1</v>
      </c>
      <c r="J597" s="113"/>
    </row>
    <row r="598" spans="1:10" ht="14.25">
      <c r="A598" s="106">
        <v>352</v>
      </c>
      <c r="B598" s="107">
        <v>353</v>
      </c>
      <c r="C598" s="107">
        <v>0.2576</v>
      </c>
      <c r="D598" s="107">
        <v>0.56000000000000005</v>
      </c>
      <c r="E598" s="107">
        <v>0.16420000000000001</v>
      </c>
      <c r="F598" s="107">
        <v>0</v>
      </c>
      <c r="G598" s="107">
        <v>1</v>
      </c>
      <c r="H598" s="108">
        <v>1</v>
      </c>
      <c r="I598" s="105">
        <f>SUM(Table2[[#This Row],[casual]],Table2[[#This Row],[registered]])</f>
        <v>1</v>
      </c>
      <c r="J598" s="113"/>
    </row>
    <row r="599" spans="1:10" ht="14.25">
      <c r="A599" s="106">
        <v>354</v>
      </c>
      <c r="B599" s="107">
        <v>355</v>
      </c>
      <c r="C599" s="107">
        <v>0.2576</v>
      </c>
      <c r="D599" s="107">
        <v>0.56000000000000005</v>
      </c>
      <c r="E599" s="107">
        <v>0.16420000000000001</v>
      </c>
      <c r="F599" s="107">
        <v>0</v>
      </c>
      <c r="G599" s="107">
        <v>1</v>
      </c>
      <c r="H599" s="108">
        <v>1</v>
      </c>
      <c r="I599" s="105">
        <f>SUM(Table2[[#This Row],[casual]],Table2[[#This Row],[registered]])</f>
        <v>1</v>
      </c>
      <c r="J599" s="113"/>
    </row>
    <row r="600" spans="1:10" ht="14.25">
      <c r="A600" s="106">
        <v>377</v>
      </c>
      <c r="B600" s="107">
        <v>378</v>
      </c>
      <c r="C600" s="107">
        <v>0.19700000000000001</v>
      </c>
      <c r="D600" s="107">
        <v>0.43</v>
      </c>
      <c r="E600" s="107">
        <v>0.16420000000000001</v>
      </c>
      <c r="F600" s="107">
        <v>0</v>
      </c>
      <c r="G600" s="107">
        <v>1</v>
      </c>
      <c r="H600" s="108">
        <v>1</v>
      </c>
      <c r="I600" s="105">
        <f>SUM(Table2[[#This Row],[casual]],Table2[[#This Row],[registered]])</f>
        <v>1</v>
      </c>
      <c r="J600" s="113"/>
    </row>
    <row r="601" spans="1:10" ht="14.25">
      <c r="A601" s="106">
        <v>434</v>
      </c>
      <c r="B601" s="107">
        <v>435</v>
      </c>
      <c r="C601" s="107">
        <v>0.2576</v>
      </c>
      <c r="D601" s="107">
        <v>0.56000000000000005</v>
      </c>
      <c r="E601" s="107">
        <v>0.16420000000000001</v>
      </c>
      <c r="F601" s="107">
        <v>0</v>
      </c>
      <c r="G601" s="107">
        <v>1</v>
      </c>
      <c r="H601" s="108">
        <v>1</v>
      </c>
      <c r="I601" s="105">
        <f>SUM(Table2[[#This Row],[casual]],Table2[[#This Row],[registered]])</f>
        <v>1</v>
      </c>
      <c r="J601" s="113"/>
    </row>
    <row r="602" spans="1:10" ht="14.25">
      <c r="A602" s="106">
        <v>435</v>
      </c>
      <c r="B602" s="107">
        <v>436</v>
      </c>
      <c r="C602" s="107">
        <v>0.2576</v>
      </c>
      <c r="D602" s="107">
        <v>0.56000000000000005</v>
      </c>
      <c r="E602" s="107">
        <v>0.16420000000000001</v>
      </c>
      <c r="F602" s="107">
        <v>0</v>
      </c>
      <c r="G602" s="107">
        <v>1</v>
      </c>
      <c r="H602" s="108">
        <v>1</v>
      </c>
      <c r="I602" s="105">
        <f>SUM(Table2[[#This Row],[casual]],Table2[[#This Row],[registered]])</f>
        <v>1</v>
      </c>
      <c r="J602" s="113"/>
    </row>
    <row r="603" spans="1:10" ht="14.25">
      <c r="A603" s="106">
        <v>458</v>
      </c>
      <c r="B603" s="107">
        <v>459</v>
      </c>
      <c r="C603" s="107">
        <v>0.21210000000000001</v>
      </c>
      <c r="D603" s="107">
        <v>0.8</v>
      </c>
      <c r="E603" s="107">
        <v>0.29849999999999999</v>
      </c>
      <c r="F603" s="107">
        <v>0</v>
      </c>
      <c r="G603" s="107">
        <v>1</v>
      </c>
      <c r="H603" s="108">
        <v>1</v>
      </c>
      <c r="I603" s="105">
        <f>SUM(Table2[[#This Row],[casual]],Table2[[#This Row],[registered]])</f>
        <v>1</v>
      </c>
      <c r="J603" s="113"/>
    </row>
    <row r="604" spans="1:10" ht="14.25">
      <c r="A604" s="106">
        <v>459</v>
      </c>
      <c r="B604" s="107">
        <v>460</v>
      </c>
      <c r="C604" s="107">
        <v>0.2576</v>
      </c>
      <c r="D604" s="107">
        <v>0.87</v>
      </c>
      <c r="E604" s="107">
        <v>8.9599999999999999E-2</v>
      </c>
      <c r="F604" s="107">
        <v>0</v>
      </c>
      <c r="G604" s="107">
        <v>1</v>
      </c>
      <c r="H604" s="108">
        <v>1</v>
      </c>
      <c r="I604" s="105">
        <f>SUM(Table2[[#This Row],[casual]],Table2[[#This Row],[registered]])</f>
        <v>1</v>
      </c>
      <c r="J604" s="113"/>
    </row>
    <row r="605" spans="1:10" ht="14.25">
      <c r="A605" s="106">
        <v>507</v>
      </c>
      <c r="B605" s="107">
        <v>508</v>
      </c>
      <c r="C605" s="107">
        <v>7.5800000000000006E-2</v>
      </c>
      <c r="D605" s="107">
        <v>0.56999999999999995</v>
      </c>
      <c r="E605" s="107">
        <v>0.1045</v>
      </c>
      <c r="F605" s="107">
        <v>0</v>
      </c>
      <c r="G605" s="107">
        <v>1</v>
      </c>
      <c r="H605" s="108">
        <v>1</v>
      </c>
      <c r="I605" s="105">
        <f>SUM(Table2[[#This Row],[casual]],Table2[[#This Row],[registered]])</f>
        <v>1</v>
      </c>
      <c r="J605" s="113"/>
    </row>
    <row r="606" spans="1:10" ht="14.25">
      <c r="A606" s="106">
        <v>526</v>
      </c>
      <c r="B606" s="107">
        <v>527</v>
      </c>
      <c r="C606" s="107">
        <v>4.5499999999999999E-2</v>
      </c>
      <c r="D606" s="107">
        <v>0.45</v>
      </c>
      <c r="E606" s="107">
        <v>0.19400000000000001</v>
      </c>
      <c r="F606" s="107">
        <v>0</v>
      </c>
      <c r="G606" s="107">
        <v>1</v>
      </c>
      <c r="H606" s="108">
        <v>1</v>
      </c>
      <c r="I606" s="105">
        <f>SUM(Table2[[#This Row],[casual]],Table2[[#This Row],[registered]])</f>
        <v>1</v>
      </c>
      <c r="J606" s="113"/>
    </row>
    <row r="607" spans="1:10" ht="14.25">
      <c r="A607" s="107">
        <v>527</v>
      </c>
      <c r="B607" s="107">
        <v>528</v>
      </c>
      <c r="C607" s="107">
        <v>3.0300000000000001E-2</v>
      </c>
      <c r="D607" s="107">
        <v>0.45</v>
      </c>
      <c r="E607" s="107">
        <v>0.25369999999999998</v>
      </c>
      <c r="F607" s="107">
        <v>0</v>
      </c>
      <c r="G607" s="107">
        <v>1</v>
      </c>
      <c r="H607" s="107">
        <v>1</v>
      </c>
      <c r="I607" s="108">
        <f>SUM(Table2[[#This Row],[casual]],Table2[[#This Row],[registered]])</f>
        <v>1</v>
      </c>
      <c r="J607" s="113"/>
    </row>
    <row r="608" spans="1:10" ht="14.25">
      <c r="A608" s="107">
        <v>528</v>
      </c>
      <c r="B608" s="107">
        <v>529</v>
      </c>
      <c r="C608" s="107">
        <v>6.0600000000000001E-2</v>
      </c>
      <c r="D608" s="107">
        <v>0.48</v>
      </c>
      <c r="E608" s="107">
        <v>0.1343</v>
      </c>
      <c r="F608" s="107">
        <v>0</v>
      </c>
      <c r="G608" s="107">
        <v>1</v>
      </c>
      <c r="H608" s="107">
        <v>1</v>
      </c>
      <c r="I608" s="108">
        <f>SUM(Table2[[#This Row],[casual]],Table2[[#This Row],[registered]])</f>
        <v>1</v>
      </c>
      <c r="J608" s="113"/>
    </row>
    <row r="609" spans="1:10" ht="14.25">
      <c r="A609" s="107">
        <v>551</v>
      </c>
      <c r="B609" s="107">
        <v>552</v>
      </c>
      <c r="C609" s="107">
        <v>0.16669999999999999</v>
      </c>
      <c r="D609" s="107">
        <v>0.74</v>
      </c>
      <c r="E609" s="107">
        <v>0.1045</v>
      </c>
      <c r="F609" s="107">
        <v>0</v>
      </c>
      <c r="G609" s="107">
        <v>1</v>
      </c>
      <c r="H609" s="107">
        <v>1</v>
      </c>
      <c r="I609" s="108">
        <f>SUM(Table2[[#This Row],[casual]],Table2[[#This Row],[registered]])</f>
        <v>1</v>
      </c>
      <c r="J609" s="113"/>
    </row>
    <row r="610" spans="1:10" ht="14.25">
      <c r="A610" s="107">
        <v>574</v>
      </c>
      <c r="B610" s="107">
        <v>575</v>
      </c>
      <c r="C610" s="107">
        <v>0.18179999999999999</v>
      </c>
      <c r="D610" s="107">
        <v>0.86</v>
      </c>
      <c r="E610" s="107">
        <v>0.28360000000000002</v>
      </c>
      <c r="F610" s="107">
        <v>0</v>
      </c>
      <c r="G610" s="107">
        <v>1</v>
      </c>
      <c r="H610" s="107">
        <v>1</v>
      </c>
      <c r="I610" s="108">
        <f>SUM(Table2[[#This Row],[casual]],Table2[[#This Row],[registered]])</f>
        <v>1</v>
      </c>
      <c r="J610" s="113"/>
    </row>
    <row r="611" spans="1:10" ht="14.25">
      <c r="A611" s="111">
        <v>598</v>
      </c>
      <c r="B611" s="111">
        <v>599</v>
      </c>
      <c r="C611" s="111">
        <v>0.2273</v>
      </c>
      <c r="D611" s="111">
        <v>0.75</v>
      </c>
      <c r="E611" s="111">
        <v>0.1045</v>
      </c>
      <c r="F611" s="111">
        <v>1</v>
      </c>
      <c r="G611" s="111">
        <v>0</v>
      </c>
      <c r="H611" s="111">
        <v>1</v>
      </c>
      <c r="I611" s="112">
        <f>SUM(Table2[[#This Row],[casual]],Table2[[#This Row],[registered]])</f>
        <v>1</v>
      </c>
      <c r="J611" s="113"/>
    </row>
  </sheetData>
  <mergeCells count="11">
    <mergeCell ref="K13:N13"/>
    <mergeCell ref="K14:N14"/>
    <mergeCell ref="K15:N15"/>
    <mergeCell ref="K16:N16"/>
    <mergeCell ref="K17:N17"/>
    <mergeCell ref="K2:O2"/>
    <mergeCell ref="K4:P4"/>
    <mergeCell ref="K5:N5"/>
    <mergeCell ref="K6:P6"/>
    <mergeCell ref="K7:O7"/>
    <mergeCell ref="K11:O11"/>
  </mergeCells>
  <conditionalFormatting sqref="C1:C611">
    <cfRule type="aboveAverage" dxfId="6" priority="5"/>
  </conditionalFormatting>
  <conditionalFormatting sqref="D1:D611">
    <cfRule type="colorScale" priority="4">
      <colorScale>
        <cfvo type="min"/>
        <cfvo type="max"/>
        <color rgb="FFFCFCFF"/>
        <color rgb="FFF8696B"/>
      </colorScale>
    </cfRule>
  </conditionalFormatting>
  <conditionalFormatting sqref="E1:E611">
    <cfRule type="cellIs" dxfId="5" priority="6" operator="greaterThan">
      <formula>0.4</formula>
    </cfRule>
  </conditionalFormatting>
  <conditionalFormatting sqref="H1:H1048576">
    <cfRule type="top10" dxfId="0" priority="2" rank="15"/>
    <cfRule type="top10" dxfId="1" priority="1" rank="15"/>
  </conditionalFormatting>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B52182-7FD6-4C19-826E-C3161F7EC87B}">
  <dimension ref="A1:W391"/>
  <sheetViews>
    <sheetView topLeftCell="E1" workbookViewId="0">
      <selection activeCell="U4" sqref="U4"/>
    </sheetView>
  </sheetViews>
  <sheetFormatPr defaultColWidth="12.5703125" defaultRowHeight="12.75"/>
  <cols>
    <col min="1" max="1" width="9.28515625" bestFit="1" customWidth="1"/>
    <col min="2" max="2" width="10.140625" bestFit="1" customWidth="1"/>
    <col min="3" max="3" width="9.5703125" bestFit="1" customWidth="1"/>
    <col min="4" max="4" width="5" bestFit="1" customWidth="1"/>
    <col min="5" max="5" width="7.85546875" bestFit="1" customWidth="1"/>
    <col min="6" max="6" width="5.140625" bestFit="1" customWidth="1"/>
    <col min="7" max="7" width="10" bestFit="1" customWidth="1"/>
    <col min="8" max="8" width="11.42578125" bestFit="1" customWidth="1"/>
    <col min="9" max="9" width="12.7109375" bestFit="1" customWidth="1"/>
    <col min="10" max="10" width="7.85546875" bestFit="1" customWidth="1"/>
    <col min="11" max="11" width="9" bestFit="1" customWidth="1"/>
    <col min="12" max="12" width="7.28515625" bestFit="1" customWidth="1"/>
    <col min="13" max="13" width="13.140625" bestFit="1" customWidth="1"/>
    <col min="14" max="14" width="9.140625" bestFit="1" customWidth="1"/>
    <col min="15" max="15" width="12.42578125" bestFit="1" customWidth="1"/>
    <col min="16" max="16" width="9.85546875" customWidth="1"/>
    <col min="18" max="18" width="17.7109375" customWidth="1"/>
  </cols>
  <sheetData>
    <row r="1" spans="1:22">
      <c r="A1" s="84" t="s">
        <v>0</v>
      </c>
      <c r="B1" s="85" t="s">
        <v>1</v>
      </c>
      <c r="C1" s="85" t="s">
        <v>2</v>
      </c>
      <c r="D1" s="85" t="s">
        <v>3</v>
      </c>
      <c r="E1" s="85" t="s">
        <v>4</v>
      </c>
      <c r="F1" s="85" t="s">
        <v>5</v>
      </c>
      <c r="G1" s="85" t="s">
        <v>6</v>
      </c>
      <c r="H1" s="85" t="s">
        <v>7</v>
      </c>
      <c r="I1" s="85" t="s">
        <v>8</v>
      </c>
      <c r="J1" s="85" t="s">
        <v>9</v>
      </c>
      <c r="K1" s="85" t="s">
        <v>11</v>
      </c>
      <c r="L1" s="85" t="s">
        <v>12</v>
      </c>
      <c r="M1" s="85" t="s">
        <v>13</v>
      </c>
      <c r="N1" s="85" t="s">
        <v>14</v>
      </c>
      <c r="O1" s="85" t="s">
        <v>15</v>
      </c>
      <c r="P1" s="86" t="s">
        <v>16</v>
      </c>
    </row>
    <row r="2" spans="1:22" ht="15">
      <c r="A2" s="87">
        <v>862</v>
      </c>
      <c r="B2" s="88">
        <v>40582</v>
      </c>
      <c r="C2" s="89">
        <v>1</v>
      </c>
      <c r="D2" s="89">
        <v>0</v>
      </c>
      <c r="E2" s="89">
        <v>2</v>
      </c>
      <c r="F2" s="89">
        <v>8</v>
      </c>
      <c r="G2" s="89" t="b">
        <v>0</v>
      </c>
      <c r="H2" s="89">
        <v>2</v>
      </c>
      <c r="I2" s="89">
        <v>1</v>
      </c>
      <c r="J2" s="89">
        <v>0.24</v>
      </c>
      <c r="K2" s="89">
        <v>0.19700000000000001</v>
      </c>
      <c r="L2" s="89">
        <v>0.56000000000000005</v>
      </c>
      <c r="M2" s="89">
        <v>0.49249999999999999</v>
      </c>
      <c r="N2" s="89">
        <v>7</v>
      </c>
      <c r="O2" s="89">
        <v>236</v>
      </c>
      <c r="P2" s="90">
        <v>243</v>
      </c>
      <c r="R2" s="117" t="s">
        <v>131</v>
      </c>
      <c r="S2" s="117"/>
      <c r="T2" s="117"/>
      <c r="U2" s="117"/>
      <c r="V2" s="117"/>
    </row>
    <row r="3" spans="1:22">
      <c r="A3" s="87">
        <v>838</v>
      </c>
      <c r="B3" s="88">
        <v>40581</v>
      </c>
      <c r="C3" s="89">
        <v>1</v>
      </c>
      <c r="D3" s="89">
        <v>0</v>
      </c>
      <c r="E3" s="89">
        <v>2</v>
      </c>
      <c r="F3" s="89">
        <v>8</v>
      </c>
      <c r="G3" s="89" t="b">
        <v>0</v>
      </c>
      <c r="H3" s="89">
        <v>1</v>
      </c>
      <c r="I3" s="89">
        <v>2</v>
      </c>
      <c r="J3" s="89">
        <v>0.16</v>
      </c>
      <c r="K3" s="89">
        <v>0.2273</v>
      </c>
      <c r="L3" s="89">
        <v>1</v>
      </c>
      <c r="M3" s="89">
        <v>0</v>
      </c>
      <c r="N3" s="89">
        <v>7</v>
      </c>
      <c r="O3" s="89">
        <v>223</v>
      </c>
      <c r="P3" s="90">
        <v>230</v>
      </c>
    </row>
    <row r="4" spans="1:22">
      <c r="A4" s="87">
        <v>766</v>
      </c>
      <c r="B4" s="88">
        <v>40578</v>
      </c>
      <c r="C4" s="89">
        <v>1</v>
      </c>
      <c r="D4" s="89">
        <v>0</v>
      </c>
      <c r="E4" s="89">
        <v>2</v>
      </c>
      <c r="F4" s="89">
        <v>8</v>
      </c>
      <c r="G4" s="89" t="b">
        <v>0</v>
      </c>
      <c r="H4" s="89">
        <v>5</v>
      </c>
      <c r="I4" s="89">
        <v>1</v>
      </c>
      <c r="J4" s="89">
        <v>0.14000000000000001</v>
      </c>
      <c r="K4" s="89">
        <v>0.1515</v>
      </c>
      <c r="L4" s="89">
        <v>0.74</v>
      </c>
      <c r="M4" s="89">
        <v>0.1343</v>
      </c>
      <c r="N4" s="89">
        <v>3</v>
      </c>
      <c r="O4" s="89">
        <v>217</v>
      </c>
      <c r="P4" s="90">
        <v>220</v>
      </c>
      <c r="R4" s="101" t="s">
        <v>132</v>
      </c>
      <c r="S4" s="101"/>
      <c r="T4" s="101">
        <f>SUM(O:O)</f>
        <v>22231</v>
      </c>
    </row>
    <row r="5" spans="1:22" ht="15">
      <c r="A5" s="87">
        <v>847</v>
      </c>
      <c r="B5" s="88">
        <v>40581</v>
      </c>
      <c r="C5" s="89">
        <v>1</v>
      </c>
      <c r="D5" s="89">
        <v>0</v>
      </c>
      <c r="E5" s="89">
        <v>2</v>
      </c>
      <c r="F5" s="89">
        <v>17</v>
      </c>
      <c r="G5" s="89" t="b">
        <v>0</v>
      </c>
      <c r="H5" s="89">
        <v>1</v>
      </c>
      <c r="I5" s="89">
        <v>2</v>
      </c>
      <c r="J5" s="89">
        <v>0.32</v>
      </c>
      <c r="K5" s="89">
        <v>0.31819999999999998</v>
      </c>
      <c r="L5" s="89">
        <v>0.7</v>
      </c>
      <c r="M5" s="89">
        <v>0.16420000000000001</v>
      </c>
      <c r="N5" s="89">
        <v>9</v>
      </c>
      <c r="O5" s="89">
        <v>207</v>
      </c>
      <c r="P5" s="90">
        <v>216</v>
      </c>
      <c r="R5" s="115" t="s">
        <v>133</v>
      </c>
      <c r="S5" s="95"/>
      <c r="T5" s="101">
        <f>SUM(P:P)</f>
        <v>24406</v>
      </c>
    </row>
    <row r="6" spans="1:22">
      <c r="A6" s="87">
        <v>930</v>
      </c>
      <c r="B6" s="88">
        <v>40585</v>
      </c>
      <c r="C6" s="89">
        <v>1</v>
      </c>
      <c r="D6" s="89">
        <v>0</v>
      </c>
      <c r="E6" s="89">
        <v>2</v>
      </c>
      <c r="F6" s="89">
        <v>8</v>
      </c>
      <c r="G6" s="89" t="b">
        <v>0</v>
      </c>
      <c r="H6" s="89">
        <v>5</v>
      </c>
      <c r="I6" s="89">
        <v>1</v>
      </c>
      <c r="J6" s="89">
        <v>0.1</v>
      </c>
      <c r="K6" s="89">
        <v>0.1212</v>
      </c>
      <c r="L6" s="89">
        <v>0.74</v>
      </c>
      <c r="M6" s="89">
        <v>0.16420000000000001</v>
      </c>
      <c r="N6" s="89">
        <v>4</v>
      </c>
      <c r="O6" s="89">
        <v>212</v>
      </c>
      <c r="P6" s="90">
        <v>216</v>
      </c>
      <c r="R6" s="101" t="s">
        <v>134</v>
      </c>
      <c r="S6" s="101"/>
      <c r="T6" s="101">
        <f>SUM(N:N)</f>
        <v>2175</v>
      </c>
    </row>
    <row r="7" spans="1:22" ht="15">
      <c r="A7" s="87">
        <v>939</v>
      </c>
      <c r="B7" s="88">
        <v>40585</v>
      </c>
      <c r="C7" s="89">
        <v>1</v>
      </c>
      <c r="D7" s="89">
        <v>0</v>
      </c>
      <c r="E7" s="89">
        <v>2</v>
      </c>
      <c r="F7" s="89">
        <v>17</v>
      </c>
      <c r="G7" s="89" t="b">
        <v>0</v>
      </c>
      <c r="H7" s="89">
        <v>5</v>
      </c>
      <c r="I7" s="89">
        <v>1</v>
      </c>
      <c r="J7" s="89">
        <v>0.3</v>
      </c>
      <c r="K7" s="89">
        <v>0.33329999999999999</v>
      </c>
      <c r="L7" s="89">
        <v>0.24</v>
      </c>
      <c r="M7" s="89">
        <v>0</v>
      </c>
      <c r="N7" s="89">
        <v>18</v>
      </c>
      <c r="O7" s="89">
        <v>193</v>
      </c>
      <c r="P7" s="90">
        <v>211</v>
      </c>
      <c r="R7" s="115" t="s">
        <v>135</v>
      </c>
      <c r="S7" s="95"/>
      <c r="T7" s="101">
        <f>AVERAGE(P:P)</f>
        <v>62.579487179487181</v>
      </c>
    </row>
    <row r="8" spans="1:22" ht="15" customHeight="1">
      <c r="A8" s="87">
        <v>775</v>
      </c>
      <c r="B8" s="88">
        <v>40578</v>
      </c>
      <c r="C8" s="89">
        <v>1</v>
      </c>
      <c r="D8" s="89">
        <v>0</v>
      </c>
      <c r="E8" s="89">
        <v>2</v>
      </c>
      <c r="F8" s="89">
        <v>17</v>
      </c>
      <c r="G8" s="89" t="b">
        <v>0</v>
      </c>
      <c r="H8" s="89">
        <v>5</v>
      </c>
      <c r="I8" s="89">
        <v>2</v>
      </c>
      <c r="J8" s="89">
        <v>0.26</v>
      </c>
      <c r="K8" s="89">
        <v>0.2727</v>
      </c>
      <c r="L8" s="89">
        <v>0.56000000000000005</v>
      </c>
      <c r="M8" s="89">
        <v>0.1343</v>
      </c>
      <c r="N8" s="89">
        <v>10</v>
      </c>
      <c r="O8" s="89">
        <v>195</v>
      </c>
      <c r="P8" s="90">
        <v>205</v>
      </c>
      <c r="R8" s="115" t="s">
        <v>122</v>
      </c>
      <c r="S8" s="95"/>
      <c r="T8" s="101"/>
    </row>
    <row r="9" spans="1:22" ht="13.5" customHeight="1">
      <c r="A9" s="87">
        <v>885</v>
      </c>
      <c r="B9" s="88">
        <v>40583</v>
      </c>
      <c r="C9" s="89">
        <v>1</v>
      </c>
      <c r="D9" s="89">
        <v>0</v>
      </c>
      <c r="E9" s="89">
        <v>2</v>
      </c>
      <c r="F9" s="89">
        <v>8</v>
      </c>
      <c r="G9" s="89" t="b">
        <v>0</v>
      </c>
      <c r="H9" s="89">
        <v>3</v>
      </c>
      <c r="I9" s="89">
        <v>1</v>
      </c>
      <c r="J9" s="89">
        <v>0.1</v>
      </c>
      <c r="K9" s="89">
        <v>0.13639999999999999</v>
      </c>
      <c r="L9" s="89">
        <v>0.42</v>
      </c>
      <c r="M9" s="89">
        <v>0</v>
      </c>
      <c r="N9" s="89">
        <v>1</v>
      </c>
      <c r="O9" s="89">
        <v>198</v>
      </c>
      <c r="P9" s="90">
        <v>199</v>
      </c>
      <c r="R9" s="116" t="s">
        <v>123</v>
      </c>
      <c r="S9" s="122"/>
      <c r="T9" s="101">
        <f>COUNTIF(G2:G391,FALSE)</f>
        <v>390</v>
      </c>
    </row>
    <row r="10" spans="1:22">
      <c r="A10" s="87">
        <v>729</v>
      </c>
      <c r="B10" s="88">
        <v>40576</v>
      </c>
      <c r="C10" s="89">
        <v>1</v>
      </c>
      <c r="D10" s="89">
        <v>0</v>
      </c>
      <c r="E10" s="89">
        <v>2</v>
      </c>
      <c r="F10" s="89">
        <v>17</v>
      </c>
      <c r="G10" s="89" t="b">
        <v>0</v>
      </c>
      <c r="H10" s="89">
        <v>3</v>
      </c>
      <c r="I10" s="89">
        <v>1</v>
      </c>
      <c r="J10" s="89">
        <v>0.36</v>
      </c>
      <c r="K10" s="89">
        <v>0.31819999999999998</v>
      </c>
      <c r="L10" s="89">
        <v>0.53</v>
      </c>
      <c r="M10" s="89">
        <v>0.52239999999999998</v>
      </c>
      <c r="N10" s="89">
        <v>7</v>
      </c>
      <c r="O10" s="89">
        <v>183</v>
      </c>
      <c r="P10" s="90">
        <v>190</v>
      </c>
      <c r="R10" s="101"/>
      <c r="S10" s="101"/>
      <c r="T10" s="101"/>
    </row>
    <row r="11" spans="1:22">
      <c r="A11" s="87">
        <v>743</v>
      </c>
      <c r="B11" s="88">
        <v>40577</v>
      </c>
      <c r="C11" s="89">
        <v>1</v>
      </c>
      <c r="D11" s="89">
        <v>0</v>
      </c>
      <c r="E11" s="89">
        <v>2</v>
      </c>
      <c r="F11" s="89">
        <v>8</v>
      </c>
      <c r="G11" s="89" t="b">
        <v>0</v>
      </c>
      <c r="H11" s="89">
        <v>4</v>
      </c>
      <c r="I11" s="89">
        <v>1</v>
      </c>
      <c r="J11" s="89">
        <v>0.14000000000000001</v>
      </c>
      <c r="K11" s="89">
        <v>0.1212</v>
      </c>
      <c r="L11" s="89">
        <v>0.5</v>
      </c>
      <c r="M11" s="89">
        <v>0.35820000000000002</v>
      </c>
      <c r="N11" s="89">
        <v>4</v>
      </c>
      <c r="O11" s="89">
        <v>184</v>
      </c>
      <c r="P11" s="90">
        <v>188</v>
      </c>
    </row>
    <row r="12" spans="1:22" ht="15">
      <c r="A12" s="87">
        <v>673</v>
      </c>
      <c r="B12" s="88">
        <v>40574</v>
      </c>
      <c r="C12" s="89">
        <v>1</v>
      </c>
      <c r="D12" s="89">
        <v>0</v>
      </c>
      <c r="E12" s="89">
        <v>1</v>
      </c>
      <c r="F12" s="89">
        <v>8</v>
      </c>
      <c r="G12" s="89" t="b">
        <v>0</v>
      </c>
      <c r="H12" s="89">
        <v>1</v>
      </c>
      <c r="I12" s="89">
        <v>2</v>
      </c>
      <c r="J12" s="89">
        <v>0.16</v>
      </c>
      <c r="K12" s="89">
        <v>0.13639999999999999</v>
      </c>
      <c r="L12" s="89">
        <v>0.59</v>
      </c>
      <c r="M12" s="89">
        <v>0.28360000000000002</v>
      </c>
      <c r="N12" s="89">
        <v>3</v>
      </c>
      <c r="O12" s="89">
        <v>182</v>
      </c>
      <c r="P12" s="90">
        <v>185</v>
      </c>
      <c r="R12" s="123" t="s">
        <v>136</v>
      </c>
      <c r="S12" s="123"/>
      <c r="T12" s="123"/>
      <c r="U12" s="123"/>
      <c r="V12" s="123"/>
    </row>
    <row r="13" spans="1:22">
      <c r="A13" s="87">
        <v>730</v>
      </c>
      <c r="B13" s="88">
        <v>40576</v>
      </c>
      <c r="C13" s="89">
        <v>1</v>
      </c>
      <c r="D13" s="89">
        <v>0</v>
      </c>
      <c r="E13" s="89">
        <v>2</v>
      </c>
      <c r="F13" s="89">
        <v>18</v>
      </c>
      <c r="G13" s="89" t="b">
        <v>0</v>
      </c>
      <c r="H13" s="89">
        <v>3</v>
      </c>
      <c r="I13" s="89">
        <v>1</v>
      </c>
      <c r="J13" s="89">
        <v>0.34</v>
      </c>
      <c r="K13" s="89">
        <v>0.28789999999999999</v>
      </c>
      <c r="L13" s="89">
        <v>0.42</v>
      </c>
      <c r="M13" s="89">
        <v>0.55220000000000002</v>
      </c>
      <c r="N13" s="89">
        <v>7</v>
      </c>
      <c r="O13" s="89">
        <v>175</v>
      </c>
      <c r="P13" s="90">
        <v>182</v>
      </c>
    </row>
    <row r="14" spans="1:22" ht="15" customHeight="1">
      <c r="A14" s="87">
        <v>819</v>
      </c>
      <c r="B14" s="88">
        <v>40580</v>
      </c>
      <c r="C14" s="89">
        <v>1</v>
      </c>
      <c r="D14" s="89">
        <v>0</v>
      </c>
      <c r="E14" s="89">
        <v>2</v>
      </c>
      <c r="F14" s="89">
        <v>13</v>
      </c>
      <c r="G14" s="89" t="b">
        <v>0</v>
      </c>
      <c r="H14" s="89">
        <v>0</v>
      </c>
      <c r="I14" s="89">
        <v>1</v>
      </c>
      <c r="J14" s="89">
        <v>0.34</v>
      </c>
      <c r="K14" s="89">
        <v>0.36359999999999998</v>
      </c>
      <c r="L14" s="89">
        <v>0.46</v>
      </c>
      <c r="M14" s="89">
        <v>0</v>
      </c>
      <c r="N14" s="89">
        <v>47</v>
      </c>
      <c r="O14" s="89">
        <v>135</v>
      </c>
      <c r="P14" s="90">
        <v>182</v>
      </c>
      <c r="R14" s="116" t="s">
        <v>126</v>
      </c>
      <c r="S14" s="116"/>
      <c r="T14" s="95"/>
      <c r="U14" s="102">
        <v>40571</v>
      </c>
    </row>
    <row r="15" spans="1:22" ht="15" customHeight="1">
      <c r="A15" s="87">
        <v>821</v>
      </c>
      <c r="B15" s="88">
        <v>40580</v>
      </c>
      <c r="C15" s="89">
        <v>1</v>
      </c>
      <c r="D15" s="89">
        <v>0</v>
      </c>
      <c r="E15" s="89">
        <v>2</v>
      </c>
      <c r="F15" s="89">
        <v>15</v>
      </c>
      <c r="G15" s="89" t="b">
        <v>0</v>
      </c>
      <c r="H15" s="89">
        <v>0</v>
      </c>
      <c r="I15" s="89">
        <v>1</v>
      </c>
      <c r="J15" s="89">
        <v>0.34</v>
      </c>
      <c r="K15" s="89">
        <v>0.34849999999999998</v>
      </c>
      <c r="L15" s="89">
        <v>0.46</v>
      </c>
      <c r="M15" s="89">
        <v>8.9599999999999999E-2</v>
      </c>
      <c r="N15" s="89">
        <v>52</v>
      </c>
      <c r="O15" s="89">
        <v>130</v>
      </c>
      <c r="P15" s="90">
        <v>182</v>
      </c>
      <c r="R15" s="116" t="s">
        <v>127</v>
      </c>
      <c r="S15" s="116"/>
      <c r="T15" s="95"/>
      <c r="U15" s="102" t="str">
        <f>LEFT(B2,2)</f>
        <v>40</v>
      </c>
    </row>
    <row r="16" spans="1:22" ht="15" customHeight="1">
      <c r="A16" s="87">
        <v>908</v>
      </c>
      <c r="B16" s="88">
        <v>40584</v>
      </c>
      <c r="C16" s="89">
        <v>1</v>
      </c>
      <c r="D16" s="89">
        <v>0</v>
      </c>
      <c r="E16" s="89">
        <v>2</v>
      </c>
      <c r="F16" s="89">
        <v>8</v>
      </c>
      <c r="G16" s="89" t="b">
        <v>0</v>
      </c>
      <c r="H16" s="89">
        <v>4</v>
      </c>
      <c r="I16" s="89">
        <v>1</v>
      </c>
      <c r="J16" s="89">
        <v>0.1</v>
      </c>
      <c r="K16" s="89">
        <v>7.5800000000000006E-2</v>
      </c>
      <c r="L16" s="89">
        <v>0.49</v>
      </c>
      <c r="M16" s="89">
        <v>0.32840000000000003</v>
      </c>
      <c r="N16" s="89">
        <v>5</v>
      </c>
      <c r="O16" s="89">
        <v>173</v>
      </c>
      <c r="P16" s="90">
        <v>178</v>
      </c>
      <c r="R16" s="116" t="s">
        <v>128</v>
      </c>
      <c r="S16" s="116"/>
      <c r="T16" s="95"/>
      <c r="U16" s="102" t="str">
        <f>RIGHT(B2,2)</f>
        <v>82</v>
      </c>
    </row>
    <row r="17" spans="1:23" ht="15" customHeight="1">
      <c r="A17" s="87">
        <v>705</v>
      </c>
      <c r="B17" s="88">
        <v>40575</v>
      </c>
      <c r="C17" s="89">
        <v>1</v>
      </c>
      <c r="D17" s="89">
        <v>0</v>
      </c>
      <c r="E17" s="89">
        <v>2</v>
      </c>
      <c r="F17" s="89">
        <v>17</v>
      </c>
      <c r="G17" s="89" t="b">
        <v>0</v>
      </c>
      <c r="H17" s="89">
        <v>2</v>
      </c>
      <c r="I17" s="89">
        <v>2</v>
      </c>
      <c r="J17" s="89">
        <v>0.24</v>
      </c>
      <c r="K17" s="89">
        <v>0.28789999999999999</v>
      </c>
      <c r="L17" s="89">
        <v>0.75</v>
      </c>
      <c r="M17" s="89">
        <v>0</v>
      </c>
      <c r="N17" s="89">
        <v>4</v>
      </c>
      <c r="O17" s="89">
        <v>172</v>
      </c>
      <c r="P17" s="90">
        <v>176</v>
      </c>
      <c r="R17" s="116" t="s">
        <v>129</v>
      </c>
      <c r="S17" s="116"/>
      <c r="T17" s="116"/>
      <c r="U17" s="102">
        <f>LEN(B2)</f>
        <v>5</v>
      </c>
    </row>
    <row r="18" spans="1:23" ht="15" customHeight="1">
      <c r="A18" s="87">
        <v>871</v>
      </c>
      <c r="B18" s="88">
        <v>40582</v>
      </c>
      <c r="C18" s="89">
        <v>1</v>
      </c>
      <c r="D18" s="89">
        <v>0</v>
      </c>
      <c r="E18" s="89">
        <v>2</v>
      </c>
      <c r="F18" s="89">
        <v>17</v>
      </c>
      <c r="G18" s="89" t="b">
        <v>0</v>
      </c>
      <c r="H18" s="89">
        <v>2</v>
      </c>
      <c r="I18" s="89">
        <v>1</v>
      </c>
      <c r="J18" s="89">
        <v>0.22</v>
      </c>
      <c r="K18" s="89">
        <v>0.18179999999999999</v>
      </c>
      <c r="L18" s="89">
        <v>0.32</v>
      </c>
      <c r="M18" s="89">
        <v>0.58209999999999995</v>
      </c>
      <c r="N18" s="89">
        <v>4</v>
      </c>
      <c r="O18" s="89">
        <v>172</v>
      </c>
      <c r="P18" s="90">
        <v>176</v>
      </c>
      <c r="R18" s="116" t="s">
        <v>130</v>
      </c>
      <c r="S18" s="116"/>
      <c r="T18" s="94"/>
      <c r="U18" s="102" t="str">
        <f>MID(B2,2,2)</f>
        <v>05</v>
      </c>
    </row>
    <row r="19" spans="1:23" ht="15">
      <c r="A19" s="87">
        <v>752</v>
      </c>
      <c r="B19" s="88">
        <v>40577</v>
      </c>
      <c r="C19" s="89">
        <v>1</v>
      </c>
      <c r="D19" s="89">
        <v>0</v>
      </c>
      <c r="E19" s="89">
        <v>2</v>
      </c>
      <c r="F19" s="89">
        <v>17</v>
      </c>
      <c r="G19" s="89" t="b">
        <v>0</v>
      </c>
      <c r="H19" s="89">
        <v>4</v>
      </c>
      <c r="I19" s="89">
        <v>1</v>
      </c>
      <c r="J19" s="89">
        <v>0.2</v>
      </c>
      <c r="K19" s="89">
        <v>0.19700000000000001</v>
      </c>
      <c r="L19" s="89">
        <v>0.4</v>
      </c>
      <c r="M19" s="89">
        <v>0.19400000000000001</v>
      </c>
      <c r="N19" s="89">
        <v>5</v>
      </c>
      <c r="O19" s="89">
        <v>170</v>
      </c>
      <c r="P19" s="90">
        <v>175</v>
      </c>
      <c r="R19" s="94"/>
      <c r="S19" s="94"/>
      <c r="T19" s="94"/>
    </row>
    <row r="20" spans="1:23" ht="18">
      <c r="A20" s="87">
        <v>848</v>
      </c>
      <c r="B20" s="88">
        <v>40581</v>
      </c>
      <c r="C20" s="89">
        <v>1</v>
      </c>
      <c r="D20" s="89">
        <v>0</v>
      </c>
      <c r="E20" s="89">
        <v>2</v>
      </c>
      <c r="F20" s="89">
        <v>18</v>
      </c>
      <c r="G20" s="89" t="b">
        <v>0</v>
      </c>
      <c r="H20" s="89">
        <v>1</v>
      </c>
      <c r="I20" s="89">
        <v>2</v>
      </c>
      <c r="J20" s="89">
        <v>0.34</v>
      </c>
      <c r="K20" s="89">
        <v>0.33329999999999999</v>
      </c>
      <c r="L20" s="89">
        <v>0.66</v>
      </c>
      <c r="M20" s="89">
        <v>0.1343</v>
      </c>
      <c r="N20" s="89">
        <v>5</v>
      </c>
      <c r="O20" s="89">
        <v>170</v>
      </c>
      <c r="P20" s="90">
        <v>175</v>
      </c>
      <c r="R20" s="117" t="s">
        <v>147</v>
      </c>
      <c r="S20" s="117"/>
      <c r="T20" s="117"/>
      <c r="U20" s="117"/>
      <c r="V20" s="117"/>
      <c r="W20" s="91"/>
    </row>
    <row r="21" spans="1:23" ht="15" customHeight="1">
      <c r="A21" s="87">
        <v>818</v>
      </c>
      <c r="B21" s="88">
        <v>40580</v>
      </c>
      <c r="C21" s="89">
        <v>1</v>
      </c>
      <c r="D21" s="89">
        <v>0</v>
      </c>
      <c r="E21" s="89">
        <v>2</v>
      </c>
      <c r="F21" s="89">
        <v>12</v>
      </c>
      <c r="G21" s="89" t="b">
        <v>0</v>
      </c>
      <c r="H21" s="89">
        <v>0</v>
      </c>
      <c r="I21" s="89">
        <v>1</v>
      </c>
      <c r="J21" s="89">
        <v>0.34</v>
      </c>
      <c r="K21" s="89">
        <v>0.33329999999999999</v>
      </c>
      <c r="L21" s="89">
        <v>0.46</v>
      </c>
      <c r="M21" s="89">
        <v>0</v>
      </c>
      <c r="N21" s="89">
        <v>48</v>
      </c>
      <c r="O21" s="89">
        <v>126</v>
      </c>
      <c r="P21" s="90">
        <v>174</v>
      </c>
      <c r="R21" s="93"/>
      <c r="S21" s="118" t="s">
        <v>148</v>
      </c>
      <c r="T21" s="118"/>
      <c r="U21" s="118"/>
      <c r="V21" s="118"/>
      <c r="W21" s="114"/>
    </row>
    <row r="22" spans="1:23" ht="15" customHeight="1">
      <c r="A22" s="87">
        <v>940</v>
      </c>
      <c r="B22" s="88">
        <v>40585</v>
      </c>
      <c r="C22" s="89">
        <v>1</v>
      </c>
      <c r="D22" s="89">
        <v>0</v>
      </c>
      <c r="E22" s="89">
        <v>2</v>
      </c>
      <c r="F22" s="89">
        <v>18</v>
      </c>
      <c r="G22" s="89" t="b">
        <v>0</v>
      </c>
      <c r="H22" s="89">
        <v>5</v>
      </c>
      <c r="I22" s="89">
        <v>1</v>
      </c>
      <c r="J22" s="89">
        <v>0.28000000000000003</v>
      </c>
      <c r="K22" s="89">
        <v>0.31819999999999998</v>
      </c>
      <c r="L22" s="89">
        <v>0.28000000000000003</v>
      </c>
      <c r="M22" s="89">
        <v>0</v>
      </c>
      <c r="N22" s="89">
        <v>9</v>
      </c>
      <c r="O22" s="89">
        <v>165</v>
      </c>
      <c r="P22" s="90">
        <v>174</v>
      </c>
      <c r="R22" s="93"/>
      <c r="S22" s="121" t="s">
        <v>149</v>
      </c>
      <c r="T22" s="121"/>
      <c r="U22" s="121"/>
      <c r="V22" s="121"/>
      <c r="W22" s="114"/>
    </row>
    <row r="23" spans="1:23" ht="15" customHeight="1">
      <c r="A23" s="87">
        <v>961</v>
      </c>
      <c r="B23" s="88">
        <v>40586</v>
      </c>
      <c r="C23" s="89">
        <v>1</v>
      </c>
      <c r="D23" s="89">
        <v>0</v>
      </c>
      <c r="E23" s="89">
        <v>2</v>
      </c>
      <c r="F23" s="89">
        <v>15</v>
      </c>
      <c r="G23" s="89" t="b">
        <v>0</v>
      </c>
      <c r="H23" s="89">
        <v>6</v>
      </c>
      <c r="I23" s="89">
        <v>1</v>
      </c>
      <c r="J23" s="89">
        <v>0.34</v>
      </c>
      <c r="K23" s="89">
        <v>0.30299999999999999</v>
      </c>
      <c r="L23" s="89">
        <v>0.28999999999999998</v>
      </c>
      <c r="M23" s="89">
        <v>0.41789999999999999</v>
      </c>
      <c r="N23" s="89">
        <v>47</v>
      </c>
      <c r="O23" s="89">
        <v>127</v>
      </c>
      <c r="P23" s="90">
        <v>174</v>
      </c>
      <c r="R23" s="93"/>
      <c r="S23" s="120" t="s">
        <v>137</v>
      </c>
      <c r="T23" s="120"/>
      <c r="U23" s="120"/>
      <c r="V23" s="120"/>
      <c r="W23" s="120"/>
    </row>
    <row r="24" spans="1:23" ht="15">
      <c r="A24" s="87">
        <v>895</v>
      </c>
      <c r="B24" s="88">
        <v>40583</v>
      </c>
      <c r="C24" s="89">
        <v>1</v>
      </c>
      <c r="D24" s="89">
        <v>0</v>
      </c>
      <c r="E24" s="89">
        <v>2</v>
      </c>
      <c r="F24" s="89">
        <v>18</v>
      </c>
      <c r="G24" s="89" t="b">
        <v>0</v>
      </c>
      <c r="H24" s="89">
        <v>3</v>
      </c>
      <c r="I24" s="89">
        <v>2</v>
      </c>
      <c r="J24" s="89">
        <v>0.18</v>
      </c>
      <c r="K24" s="89">
        <v>0.16669999999999999</v>
      </c>
      <c r="L24" s="89">
        <v>0.47</v>
      </c>
      <c r="M24" s="89">
        <v>0.29849999999999999</v>
      </c>
      <c r="N24" s="89">
        <v>2</v>
      </c>
      <c r="O24" s="89">
        <v>168</v>
      </c>
      <c r="P24" s="90">
        <v>170</v>
      </c>
      <c r="R24" s="93"/>
      <c r="S24" s="118"/>
      <c r="T24" s="120"/>
      <c r="U24" s="120"/>
      <c r="V24" s="120"/>
      <c r="W24" s="114"/>
    </row>
    <row r="25" spans="1:23">
      <c r="A25" s="87">
        <v>706</v>
      </c>
      <c r="B25" s="88">
        <v>40575</v>
      </c>
      <c r="C25" s="89">
        <v>1</v>
      </c>
      <c r="D25" s="89">
        <v>0</v>
      </c>
      <c r="E25" s="89">
        <v>2</v>
      </c>
      <c r="F25" s="89">
        <v>18</v>
      </c>
      <c r="G25" s="89" t="b">
        <v>0</v>
      </c>
      <c r="H25" s="89">
        <v>2</v>
      </c>
      <c r="I25" s="89">
        <v>2</v>
      </c>
      <c r="J25" s="89">
        <v>0.24</v>
      </c>
      <c r="K25" s="89">
        <v>0.2576</v>
      </c>
      <c r="L25" s="89">
        <v>0.81</v>
      </c>
      <c r="M25" s="89">
        <v>0.1045</v>
      </c>
      <c r="N25" s="89">
        <v>3</v>
      </c>
      <c r="O25" s="89">
        <v>165</v>
      </c>
      <c r="P25" s="90">
        <v>168</v>
      </c>
    </row>
    <row r="26" spans="1:23">
      <c r="A26" s="87">
        <v>894</v>
      </c>
      <c r="B26" s="88">
        <v>40583</v>
      </c>
      <c r="C26" s="89">
        <v>1</v>
      </c>
      <c r="D26" s="89">
        <v>0</v>
      </c>
      <c r="E26" s="89">
        <v>2</v>
      </c>
      <c r="F26" s="89">
        <v>17</v>
      </c>
      <c r="G26" s="89" t="b">
        <v>0</v>
      </c>
      <c r="H26" s="89">
        <v>3</v>
      </c>
      <c r="I26" s="89">
        <v>2</v>
      </c>
      <c r="J26" s="89">
        <v>0.2</v>
      </c>
      <c r="K26" s="89">
        <v>0.19700000000000001</v>
      </c>
      <c r="L26" s="89">
        <v>0.34</v>
      </c>
      <c r="M26" s="89">
        <v>0.25369999999999998</v>
      </c>
      <c r="N26" s="89">
        <v>9</v>
      </c>
      <c r="O26" s="89">
        <v>157</v>
      </c>
      <c r="P26" s="90">
        <v>166</v>
      </c>
    </row>
    <row r="27" spans="1:23">
      <c r="A27" s="87">
        <v>917</v>
      </c>
      <c r="B27" s="88">
        <v>40584</v>
      </c>
      <c r="C27" s="89">
        <v>1</v>
      </c>
      <c r="D27" s="89">
        <v>0</v>
      </c>
      <c r="E27" s="89">
        <v>2</v>
      </c>
      <c r="F27" s="89">
        <v>17</v>
      </c>
      <c r="G27" s="89" t="b">
        <v>0</v>
      </c>
      <c r="H27" s="89">
        <v>4</v>
      </c>
      <c r="I27" s="89">
        <v>1</v>
      </c>
      <c r="J27" s="89">
        <v>0.18</v>
      </c>
      <c r="K27" s="89">
        <v>0.18179999999999999</v>
      </c>
      <c r="L27" s="89">
        <v>0.26</v>
      </c>
      <c r="M27" s="89">
        <v>0.19400000000000001</v>
      </c>
      <c r="N27" s="89">
        <v>6</v>
      </c>
      <c r="O27" s="89">
        <v>159</v>
      </c>
      <c r="P27" s="90">
        <v>165</v>
      </c>
    </row>
    <row r="28" spans="1:23">
      <c r="A28" s="87">
        <v>984</v>
      </c>
      <c r="B28" s="88">
        <v>40587</v>
      </c>
      <c r="C28" s="89">
        <v>1</v>
      </c>
      <c r="D28" s="89">
        <v>0</v>
      </c>
      <c r="E28" s="89">
        <v>2</v>
      </c>
      <c r="F28" s="89">
        <v>15</v>
      </c>
      <c r="G28" s="89" t="b">
        <v>0</v>
      </c>
      <c r="H28" s="89">
        <v>0</v>
      </c>
      <c r="I28" s="89">
        <v>2</v>
      </c>
      <c r="J28" s="89">
        <v>0.4</v>
      </c>
      <c r="K28" s="89">
        <v>0.40910000000000002</v>
      </c>
      <c r="L28" s="89">
        <v>0.3</v>
      </c>
      <c r="M28" s="89">
        <v>0.29849999999999999</v>
      </c>
      <c r="N28" s="89">
        <v>40</v>
      </c>
      <c r="O28" s="89">
        <v>122</v>
      </c>
      <c r="P28" s="90">
        <v>162</v>
      </c>
    </row>
    <row r="29" spans="1:23">
      <c r="A29" s="87">
        <v>682</v>
      </c>
      <c r="B29" s="88">
        <v>40574</v>
      </c>
      <c r="C29" s="89">
        <v>1</v>
      </c>
      <c r="D29" s="89">
        <v>0</v>
      </c>
      <c r="E29" s="89">
        <v>1</v>
      </c>
      <c r="F29" s="89">
        <v>17</v>
      </c>
      <c r="G29" s="89" t="b">
        <v>0</v>
      </c>
      <c r="H29" s="89">
        <v>1</v>
      </c>
      <c r="I29" s="89">
        <v>2</v>
      </c>
      <c r="J29" s="89">
        <v>0.16</v>
      </c>
      <c r="K29" s="89">
        <v>0.1515</v>
      </c>
      <c r="L29" s="89">
        <v>0.59</v>
      </c>
      <c r="M29" s="89">
        <v>0.19400000000000001</v>
      </c>
      <c r="N29" s="89">
        <v>6</v>
      </c>
      <c r="O29" s="89">
        <v>155</v>
      </c>
      <c r="P29" s="90">
        <v>161</v>
      </c>
    </row>
    <row r="30" spans="1:23">
      <c r="A30" s="87">
        <v>820</v>
      </c>
      <c r="B30" s="88">
        <v>40580</v>
      </c>
      <c r="C30" s="89">
        <v>1</v>
      </c>
      <c r="D30" s="89">
        <v>0</v>
      </c>
      <c r="E30" s="89">
        <v>2</v>
      </c>
      <c r="F30" s="89">
        <v>14</v>
      </c>
      <c r="G30" s="89" t="b">
        <v>0</v>
      </c>
      <c r="H30" s="89">
        <v>0</v>
      </c>
      <c r="I30" s="89">
        <v>1</v>
      </c>
      <c r="J30" s="89">
        <v>0.34</v>
      </c>
      <c r="K30" s="89">
        <v>0.34849999999999998</v>
      </c>
      <c r="L30" s="89">
        <v>0.46</v>
      </c>
      <c r="M30" s="89">
        <v>8.9599999999999999E-2</v>
      </c>
      <c r="N30" s="89">
        <v>47</v>
      </c>
      <c r="O30" s="89">
        <v>114</v>
      </c>
      <c r="P30" s="90">
        <v>161</v>
      </c>
    </row>
    <row r="31" spans="1:23">
      <c r="A31" s="87">
        <v>983</v>
      </c>
      <c r="B31" s="88">
        <v>40587</v>
      </c>
      <c r="C31" s="89">
        <v>1</v>
      </c>
      <c r="D31" s="89">
        <v>0</v>
      </c>
      <c r="E31" s="89">
        <v>2</v>
      </c>
      <c r="F31" s="89">
        <v>14</v>
      </c>
      <c r="G31" s="89" t="b">
        <v>0</v>
      </c>
      <c r="H31" s="89">
        <v>0</v>
      </c>
      <c r="I31" s="89">
        <v>2</v>
      </c>
      <c r="J31" s="89">
        <v>0.4</v>
      </c>
      <c r="K31" s="89">
        <v>0.40910000000000002</v>
      </c>
      <c r="L31" s="89">
        <v>0.3</v>
      </c>
      <c r="M31" s="89">
        <v>0.41789999999999999</v>
      </c>
      <c r="N31" s="89">
        <v>51</v>
      </c>
      <c r="O31" s="89">
        <v>110</v>
      </c>
      <c r="P31" s="90">
        <v>161</v>
      </c>
    </row>
    <row r="32" spans="1:23">
      <c r="A32" s="87">
        <v>918</v>
      </c>
      <c r="B32" s="88">
        <v>40584</v>
      </c>
      <c r="C32" s="89">
        <v>1</v>
      </c>
      <c r="D32" s="89">
        <v>0</v>
      </c>
      <c r="E32" s="89">
        <v>2</v>
      </c>
      <c r="F32" s="89">
        <v>18</v>
      </c>
      <c r="G32" s="89" t="b">
        <v>0</v>
      </c>
      <c r="H32" s="89">
        <v>4</v>
      </c>
      <c r="I32" s="89">
        <v>1</v>
      </c>
      <c r="J32" s="89">
        <v>0.16</v>
      </c>
      <c r="K32" s="89">
        <v>0.18179999999999999</v>
      </c>
      <c r="L32" s="89">
        <v>0.28000000000000003</v>
      </c>
      <c r="M32" s="89">
        <v>0.1343</v>
      </c>
      <c r="N32" s="89">
        <v>3</v>
      </c>
      <c r="O32" s="89">
        <v>157</v>
      </c>
      <c r="P32" s="90">
        <v>160</v>
      </c>
    </row>
    <row r="33" spans="1:16">
      <c r="A33" s="87">
        <v>822</v>
      </c>
      <c r="B33" s="88">
        <v>40580</v>
      </c>
      <c r="C33" s="89">
        <v>1</v>
      </c>
      <c r="D33" s="89">
        <v>0</v>
      </c>
      <c r="E33" s="89">
        <v>2</v>
      </c>
      <c r="F33" s="89">
        <v>16</v>
      </c>
      <c r="G33" s="89" t="b">
        <v>0</v>
      </c>
      <c r="H33" s="89">
        <v>0</v>
      </c>
      <c r="I33" s="89">
        <v>1</v>
      </c>
      <c r="J33" s="89">
        <v>0.34</v>
      </c>
      <c r="K33" s="89">
        <v>0.34849999999999998</v>
      </c>
      <c r="L33" s="89">
        <v>0.49</v>
      </c>
      <c r="M33" s="89">
        <v>0.1045</v>
      </c>
      <c r="N33" s="89">
        <v>42</v>
      </c>
      <c r="O33" s="89">
        <v>115</v>
      </c>
      <c r="P33" s="90">
        <v>157</v>
      </c>
    </row>
    <row r="34" spans="1:16">
      <c r="A34" s="87">
        <v>683</v>
      </c>
      <c r="B34" s="88">
        <v>40574</v>
      </c>
      <c r="C34" s="89">
        <v>1</v>
      </c>
      <c r="D34" s="89">
        <v>0</v>
      </c>
      <c r="E34" s="89">
        <v>1</v>
      </c>
      <c r="F34" s="89">
        <v>18</v>
      </c>
      <c r="G34" s="89" t="b">
        <v>0</v>
      </c>
      <c r="H34" s="89">
        <v>1</v>
      </c>
      <c r="I34" s="89">
        <v>2</v>
      </c>
      <c r="J34" s="89">
        <v>0.16</v>
      </c>
      <c r="K34" s="89">
        <v>0.1515</v>
      </c>
      <c r="L34" s="89">
        <v>0.55000000000000004</v>
      </c>
      <c r="M34" s="89">
        <v>0.22389999999999999</v>
      </c>
      <c r="N34" s="89">
        <v>3</v>
      </c>
      <c r="O34" s="89">
        <v>153</v>
      </c>
      <c r="P34" s="90">
        <v>156</v>
      </c>
    </row>
    <row r="35" spans="1:16">
      <c r="A35" s="87">
        <v>720</v>
      </c>
      <c r="B35" s="88">
        <v>40576</v>
      </c>
      <c r="C35" s="89">
        <v>1</v>
      </c>
      <c r="D35" s="89">
        <v>0</v>
      </c>
      <c r="E35" s="89">
        <v>2</v>
      </c>
      <c r="F35" s="89">
        <v>8</v>
      </c>
      <c r="G35" s="89" t="b">
        <v>0</v>
      </c>
      <c r="H35" s="89">
        <v>3</v>
      </c>
      <c r="I35" s="89">
        <v>3</v>
      </c>
      <c r="J35" s="89">
        <v>0.22</v>
      </c>
      <c r="K35" s="89">
        <v>0.21210000000000001</v>
      </c>
      <c r="L35" s="89">
        <v>0.93</v>
      </c>
      <c r="M35" s="89">
        <v>0.22389999999999999</v>
      </c>
      <c r="N35" s="89">
        <v>1</v>
      </c>
      <c r="O35" s="89">
        <v>154</v>
      </c>
      <c r="P35" s="90">
        <v>155</v>
      </c>
    </row>
    <row r="36" spans="1:16">
      <c r="A36" s="87">
        <v>776</v>
      </c>
      <c r="B36" s="88">
        <v>40578</v>
      </c>
      <c r="C36" s="89">
        <v>1</v>
      </c>
      <c r="D36" s="89">
        <v>0</v>
      </c>
      <c r="E36" s="89">
        <v>2</v>
      </c>
      <c r="F36" s="89">
        <v>18</v>
      </c>
      <c r="G36" s="89" t="b">
        <v>0</v>
      </c>
      <c r="H36" s="89">
        <v>5</v>
      </c>
      <c r="I36" s="89">
        <v>2</v>
      </c>
      <c r="J36" s="89">
        <v>0.24</v>
      </c>
      <c r="K36" s="89">
        <v>0.2576</v>
      </c>
      <c r="L36" s="89">
        <v>0.6</v>
      </c>
      <c r="M36" s="89">
        <v>0.1045</v>
      </c>
      <c r="N36" s="89">
        <v>3</v>
      </c>
      <c r="O36" s="89">
        <v>152</v>
      </c>
      <c r="P36" s="90">
        <v>155</v>
      </c>
    </row>
    <row r="37" spans="1:16">
      <c r="A37" s="87">
        <v>982</v>
      </c>
      <c r="B37" s="88">
        <v>40587</v>
      </c>
      <c r="C37" s="89">
        <v>1</v>
      </c>
      <c r="D37" s="89">
        <v>0</v>
      </c>
      <c r="E37" s="89">
        <v>2</v>
      </c>
      <c r="F37" s="89">
        <v>13</v>
      </c>
      <c r="G37" s="89" t="b">
        <v>0</v>
      </c>
      <c r="H37" s="89">
        <v>0</v>
      </c>
      <c r="I37" s="89">
        <v>1</v>
      </c>
      <c r="J37" s="89">
        <v>0.38</v>
      </c>
      <c r="K37" s="89">
        <v>0.39389999999999997</v>
      </c>
      <c r="L37" s="89">
        <v>0.28999999999999998</v>
      </c>
      <c r="M37" s="89">
        <v>0.35820000000000002</v>
      </c>
      <c r="N37" s="89">
        <v>62</v>
      </c>
      <c r="O37" s="89">
        <v>92</v>
      </c>
      <c r="P37" s="90">
        <v>154</v>
      </c>
    </row>
    <row r="38" spans="1:16">
      <c r="A38" s="87">
        <v>872</v>
      </c>
      <c r="B38" s="88">
        <v>40582</v>
      </c>
      <c r="C38" s="89">
        <v>1</v>
      </c>
      <c r="D38" s="89">
        <v>0</v>
      </c>
      <c r="E38" s="89">
        <v>2</v>
      </c>
      <c r="F38" s="89">
        <v>18</v>
      </c>
      <c r="G38" s="89" t="b">
        <v>0</v>
      </c>
      <c r="H38" s="89">
        <v>2</v>
      </c>
      <c r="I38" s="89">
        <v>1</v>
      </c>
      <c r="J38" s="89">
        <v>0.2</v>
      </c>
      <c r="K38" s="89">
        <v>0.18179999999999999</v>
      </c>
      <c r="L38" s="89">
        <v>0.32</v>
      </c>
      <c r="M38" s="89">
        <v>0.3881</v>
      </c>
      <c r="N38" s="89">
        <v>1</v>
      </c>
      <c r="O38" s="89">
        <v>151</v>
      </c>
      <c r="P38" s="90">
        <v>152</v>
      </c>
    </row>
    <row r="39" spans="1:16">
      <c r="A39" s="87">
        <v>981</v>
      </c>
      <c r="B39" s="88">
        <v>40587</v>
      </c>
      <c r="C39" s="89">
        <v>1</v>
      </c>
      <c r="D39" s="89">
        <v>0</v>
      </c>
      <c r="E39" s="89">
        <v>2</v>
      </c>
      <c r="F39" s="89">
        <v>12</v>
      </c>
      <c r="G39" s="89" t="b">
        <v>0</v>
      </c>
      <c r="H39" s="89">
        <v>0</v>
      </c>
      <c r="I39" s="89">
        <v>1</v>
      </c>
      <c r="J39" s="89">
        <v>0.36</v>
      </c>
      <c r="K39" s="89">
        <v>0.31819999999999998</v>
      </c>
      <c r="L39" s="89">
        <v>0.32</v>
      </c>
      <c r="M39" s="89">
        <v>0.4627</v>
      </c>
      <c r="N39" s="89">
        <v>58</v>
      </c>
      <c r="O39" s="89">
        <v>94</v>
      </c>
      <c r="P39" s="90">
        <v>152</v>
      </c>
    </row>
    <row r="40" spans="1:16">
      <c r="A40" s="87">
        <v>612</v>
      </c>
      <c r="B40" s="88">
        <v>40571</v>
      </c>
      <c r="C40" s="89">
        <v>1</v>
      </c>
      <c r="D40" s="89">
        <v>0</v>
      </c>
      <c r="E40" s="89">
        <v>1</v>
      </c>
      <c r="F40" s="89">
        <v>17</v>
      </c>
      <c r="G40" s="89" t="b">
        <v>0</v>
      </c>
      <c r="H40" s="89">
        <v>5</v>
      </c>
      <c r="I40" s="89">
        <v>1</v>
      </c>
      <c r="J40" s="89">
        <v>0.24</v>
      </c>
      <c r="K40" s="89">
        <v>0.2424</v>
      </c>
      <c r="L40" s="89">
        <v>0.75</v>
      </c>
      <c r="M40" s="89">
        <v>0.1343</v>
      </c>
      <c r="N40" s="89">
        <v>2</v>
      </c>
      <c r="O40" s="89">
        <v>147</v>
      </c>
      <c r="P40" s="90">
        <v>149</v>
      </c>
    </row>
    <row r="41" spans="1:16">
      <c r="A41" s="87">
        <v>753</v>
      </c>
      <c r="B41" s="88">
        <v>40577</v>
      </c>
      <c r="C41" s="89">
        <v>1</v>
      </c>
      <c r="D41" s="89">
        <v>0</v>
      </c>
      <c r="E41" s="89">
        <v>2</v>
      </c>
      <c r="F41" s="89">
        <v>18</v>
      </c>
      <c r="G41" s="89" t="b">
        <v>0</v>
      </c>
      <c r="H41" s="89">
        <v>4</v>
      </c>
      <c r="I41" s="89">
        <v>1</v>
      </c>
      <c r="J41" s="89">
        <v>0.2</v>
      </c>
      <c r="K41" s="89">
        <v>0.21210000000000001</v>
      </c>
      <c r="L41" s="89">
        <v>0.4</v>
      </c>
      <c r="M41" s="89">
        <v>0.16420000000000001</v>
      </c>
      <c r="N41" s="89">
        <v>2</v>
      </c>
      <c r="O41" s="89">
        <v>145</v>
      </c>
      <c r="P41" s="90">
        <v>147</v>
      </c>
    </row>
    <row r="42" spans="1:16">
      <c r="A42" s="87">
        <v>962</v>
      </c>
      <c r="B42" s="88">
        <v>40586</v>
      </c>
      <c r="C42" s="89">
        <v>1</v>
      </c>
      <c r="D42" s="89">
        <v>0</v>
      </c>
      <c r="E42" s="89">
        <v>2</v>
      </c>
      <c r="F42" s="89">
        <v>16</v>
      </c>
      <c r="G42" s="89" t="b">
        <v>0</v>
      </c>
      <c r="H42" s="89">
        <v>6</v>
      </c>
      <c r="I42" s="89">
        <v>1</v>
      </c>
      <c r="J42" s="89">
        <v>0.34</v>
      </c>
      <c r="K42" s="89">
        <v>0.30299999999999999</v>
      </c>
      <c r="L42" s="89">
        <v>0.28999999999999998</v>
      </c>
      <c r="M42" s="89">
        <v>0.41789999999999999</v>
      </c>
      <c r="N42" s="89">
        <v>42</v>
      </c>
      <c r="O42" s="89">
        <v>103</v>
      </c>
      <c r="P42" s="90">
        <v>145</v>
      </c>
    </row>
    <row r="43" spans="1:16">
      <c r="A43" s="87">
        <v>931</v>
      </c>
      <c r="B43" s="88">
        <v>40585</v>
      </c>
      <c r="C43" s="89">
        <v>1</v>
      </c>
      <c r="D43" s="89">
        <v>0</v>
      </c>
      <c r="E43" s="89">
        <v>2</v>
      </c>
      <c r="F43" s="89">
        <v>9</v>
      </c>
      <c r="G43" s="89" t="b">
        <v>0</v>
      </c>
      <c r="H43" s="89">
        <v>5</v>
      </c>
      <c r="I43" s="89">
        <v>1</v>
      </c>
      <c r="J43" s="89">
        <v>0.12</v>
      </c>
      <c r="K43" s="89">
        <v>0.1212</v>
      </c>
      <c r="L43" s="89">
        <v>0.74</v>
      </c>
      <c r="M43" s="89">
        <v>0.22389999999999999</v>
      </c>
      <c r="N43" s="89">
        <v>8</v>
      </c>
      <c r="O43" s="89">
        <v>132</v>
      </c>
      <c r="P43" s="90">
        <v>140</v>
      </c>
    </row>
    <row r="44" spans="1:16">
      <c r="A44" s="87">
        <v>963</v>
      </c>
      <c r="B44" s="88">
        <v>40586</v>
      </c>
      <c r="C44" s="89">
        <v>1</v>
      </c>
      <c r="D44" s="89">
        <v>0</v>
      </c>
      <c r="E44" s="89">
        <v>2</v>
      </c>
      <c r="F44" s="89">
        <v>17</v>
      </c>
      <c r="G44" s="89" t="b">
        <v>0</v>
      </c>
      <c r="H44" s="89">
        <v>6</v>
      </c>
      <c r="I44" s="89">
        <v>1</v>
      </c>
      <c r="J44" s="89">
        <v>0.32</v>
      </c>
      <c r="K44" s="89">
        <v>0.28789999999999999</v>
      </c>
      <c r="L44" s="89">
        <v>0.31</v>
      </c>
      <c r="M44" s="89">
        <v>0.52239999999999998</v>
      </c>
      <c r="N44" s="89">
        <v>24</v>
      </c>
      <c r="O44" s="89">
        <v>113</v>
      </c>
      <c r="P44" s="90">
        <v>137</v>
      </c>
    </row>
    <row r="45" spans="1:16">
      <c r="A45" s="87">
        <v>696</v>
      </c>
      <c r="B45" s="88">
        <v>40575</v>
      </c>
      <c r="C45" s="89">
        <v>1</v>
      </c>
      <c r="D45" s="89">
        <v>0</v>
      </c>
      <c r="E45" s="89">
        <v>2</v>
      </c>
      <c r="F45" s="89">
        <v>8</v>
      </c>
      <c r="G45" s="89" t="b">
        <v>0</v>
      </c>
      <c r="H45" s="89">
        <v>2</v>
      </c>
      <c r="I45" s="89">
        <v>3</v>
      </c>
      <c r="J45" s="89">
        <v>0.16</v>
      </c>
      <c r="K45" s="89">
        <v>0.2273</v>
      </c>
      <c r="L45" s="89">
        <v>0.93</v>
      </c>
      <c r="M45" s="89">
        <v>0</v>
      </c>
      <c r="N45" s="89">
        <v>3</v>
      </c>
      <c r="O45" s="89">
        <v>132</v>
      </c>
      <c r="P45" s="90">
        <v>135</v>
      </c>
    </row>
    <row r="46" spans="1:16">
      <c r="A46" s="87">
        <v>863</v>
      </c>
      <c r="B46" s="88">
        <v>40582</v>
      </c>
      <c r="C46" s="89">
        <v>1</v>
      </c>
      <c r="D46" s="89">
        <v>0</v>
      </c>
      <c r="E46" s="89">
        <v>2</v>
      </c>
      <c r="F46" s="89">
        <v>9</v>
      </c>
      <c r="G46" s="89" t="b">
        <v>0</v>
      </c>
      <c r="H46" s="89">
        <v>2</v>
      </c>
      <c r="I46" s="89">
        <v>1</v>
      </c>
      <c r="J46" s="89">
        <v>0.24</v>
      </c>
      <c r="K46" s="89">
        <v>0.19700000000000001</v>
      </c>
      <c r="L46" s="89">
        <v>0.52</v>
      </c>
      <c r="M46" s="89">
        <v>0.49249999999999999</v>
      </c>
      <c r="N46" s="89">
        <v>7</v>
      </c>
      <c r="O46" s="89">
        <v>128</v>
      </c>
      <c r="P46" s="90">
        <v>135</v>
      </c>
    </row>
    <row r="47" spans="1:16">
      <c r="A47" s="87">
        <v>959</v>
      </c>
      <c r="B47" s="88">
        <v>40586</v>
      </c>
      <c r="C47" s="89">
        <v>1</v>
      </c>
      <c r="D47" s="89">
        <v>0</v>
      </c>
      <c r="E47" s="89">
        <v>2</v>
      </c>
      <c r="F47" s="89">
        <v>13</v>
      </c>
      <c r="G47" s="89" t="b">
        <v>0</v>
      </c>
      <c r="H47" s="89">
        <v>6</v>
      </c>
      <c r="I47" s="89">
        <v>1</v>
      </c>
      <c r="J47" s="89">
        <v>0.3</v>
      </c>
      <c r="K47" s="89">
        <v>0.2727</v>
      </c>
      <c r="L47" s="89">
        <v>0.39</v>
      </c>
      <c r="M47" s="89">
        <v>0.41789999999999999</v>
      </c>
      <c r="N47" s="89">
        <v>32</v>
      </c>
      <c r="O47" s="89">
        <v>103</v>
      </c>
      <c r="P47" s="90">
        <v>135</v>
      </c>
    </row>
    <row r="48" spans="1:16">
      <c r="A48" s="87">
        <v>985</v>
      </c>
      <c r="B48" s="88">
        <v>40587</v>
      </c>
      <c r="C48" s="89">
        <v>1</v>
      </c>
      <c r="D48" s="89">
        <v>0</v>
      </c>
      <c r="E48" s="89">
        <v>2</v>
      </c>
      <c r="F48" s="89">
        <v>16</v>
      </c>
      <c r="G48" s="89" t="b">
        <v>0</v>
      </c>
      <c r="H48" s="89">
        <v>0</v>
      </c>
      <c r="I48" s="89">
        <v>2</v>
      </c>
      <c r="J48" s="89">
        <v>0.42</v>
      </c>
      <c r="K48" s="89">
        <v>0.42420000000000002</v>
      </c>
      <c r="L48" s="89">
        <v>0.28000000000000003</v>
      </c>
      <c r="M48" s="89">
        <v>0.32840000000000003</v>
      </c>
      <c r="N48" s="89">
        <v>28</v>
      </c>
      <c r="O48" s="89">
        <v>106</v>
      </c>
      <c r="P48" s="90">
        <v>134</v>
      </c>
    </row>
    <row r="49" spans="1:16">
      <c r="A49" s="87">
        <v>744</v>
      </c>
      <c r="B49" s="88">
        <v>40577</v>
      </c>
      <c r="C49" s="89">
        <v>1</v>
      </c>
      <c r="D49" s="89">
        <v>0</v>
      </c>
      <c r="E49" s="89">
        <v>2</v>
      </c>
      <c r="F49" s="89">
        <v>9</v>
      </c>
      <c r="G49" s="89" t="b">
        <v>0</v>
      </c>
      <c r="H49" s="89">
        <v>4</v>
      </c>
      <c r="I49" s="89">
        <v>1</v>
      </c>
      <c r="J49" s="89">
        <v>0.16</v>
      </c>
      <c r="K49" s="89">
        <v>0.13639999999999999</v>
      </c>
      <c r="L49" s="89">
        <v>0.47</v>
      </c>
      <c r="M49" s="89">
        <v>0.29849999999999999</v>
      </c>
      <c r="N49" s="89">
        <v>6</v>
      </c>
      <c r="O49" s="89">
        <v>127</v>
      </c>
      <c r="P49" s="90">
        <v>133</v>
      </c>
    </row>
    <row r="50" spans="1:16">
      <c r="A50" s="87">
        <v>849</v>
      </c>
      <c r="B50" s="88">
        <v>40581</v>
      </c>
      <c r="C50" s="89">
        <v>1</v>
      </c>
      <c r="D50" s="89">
        <v>0</v>
      </c>
      <c r="E50" s="89">
        <v>2</v>
      </c>
      <c r="F50" s="89">
        <v>19</v>
      </c>
      <c r="G50" s="89" t="b">
        <v>0</v>
      </c>
      <c r="H50" s="89">
        <v>1</v>
      </c>
      <c r="I50" s="89">
        <v>2</v>
      </c>
      <c r="J50" s="89">
        <v>0.32</v>
      </c>
      <c r="K50" s="89">
        <v>0.34849999999999998</v>
      </c>
      <c r="L50" s="89">
        <v>0.7</v>
      </c>
      <c r="M50" s="89">
        <v>0</v>
      </c>
      <c r="N50" s="89">
        <v>5</v>
      </c>
      <c r="O50" s="89">
        <v>123</v>
      </c>
      <c r="P50" s="90">
        <v>128</v>
      </c>
    </row>
    <row r="51" spans="1:16">
      <c r="A51" s="87">
        <v>767</v>
      </c>
      <c r="B51" s="88">
        <v>40578</v>
      </c>
      <c r="C51" s="89">
        <v>1</v>
      </c>
      <c r="D51" s="89">
        <v>0</v>
      </c>
      <c r="E51" s="89">
        <v>2</v>
      </c>
      <c r="F51" s="89">
        <v>9</v>
      </c>
      <c r="G51" s="89" t="b">
        <v>0</v>
      </c>
      <c r="H51" s="89">
        <v>5</v>
      </c>
      <c r="I51" s="89">
        <v>2</v>
      </c>
      <c r="J51" s="89">
        <v>0.16</v>
      </c>
      <c r="K51" s="89">
        <v>0.18179999999999999</v>
      </c>
      <c r="L51" s="89">
        <v>0.8</v>
      </c>
      <c r="M51" s="89">
        <v>0.1343</v>
      </c>
      <c r="N51" s="89">
        <v>3</v>
      </c>
      <c r="O51" s="89">
        <v>124</v>
      </c>
      <c r="P51" s="90">
        <v>127</v>
      </c>
    </row>
    <row r="52" spans="1:16">
      <c r="A52" s="87">
        <v>938</v>
      </c>
      <c r="B52" s="88">
        <v>40585</v>
      </c>
      <c r="C52" s="89">
        <v>1</v>
      </c>
      <c r="D52" s="89">
        <v>0</v>
      </c>
      <c r="E52" s="89">
        <v>2</v>
      </c>
      <c r="F52" s="89">
        <v>16</v>
      </c>
      <c r="G52" s="89" t="b">
        <v>0</v>
      </c>
      <c r="H52" s="89">
        <v>5</v>
      </c>
      <c r="I52" s="89">
        <v>1</v>
      </c>
      <c r="J52" s="89">
        <v>0.3</v>
      </c>
      <c r="K52" s="89">
        <v>0.28789999999999999</v>
      </c>
      <c r="L52" s="89">
        <v>0.28000000000000003</v>
      </c>
      <c r="M52" s="89">
        <v>0.19400000000000001</v>
      </c>
      <c r="N52" s="89">
        <v>14</v>
      </c>
      <c r="O52" s="89">
        <v>111</v>
      </c>
      <c r="P52" s="90">
        <v>125</v>
      </c>
    </row>
    <row r="53" spans="1:16">
      <c r="A53" s="87">
        <v>986</v>
      </c>
      <c r="B53" s="88">
        <v>40587</v>
      </c>
      <c r="C53" s="89">
        <v>1</v>
      </c>
      <c r="D53" s="89">
        <v>0</v>
      </c>
      <c r="E53" s="89">
        <v>2</v>
      </c>
      <c r="F53" s="89">
        <v>17</v>
      </c>
      <c r="G53" s="89" t="b">
        <v>0</v>
      </c>
      <c r="H53" s="89">
        <v>0</v>
      </c>
      <c r="I53" s="89">
        <v>1</v>
      </c>
      <c r="J53" s="89">
        <v>0.42</v>
      </c>
      <c r="K53" s="89">
        <v>0.42420000000000002</v>
      </c>
      <c r="L53" s="89">
        <v>0.28000000000000003</v>
      </c>
      <c r="M53" s="89">
        <v>0.32840000000000003</v>
      </c>
      <c r="N53" s="89">
        <v>30</v>
      </c>
      <c r="O53" s="89">
        <v>95</v>
      </c>
      <c r="P53" s="90">
        <v>125</v>
      </c>
    </row>
    <row r="54" spans="1:16">
      <c r="A54" s="87">
        <v>657</v>
      </c>
      <c r="B54" s="88">
        <v>40573</v>
      </c>
      <c r="C54" s="89">
        <v>1</v>
      </c>
      <c r="D54" s="89">
        <v>0</v>
      </c>
      <c r="E54" s="89">
        <v>1</v>
      </c>
      <c r="F54" s="89">
        <v>16</v>
      </c>
      <c r="G54" s="89" t="b">
        <v>0</v>
      </c>
      <c r="H54" s="89">
        <v>0</v>
      </c>
      <c r="I54" s="89">
        <v>1</v>
      </c>
      <c r="J54" s="89">
        <v>0.3</v>
      </c>
      <c r="K54" s="89">
        <v>0.33329999999999999</v>
      </c>
      <c r="L54" s="89">
        <v>0.56000000000000005</v>
      </c>
      <c r="M54" s="89">
        <v>0</v>
      </c>
      <c r="N54" s="89">
        <v>19</v>
      </c>
      <c r="O54" s="89">
        <v>104</v>
      </c>
      <c r="P54" s="90">
        <v>123</v>
      </c>
    </row>
    <row r="55" spans="1:16">
      <c r="A55" s="87">
        <v>721</v>
      </c>
      <c r="B55" s="88">
        <v>40576</v>
      </c>
      <c r="C55" s="89">
        <v>1</v>
      </c>
      <c r="D55" s="89">
        <v>0</v>
      </c>
      <c r="E55" s="89">
        <v>2</v>
      </c>
      <c r="F55" s="89">
        <v>9</v>
      </c>
      <c r="G55" s="89" t="b">
        <v>0</v>
      </c>
      <c r="H55" s="89">
        <v>3</v>
      </c>
      <c r="I55" s="89">
        <v>2</v>
      </c>
      <c r="J55" s="89">
        <v>0.24</v>
      </c>
      <c r="K55" s="89">
        <v>0.2576</v>
      </c>
      <c r="L55" s="89">
        <v>0.93</v>
      </c>
      <c r="M55" s="89">
        <v>8.9599999999999999E-2</v>
      </c>
      <c r="N55" s="89">
        <v>4</v>
      </c>
      <c r="O55" s="89">
        <v>119</v>
      </c>
      <c r="P55" s="90">
        <v>123</v>
      </c>
    </row>
    <row r="56" spans="1:16">
      <c r="A56" s="87">
        <v>886</v>
      </c>
      <c r="B56" s="88">
        <v>40583</v>
      </c>
      <c r="C56" s="89">
        <v>1</v>
      </c>
      <c r="D56" s="89">
        <v>0</v>
      </c>
      <c r="E56" s="89">
        <v>2</v>
      </c>
      <c r="F56" s="89">
        <v>9</v>
      </c>
      <c r="G56" s="89" t="b">
        <v>0</v>
      </c>
      <c r="H56" s="89">
        <v>3</v>
      </c>
      <c r="I56" s="89">
        <v>1</v>
      </c>
      <c r="J56" s="89">
        <v>0.12</v>
      </c>
      <c r="K56" s="89">
        <v>0.13639999999999999</v>
      </c>
      <c r="L56" s="89">
        <v>0.39</v>
      </c>
      <c r="M56" s="89">
        <v>0.16420000000000001</v>
      </c>
      <c r="N56" s="89">
        <v>4</v>
      </c>
      <c r="O56" s="89">
        <v>119</v>
      </c>
      <c r="P56" s="90">
        <v>123</v>
      </c>
    </row>
    <row r="57" spans="1:16">
      <c r="A57" s="87">
        <v>655</v>
      </c>
      <c r="B57" s="88">
        <v>40573</v>
      </c>
      <c r="C57" s="89">
        <v>1</v>
      </c>
      <c r="D57" s="89">
        <v>0</v>
      </c>
      <c r="E57" s="89">
        <v>1</v>
      </c>
      <c r="F57" s="89">
        <v>14</v>
      </c>
      <c r="G57" s="89" t="b">
        <v>0</v>
      </c>
      <c r="H57" s="89">
        <v>0</v>
      </c>
      <c r="I57" s="89">
        <v>1</v>
      </c>
      <c r="J57" s="89">
        <v>0.28000000000000003</v>
      </c>
      <c r="K57" s="89">
        <v>0.30299999999999999</v>
      </c>
      <c r="L57" s="89">
        <v>0.61</v>
      </c>
      <c r="M57" s="89">
        <v>8.9599999999999999E-2</v>
      </c>
      <c r="N57" s="89">
        <v>18</v>
      </c>
      <c r="O57" s="89">
        <v>104</v>
      </c>
      <c r="P57" s="90">
        <v>122</v>
      </c>
    </row>
    <row r="58" spans="1:16">
      <c r="A58" s="87">
        <v>909</v>
      </c>
      <c r="B58" s="88">
        <v>40584</v>
      </c>
      <c r="C58" s="89">
        <v>1</v>
      </c>
      <c r="D58" s="89">
        <v>0</v>
      </c>
      <c r="E58" s="89">
        <v>2</v>
      </c>
      <c r="F58" s="89">
        <v>9</v>
      </c>
      <c r="G58" s="89" t="b">
        <v>0</v>
      </c>
      <c r="H58" s="89">
        <v>4</v>
      </c>
      <c r="I58" s="89">
        <v>1</v>
      </c>
      <c r="J58" s="89">
        <v>0.12</v>
      </c>
      <c r="K58" s="89">
        <v>0.1061</v>
      </c>
      <c r="L58" s="89">
        <v>0.42</v>
      </c>
      <c r="M58" s="89">
        <v>0.35820000000000002</v>
      </c>
      <c r="N58" s="89">
        <v>1</v>
      </c>
      <c r="O58" s="89">
        <v>121</v>
      </c>
      <c r="P58" s="90">
        <v>122</v>
      </c>
    </row>
    <row r="59" spans="1:16">
      <c r="A59" s="87">
        <v>823</v>
      </c>
      <c r="B59" s="88">
        <v>40580</v>
      </c>
      <c r="C59" s="89">
        <v>1</v>
      </c>
      <c r="D59" s="89">
        <v>0</v>
      </c>
      <c r="E59" s="89">
        <v>2</v>
      </c>
      <c r="F59" s="89">
        <v>17</v>
      </c>
      <c r="G59" s="89" t="b">
        <v>0</v>
      </c>
      <c r="H59" s="89">
        <v>0</v>
      </c>
      <c r="I59" s="89">
        <v>1</v>
      </c>
      <c r="J59" s="89">
        <v>0.34</v>
      </c>
      <c r="K59" s="89">
        <v>0.36359999999999998</v>
      </c>
      <c r="L59" s="89">
        <v>0.46</v>
      </c>
      <c r="M59" s="89">
        <v>0</v>
      </c>
      <c r="N59" s="89">
        <v>24</v>
      </c>
      <c r="O59" s="89">
        <v>97</v>
      </c>
      <c r="P59" s="90">
        <v>121</v>
      </c>
    </row>
    <row r="60" spans="1:16">
      <c r="A60" s="87">
        <v>633</v>
      </c>
      <c r="B60" s="88">
        <v>40572</v>
      </c>
      <c r="C60" s="89">
        <v>1</v>
      </c>
      <c r="D60" s="89">
        <v>0</v>
      </c>
      <c r="E60" s="89">
        <v>1</v>
      </c>
      <c r="F60" s="89">
        <v>15</v>
      </c>
      <c r="G60" s="89" t="b">
        <v>0</v>
      </c>
      <c r="H60" s="89">
        <v>6</v>
      </c>
      <c r="I60" s="89">
        <v>1</v>
      </c>
      <c r="J60" s="89">
        <v>0.22</v>
      </c>
      <c r="K60" s="89">
        <v>0.21210000000000001</v>
      </c>
      <c r="L60" s="89">
        <v>0.69</v>
      </c>
      <c r="M60" s="89">
        <v>0.25369999999999998</v>
      </c>
      <c r="N60" s="89">
        <v>22</v>
      </c>
      <c r="O60" s="89">
        <v>98</v>
      </c>
      <c r="P60" s="90">
        <v>120</v>
      </c>
    </row>
    <row r="61" spans="1:16">
      <c r="A61" s="87">
        <v>958</v>
      </c>
      <c r="B61" s="88">
        <v>40586</v>
      </c>
      <c r="C61" s="89">
        <v>1</v>
      </c>
      <c r="D61" s="89">
        <v>0</v>
      </c>
      <c r="E61" s="89">
        <v>2</v>
      </c>
      <c r="F61" s="89">
        <v>12</v>
      </c>
      <c r="G61" s="89" t="b">
        <v>0</v>
      </c>
      <c r="H61" s="89">
        <v>6</v>
      </c>
      <c r="I61" s="89">
        <v>1</v>
      </c>
      <c r="J61" s="89">
        <v>0.3</v>
      </c>
      <c r="K61" s="89">
        <v>0.2727</v>
      </c>
      <c r="L61" s="89">
        <v>0.39</v>
      </c>
      <c r="M61" s="89">
        <v>0.4627</v>
      </c>
      <c r="N61" s="89">
        <v>27</v>
      </c>
      <c r="O61" s="89">
        <v>93</v>
      </c>
      <c r="P61" s="90">
        <v>120</v>
      </c>
    </row>
    <row r="62" spans="1:16">
      <c r="A62" s="87">
        <v>960</v>
      </c>
      <c r="B62" s="88">
        <v>40586</v>
      </c>
      <c r="C62" s="89">
        <v>1</v>
      </c>
      <c r="D62" s="89">
        <v>0</v>
      </c>
      <c r="E62" s="89">
        <v>2</v>
      </c>
      <c r="F62" s="89">
        <v>14</v>
      </c>
      <c r="G62" s="89" t="b">
        <v>0</v>
      </c>
      <c r="H62" s="89">
        <v>6</v>
      </c>
      <c r="I62" s="89">
        <v>1</v>
      </c>
      <c r="J62" s="89">
        <v>0.34</v>
      </c>
      <c r="K62" s="89">
        <v>0.31819999999999998</v>
      </c>
      <c r="L62" s="89">
        <v>0.31</v>
      </c>
      <c r="M62" s="89">
        <v>0.28360000000000002</v>
      </c>
      <c r="N62" s="89">
        <v>30</v>
      </c>
      <c r="O62" s="89">
        <v>90</v>
      </c>
      <c r="P62" s="90">
        <v>120</v>
      </c>
    </row>
    <row r="63" spans="1:16">
      <c r="A63" s="87">
        <v>839</v>
      </c>
      <c r="B63" s="88">
        <v>40581</v>
      </c>
      <c r="C63" s="89">
        <v>1</v>
      </c>
      <c r="D63" s="89">
        <v>0</v>
      </c>
      <c r="E63" s="89">
        <v>2</v>
      </c>
      <c r="F63" s="89">
        <v>9</v>
      </c>
      <c r="G63" s="89" t="b">
        <v>0</v>
      </c>
      <c r="H63" s="89">
        <v>1</v>
      </c>
      <c r="I63" s="89">
        <v>1</v>
      </c>
      <c r="J63" s="89">
        <v>0.22</v>
      </c>
      <c r="K63" s="89">
        <v>0.2727</v>
      </c>
      <c r="L63" s="89">
        <v>0.8</v>
      </c>
      <c r="M63" s="89">
        <v>0</v>
      </c>
      <c r="N63" s="89">
        <v>3</v>
      </c>
      <c r="O63" s="89">
        <v>115</v>
      </c>
      <c r="P63" s="90">
        <v>118</v>
      </c>
    </row>
    <row r="64" spans="1:16">
      <c r="A64" s="87">
        <v>817</v>
      </c>
      <c r="B64" s="88">
        <v>40580</v>
      </c>
      <c r="C64" s="89">
        <v>1</v>
      </c>
      <c r="D64" s="89">
        <v>0</v>
      </c>
      <c r="E64" s="89">
        <v>2</v>
      </c>
      <c r="F64" s="89">
        <v>11</v>
      </c>
      <c r="G64" s="89" t="b">
        <v>0</v>
      </c>
      <c r="H64" s="89">
        <v>0</v>
      </c>
      <c r="I64" s="89">
        <v>1</v>
      </c>
      <c r="J64" s="89">
        <v>0.32</v>
      </c>
      <c r="K64" s="89">
        <v>0.30299999999999999</v>
      </c>
      <c r="L64" s="89">
        <v>0.49</v>
      </c>
      <c r="M64" s="89">
        <v>0.25369999999999998</v>
      </c>
      <c r="N64" s="89">
        <v>28</v>
      </c>
      <c r="O64" s="89">
        <v>89</v>
      </c>
      <c r="P64" s="90">
        <v>117</v>
      </c>
    </row>
    <row r="65" spans="1:16">
      <c r="A65" s="87">
        <v>697</v>
      </c>
      <c r="B65" s="88">
        <v>40575</v>
      </c>
      <c r="C65" s="89">
        <v>1</v>
      </c>
      <c r="D65" s="89">
        <v>0</v>
      </c>
      <c r="E65" s="89">
        <v>2</v>
      </c>
      <c r="F65" s="89">
        <v>9</v>
      </c>
      <c r="G65" s="89" t="b">
        <v>0</v>
      </c>
      <c r="H65" s="89">
        <v>2</v>
      </c>
      <c r="I65" s="89">
        <v>2</v>
      </c>
      <c r="J65" s="89">
        <v>0.16</v>
      </c>
      <c r="K65" s="89">
        <v>0.2273</v>
      </c>
      <c r="L65" s="89">
        <v>0.93</v>
      </c>
      <c r="M65" s="89">
        <v>0</v>
      </c>
      <c r="N65" s="89">
        <v>2</v>
      </c>
      <c r="O65" s="89">
        <v>114</v>
      </c>
      <c r="P65" s="90">
        <v>116</v>
      </c>
    </row>
    <row r="66" spans="1:16">
      <c r="A66" s="87">
        <v>846</v>
      </c>
      <c r="B66" s="88">
        <v>40581</v>
      </c>
      <c r="C66" s="89">
        <v>1</v>
      </c>
      <c r="D66" s="89">
        <v>0</v>
      </c>
      <c r="E66" s="89">
        <v>2</v>
      </c>
      <c r="F66" s="89">
        <v>16</v>
      </c>
      <c r="G66" s="89" t="b">
        <v>0</v>
      </c>
      <c r="H66" s="89">
        <v>1</v>
      </c>
      <c r="I66" s="89">
        <v>2</v>
      </c>
      <c r="J66" s="89">
        <v>0.36</v>
      </c>
      <c r="K66" s="89">
        <v>0.34849999999999998</v>
      </c>
      <c r="L66" s="89">
        <v>0.56999999999999995</v>
      </c>
      <c r="M66" s="89">
        <v>0.1343</v>
      </c>
      <c r="N66" s="89">
        <v>16</v>
      </c>
      <c r="O66" s="89">
        <v>98</v>
      </c>
      <c r="P66" s="90">
        <v>114</v>
      </c>
    </row>
    <row r="67" spans="1:16">
      <c r="A67" s="87">
        <v>957</v>
      </c>
      <c r="B67" s="88">
        <v>40586</v>
      </c>
      <c r="C67" s="89">
        <v>1</v>
      </c>
      <c r="D67" s="89">
        <v>0</v>
      </c>
      <c r="E67" s="89">
        <v>2</v>
      </c>
      <c r="F67" s="89">
        <v>11</v>
      </c>
      <c r="G67" s="89" t="b">
        <v>0</v>
      </c>
      <c r="H67" s="89">
        <v>6</v>
      </c>
      <c r="I67" s="89">
        <v>1</v>
      </c>
      <c r="J67" s="89">
        <v>0.3</v>
      </c>
      <c r="K67" s="89">
        <v>0.2727</v>
      </c>
      <c r="L67" s="89">
        <v>0.28000000000000003</v>
      </c>
      <c r="M67" s="89">
        <v>0.32840000000000003</v>
      </c>
      <c r="N67" s="89">
        <v>30</v>
      </c>
      <c r="O67" s="89">
        <v>84</v>
      </c>
      <c r="P67" s="90">
        <v>114</v>
      </c>
    </row>
    <row r="68" spans="1:16">
      <c r="A68" s="87">
        <v>674</v>
      </c>
      <c r="B68" s="88">
        <v>40574</v>
      </c>
      <c r="C68" s="89">
        <v>1</v>
      </c>
      <c r="D68" s="89">
        <v>0</v>
      </c>
      <c r="E68" s="89">
        <v>1</v>
      </c>
      <c r="F68" s="89">
        <v>9</v>
      </c>
      <c r="G68" s="89" t="b">
        <v>0</v>
      </c>
      <c r="H68" s="89">
        <v>1</v>
      </c>
      <c r="I68" s="89">
        <v>2</v>
      </c>
      <c r="J68" s="89">
        <v>0.16</v>
      </c>
      <c r="K68" s="89">
        <v>0.13639999999999999</v>
      </c>
      <c r="L68" s="89">
        <v>0.59</v>
      </c>
      <c r="M68" s="89">
        <v>0.29849999999999999</v>
      </c>
      <c r="N68" s="89">
        <v>0</v>
      </c>
      <c r="O68" s="89">
        <v>112</v>
      </c>
      <c r="P68" s="90">
        <v>112</v>
      </c>
    </row>
    <row r="69" spans="1:16">
      <c r="A69" s="87">
        <v>919</v>
      </c>
      <c r="B69" s="88">
        <v>40584</v>
      </c>
      <c r="C69" s="89">
        <v>1</v>
      </c>
      <c r="D69" s="89">
        <v>0</v>
      </c>
      <c r="E69" s="89">
        <v>2</v>
      </c>
      <c r="F69" s="89">
        <v>19</v>
      </c>
      <c r="G69" s="89" t="b">
        <v>0</v>
      </c>
      <c r="H69" s="89">
        <v>4</v>
      </c>
      <c r="I69" s="89">
        <v>1</v>
      </c>
      <c r="J69" s="89">
        <v>0.14000000000000001</v>
      </c>
      <c r="K69" s="89">
        <v>0.16669999999999999</v>
      </c>
      <c r="L69" s="89">
        <v>0.28000000000000003</v>
      </c>
      <c r="M69" s="89">
        <v>0.1045</v>
      </c>
      <c r="N69" s="89">
        <v>2</v>
      </c>
      <c r="O69" s="89">
        <v>110</v>
      </c>
      <c r="P69" s="90">
        <v>112</v>
      </c>
    </row>
    <row r="70" spans="1:16">
      <c r="A70" s="87">
        <v>980</v>
      </c>
      <c r="B70" s="88">
        <v>40587</v>
      </c>
      <c r="C70" s="89">
        <v>1</v>
      </c>
      <c r="D70" s="89">
        <v>0</v>
      </c>
      <c r="E70" s="89">
        <v>2</v>
      </c>
      <c r="F70" s="89">
        <v>11</v>
      </c>
      <c r="G70" s="89" t="b">
        <v>0</v>
      </c>
      <c r="H70" s="89">
        <v>0</v>
      </c>
      <c r="I70" s="89">
        <v>1</v>
      </c>
      <c r="J70" s="89">
        <v>0.32</v>
      </c>
      <c r="K70" s="89">
        <v>0.28789999999999999</v>
      </c>
      <c r="L70" s="89">
        <v>0.39</v>
      </c>
      <c r="M70" s="89">
        <v>0.44779999999999998</v>
      </c>
      <c r="N70" s="89">
        <v>26</v>
      </c>
      <c r="O70" s="89">
        <v>86</v>
      </c>
      <c r="P70" s="90">
        <v>112</v>
      </c>
    </row>
    <row r="71" spans="1:16">
      <c r="A71" s="87">
        <v>684</v>
      </c>
      <c r="B71" s="88">
        <v>40574</v>
      </c>
      <c r="C71" s="89">
        <v>1</v>
      </c>
      <c r="D71" s="89">
        <v>0</v>
      </c>
      <c r="E71" s="89">
        <v>1</v>
      </c>
      <c r="F71" s="89">
        <v>19</v>
      </c>
      <c r="G71" s="89" t="b">
        <v>0</v>
      </c>
      <c r="H71" s="89">
        <v>1</v>
      </c>
      <c r="I71" s="89">
        <v>1</v>
      </c>
      <c r="J71" s="89">
        <v>0.3</v>
      </c>
      <c r="K71" s="89">
        <v>0.31819999999999998</v>
      </c>
      <c r="L71" s="89">
        <v>0.61</v>
      </c>
      <c r="M71" s="89">
        <v>0.1045</v>
      </c>
      <c r="N71" s="89">
        <v>3</v>
      </c>
      <c r="O71" s="89">
        <v>108</v>
      </c>
      <c r="P71" s="90">
        <v>111</v>
      </c>
    </row>
    <row r="72" spans="1:16">
      <c r="A72" s="87">
        <v>935</v>
      </c>
      <c r="B72" s="88">
        <v>40585</v>
      </c>
      <c r="C72" s="89">
        <v>1</v>
      </c>
      <c r="D72" s="89">
        <v>0</v>
      </c>
      <c r="E72" s="89">
        <v>2</v>
      </c>
      <c r="F72" s="89">
        <v>13</v>
      </c>
      <c r="G72" s="89" t="b">
        <v>0</v>
      </c>
      <c r="H72" s="89">
        <v>5</v>
      </c>
      <c r="I72" s="89">
        <v>1</v>
      </c>
      <c r="J72" s="89">
        <v>0.24</v>
      </c>
      <c r="K72" s="89">
        <v>0.2273</v>
      </c>
      <c r="L72" s="89">
        <v>0.35</v>
      </c>
      <c r="M72" s="89">
        <v>0.19400000000000001</v>
      </c>
      <c r="N72" s="89">
        <v>21</v>
      </c>
      <c r="O72" s="89">
        <v>89</v>
      </c>
      <c r="P72" s="90">
        <v>110</v>
      </c>
    </row>
    <row r="73" spans="1:16">
      <c r="A73" s="87">
        <v>613</v>
      </c>
      <c r="B73" s="88">
        <v>40571</v>
      </c>
      <c r="C73" s="89">
        <v>1</v>
      </c>
      <c r="D73" s="89">
        <v>0</v>
      </c>
      <c r="E73" s="89">
        <v>1</v>
      </c>
      <c r="F73" s="89">
        <v>18</v>
      </c>
      <c r="G73" s="89" t="b">
        <v>0</v>
      </c>
      <c r="H73" s="89">
        <v>5</v>
      </c>
      <c r="I73" s="89">
        <v>1</v>
      </c>
      <c r="J73" s="89">
        <v>0.24</v>
      </c>
      <c r="K73" s="89">
        <v>0.2273</v>
      </c>
      <c r="L73" s="89">
        <v>0.75</v>
      </c>
      <c r="M73" s="89">
        <v>0.19400000000000001</v>
      </c>
      <c r="N73" s="89">
        <v>2</v>
      </c>
      <c r="O73" s="89">
        <v>107</v>
      </c>
      <c r="P73" s="90">
        <v>109</v>
      </c>
    </row>
    <row r="74" spans="1:16">
      <c r="A74" s="87">
        <v>656</v>
      </c>
      <c r="B74" s="88">
        <v>40573</v>
      </c>
      <c r="C74" s="89">
        <v>1</v>
      </c>
      <c r="D74" s="89">
        <v>0</v>
      </c>
      <c r="E74" s="89">
        <v>1</v>
      </c>
      <c r="F74" s="89">
        <v>15</v>
      </c>
      <c r="G74" s="89" t="b">
        <v>0</v>
      </c>
      <c r="H74" s="89">
        <v>0</v>
      </c>
      <c r="I74" s="89">
        <v>1</v>
      </c>
      <c r="J74" s="89">
        <v>0.3</v>
      </c>
      <c r="K74" s="89">
        <v>0.33329999999999999</v>
      </c>
      <c r="L74" s="89">
        <v>0.56000000000000005</v>
      </c>
      <c r="M74" s="89">
        <v>0</v>
      </c>
      <c r="N74" s="89">
        <v>14</v>
      </c>
      <c r="O74" s="89">
        <v>95</v>
      </c>
      <c r="P74" s="90">
        <v>109</v>
      </c>
    </row>
    <row r="75" spans="1:16">
      <c r="A75" s="87">
        <v>755</v>
      </c>
      <c r="B75" s="88">
        <v>40577</v>
      </c>
      <c r="C75" s="89">
        <v>1</v>
      </c>
      <c r="D75" s="89">
        <v>0</v>
      </c>
      <c r="E75" s="89">
        <v>2</v>
      </c>
      <c r="F75" s="89">
        <v>20</v>
      </c>
      <c r="G75" s="89" t="b">
        <v>0</v>
      </c>
      <c r="H75" s="89">
        <v>4</v>
      </c>
      <c r="I75" s="89">
        <v>1</v>
      </c>
      <c r="J75" s="89">
        <v>0.2</v>
      </c>
      <c r="K75" s="89">
        <v>0.2273</v>
      </c>
      <c r="L75" s="89">
        <v>0.47</v>
      </c>
      <c r="M75" s="89">
        <v>8.9599999999999999E-2</v>
      </c>
      <c r="N75" s="89">
        <v>1</v>
      </c>
      <c r="O75" s="89">
        <v>108</v>
      </c>
      <c r="P75" s="90">
        <v>109</v>
      </c>
    </row>
    <row r="76" spans="1:16">
      <c r="A76" s="87">
        <v>707</v>
      </c>
      <c r="B76" s="88">
        <v>40575</v>
      </c>
      <c r="C76" s="89">
        <v>1</v>
      </c>
      <c r="D76" s="89">
        <v>0</v>
      </c>
      <c r="E76" s="89">
        <v>2</v>
      </c>
      <c r="F76" s="89">
        <v>19</v>
      </c>
      <c r="G76" s="89" t="b">
        <v>0</v>
      </c>
      <c r="H76" s="89">
        <v>2</v>
      </c>
      <c r="I76" s="89">
        <v>2</v>
      </c>
      <c r="J76" s="89">
        <v>0.24</v>
      </c>
      <c r="K76" s="89">
        <v>0.2424</v>
      </c>
      <c r="L76" s="89">
        <v>0.81</v>
      </c>
      <c r="M76" s="89">
        <v>0.1343</v>
      </c>
      <c r="N76" s="89">
        <v>3</v>
      </c>
      <c r="O76" s="89">
        <v>105</v>
      </c>
      <c r="P76" s="90">
        <v>108</v>
      </c>
    </row>
    <row r="77" spans="1:16">
      <c r="A77" s="87">
        <v>634</v>
      </c>
      <c r="B77" s="88">
        <v>40572</v>
      </c>
      <c r="C77" s="89">
        <v>1</v>
      </c>
      <c r="D77" s="89">
        <v>0</v>
      </c>
      <c r="E77" s="89">
        <v>1</v>
      </c>
      <c r="F77" s="89">
        <v>16</v>
      </c>
      <c r="G77" s="89" t="b">
        <v>0</v>
      </c>
      <c r="H77" s="89">
        <v>6</v>
      </c>
      <c r="I77" s="89">
        <v>1</v>
      </c>
      <c r="J77" s="89">
        <v>0.24</v>
      </c>
      <c r="K77" s="89">
        <v>0.2424</v>
      </c>
      <c r="L77" s="89">
        <v>0.6</v>
      </c>
      <c r="M77" s="89">
        <v>0.16420000000000001</v>
      </c>
      <c r="N77" s="89">
        <v>19</v>
      </c>
      <c r="O77" s="89">
        <v>88</v>
      </c>
      <c r="P77" s="90">
        <v>107</v>
      </c>
    </row>
    <row r="78" spans="1:16">
      <c r="A78" s="87">
        <v>979</v>
      </c>
      <c r="B78" s="88">
        <v>40587</v>
      </c>
      <c r="C78" s="89">
        <v>1</v>
      </c>
      <c r="D78" s="89">
        <v>0</v>
      </c>
      <c r="E78" s="89">
        <v>2</v>
      </c>
      <c r="F78" s="89">
        <v>10</v>
      </c>
      <c r="G78" s="89" t="b">
        <v>0</v>
      </c>
      <c r="H78" s="89">
        <v>0</v>
      </c>
      <c r="I78" s="89">
        <v>1</v>
      </c>
      <c r="J78" s="89">
        <v>0.3</v>
      </c>
      <c r="K78" s="89">
        <v>0.2727</v>
      </c>
      <c r="L78" s="89">
        <v>0.45</v>
      </c>
      <c r="M78" s="89">
        <v>0.32840000000000003</v>
      </c>
      <c r="N78" s="89">
        <v>19</v>
      </c>
      <c r="O78" s="89">
        <v>86</v>
      </c>
      <c r="P78" s="90">
        <v>105</v>
      </c>
    </row>
    <row r="79" spans="1:16">
      <c r="A79" s="87">
        <v>728</v>
      </c>
      <c r="B79" s="88">
        <v>40576</v>
      </c>
      <c r="C79" s="89">
        <v>1</v>
      </c>
      <c r="D79" s="89">
        <v>0</v>
      </c>
      <c r="E79" s="89">
        <v>2</v>
      </c>
      <c r="F79" s="89">
        <v>16</v>
      </c>
      <c r="G79" s="89" t="b">
        <v>0</v>
      </c>
      <c r="H79" s="89">
        <v>3</v>
      </c>
      <c r="I79" s="89">
        <v>1</v>
      </c>
      <c r="J79" s="89">
        <v>0.36</v>
      </c>
      <c r="K79" s="89">
        <v>0.33329999999999999</v>
      </c>
      <c r="L79" s="89">
        <v>0.71</v>
      </c>
      <c r="M79" s="89">
        <v>0.29849999999999999</v>
      </c>
      <c r="N79" s="89">
        <v>8</v>
      </c>
      <c r="O79" s="89">
        <v>95</v>
      </c>
      <c r="P79" s="90">
        <v>103</v>
      </c>
    </row>
    <row r="80" spans="1:16">
      <c r="A80" s="87">
        <v>777</v>
      </c>
      <c r="B80" s="88">
        <v>40578</v>
      </c>
      <c r="C80" s="89">
        <v>1</v>
      </c>
      <c r="D80" s="89">
        <v>0</v>
      </c>
      <c r="E80" s="89">
        <v>2</v>
      </c>
      <c r="F80" s="89">
        <v>19</v>
      </c>
      <c r="G80" s="89" t="b">
        <v>0</v>
      </c>
      <c r="H80" s="89">
        <v>5</v>
      </c>
      <c r="I80" s="89">
        <v>2</v>
      </c>
      <c r="J80" s="89">
        <v>0.24</v>
      </c>
      <c r="K80" s="89">
        <v>0.2424</v>
      </c>
      <c r="L80" s="89">
        <v>0.65</v>
      </c>
      <c r="M80" s="89">
        <v>0.1343</v>
      </c>
      <c r="N80" s="89">
        <v>1</v>
      </c>
      <c r="O80" s="89">
        <v>102</v>
      </c>
      <c r="P80" s="90">
        <v>103</v>
      </c>
    </row>
    <row r="81" spans="1:16">
      <c r="A81" s="87">
        <v>873</v>
      </c>
      <c r="B81" s="88">
        <v>40582</v>
      </c>
      <c r="C81" s="89">
        <v>1</v>
      </c>
      <c r="D81" s="89">
        <v>0</v>
      </c>
      <c r="E81" s="89">
        <v>2</v>
      </c>
      <c r="F81" s="89">
        <v>19</v>
      </c>
      <c r="G81" s="89" t="b">
        <v>0</v>
      </c>
      <c r="H81" s="89">
        <v>2</v>
      </c>
      <c r="I81" s="89">
        <v>1</v>
      </c>
      <c r="J81" s="89">
        <v>0.16</v>
      </c>
      <c r="K81" s="89">
        <v>0.1212</v>
      </c>
      <c r="L81" s="89">
        <v>0.4</v>
      </c>
      <c r="M81" s="89">
        <v>0.4627</v>
      </c>
      <c r="N81" s="89">
        <v>1</v>
      </c>
      <c r="O81" s="89">
        <v>100</v>
      </c>
      <c r="P81" s="90">
        <v>101</v>
      </c>
    </row>
    <row r="82" spans="1:16">
      <c r="A82" s="87">
        <v>941</v>
      </c>
      <c r="B82" s="88">
        <v>40585</v>
      </c>
      <c r="C82" s="89">
        <v>1</v>
      </c>
      <c r="D82" s="89">
        <v>0</v>
      </c>
      <c r="E82" s="89">
        <v>2</v>
      </c>
      <c r="F82" s="89">
        <v>19</v>
      </c>
      <c r="G82" s="89" t="b">
        <v>0</v>
      </c>
      <c r="H82" s="89">
        <v>5</v>
      </c>
      <c r="I82" s="89">
        <v>1</v>
      </c>
      <c r="J82" s="89">
        <v>0.26</v>
      </c>
      <c r="K82" s="89">
        <v>0.30299999999999999</v>
      </c>
      <c r="L82" s="89">
        <v>0.33</v>
      </c>
      <c r="M82" s="89">
        <v>0</v>
      </c>
      <c r="N82" s="89">
        <v>7</v>
      </c>
      <c r="O82" s="89">
        <v>94</v>
      </c>
      <c r="P82" s="90">
        <v>101</v>
      </c>
    </row>
    <row r="83" spans="1:16">
      <c r="A83" s="87">
        <v>861</v>
      </c>
      <c r="B83" s="88">
        <v>40582</v>
      </c>
      <c r="C83" s="89">
        <v>1</v>
      </c>
      <c r="D83" s="89">
        <v>0</v>
      </c>
      <c r="E83" s="89">
        <v>2</v>
      </c>
      <c r="F83" s="89">
        <v>7</v>
      </c>
      <c r="G83" s="89" t="b">
        <v>0</v>
      </c>
      <c r="H83" s="89">
        <v>2</v>
      </c>
      <c r="I83" s="89">
        <v>1</v>
      </c>
      <c r="J83" s="89">
        <v>0.24</v>
      </c>
      <c r="K83" s="89">
        <v>0.19700000000000001</v>
      </c>
      <c r="L83" s="89">
        <v>0.65</v>
      </c>
      <c r="M83" s="89">
        <v>0.41789999999999999</v>
      </c>
      <c r="N83" s="89">
        <v>3</v>
      </c>
      <c r="O83" s="89">
        <v>97</v>
      </c>
      <c r="P83" s="90">
        <v>100</v>
      </c>
    </row>
    <row r="84" spans="1:16">
      <c r="A84" s="87">
        <v>632</v>
      </c>
      <c r="B84" s="88">
        <v>40572</v>
      </c>
      <c r="C84" s="89">
        <v>1</v>
      </c>
      <c r="D84" s="89">
        <v>0</v>
      </c>
      <c r="E84" s="89">
        <v>1</v>
      </c>
      <c r="F84" s="89">
        <v>14</v>
      </c>
      <c r="G84" s="89" t="b">
        <v>0</v>
      </c>
      <c r="H84" s="89">
        <v>6</v>
      </c>
      <c r="I84" s="89">
        <v>2</v>
      </c>
      <c r="J84" s="89">
        <v>0.22</v>
      </c>
      <c r="K84" s="89">
        <v>0.2273</v>
      </c>
      <c r="L84" s="89">
        <v>0.6</v>
      </c>
      <c r="M84" s="89">
        <v>0.1343</v>
      </c>
      <c r="N84" s="89">
        <v>10</v>
      </c>
      <c r="O84" s="89">
        <v>89</v>
      </c>
      <c r="P84" s="90">
        <v>99</v>
      </c>
    </row>
    <row r="85" spans="1:16">
      <c r="A85" s="87">
        <v>774</v>
      </c>
      <c r="B85" s="88">
        <v>40578</v>
      </c>
      <c r="C85" s="89">
        <v>1</v>
      </c>
      <c r="D85" s="89">
        <v>0</v>
      </c>
      <c r="E85" s="89">
        <v>2</v>
      </c>
      <c r="F85" s="89">
        <v>16</v>
      </c>
      <c r="G85" s="89" t="b">
        <v>0</v>
      </c>
      <c r="H85" s="89">
        <v>5</v>
      </c>
      <c r="I85" s="89">
        <v>2</v>
      </c>
      <c r="J85" s="89">
        <v>0.3</v>
      </c>
      <c r="K85" s="89">
        <v>0.28789999999999999</v>
      </c>
      <c r="L85" s="89">
        <v>0.42</v>
      </c>
      <c r="M85" s="89">
        <v>0.22389999999999999</v>
      </c>
      <c r="N85" s="89">
        <v>8</v>
      </c>
      <c r="O85" s="89">
        <v>91</v>
      </c>
      <c r="P85" s="90">
        <v>99</v>
      </c>
    </row>
    <row r="86" spans="1:16">
      <c r="A86" s="87">
        <v>884</v>
      </c>
      <c r="B86" s="88">
        <v>40583</v>
      </c>
      <c r="C86" s="89">
        <v>1</v>
      </c>
      <c r="D86" s="89">
        <v>0</v>
      </c>
      <c r="E86" s="89">
        <v>2</v>
      </c>
      <c r="F86" s="89">
        <v>7</v>
      </c>
      <c r="G86" s="89" t="b">
        <v>0</v>
      </c>
      <c r="H86" s="89">
        <v>3</v>
      </c>
      <c r="I86" s="89">
        <v>1</v>
      </c>
      <c r="J86" s="89">
        <v>0.06</v>
      </c>
      <c r="K86" s="89">
        <v>0.1061</v>
      </c>
      <c r="L86" s="89">
        <v>0.49</v>
      </c>
      <c r="M86" s="89">
        <v>0.1045</v>
      </c>
      <c r="N86" s="89">
        <v>4</v>
      </c>
      <c r="O86" s="89">
        <v>95</v>
      </c>
      <c r="P86" s="90">
        <v>99</v>
      </c>
    </row>
    <row r="87" spans="1:16">
      <c r="A87" s="87">
        <v>907</v>
      </c>
      <c r="B87" s="88">
        <v>40584</v>
      </c>
      <c r="C87" s="89">
        <v>1</v>
      </c>
      <c r="D87" s="89">
        <v>0</v>
      </c>
      <c r="E87" s="89">
        <v>2</v>
      </c>
      <c r="F87" s="89">
        <v>7</v>
      </c>
      <c r="G87" s="89" t="b">
        <v>0</v>
      </c>
      <c r="H87" s="89">
        <v>4</v>
      </c>
      <c r="I87" s="89">
        <v>1</v>
      </c>
      <c r="J87" s="89">
        <v>0.1</v>
      </c>
      <c r="K87" s="89">
        <v>7.5800000000000006E-2</v>
      </c>
      <c r="L87" s="89">
        <v>0.5</v>
      </c>
      <c r="M87" s="89">
        <v>0.41789999999999999</v>
      </c>
      <c r="N87" s="89">
        <v>0</v>
      </c>
      <c r="O87" s="89">
        <v>99</v>
      </c>
      <c r="P87" s="90">
        <v>99</v>
      </c>
    </row>
    <row r="88" spans="1:16">
      <c r="A88" s="87">
        <v>1000</v>
      </c>
      <c r="B88" s="88">
        <v>40588</v>
      </c>
      <c r="C88" s="89">
        <v>1</v>
      </c>
      <c r="D88" s="89">
        <v>0</v>
      </c>
      <c r="E88" s="89">
        <v>2</v>
      </c>
      <c r="F88" s="89">
        <v>7</v>
      </c>
      <c r="G88" s="89" t="b">
        <v>0</v>
      </c>
      <c r="H88" s="89">
        <v>1</v>
      </c>
      <c r="I88" s="89">
        <v>1</v>
      </c>
      <c r="J88" s="89">
        <v>0.34</v>
      </c>
      <c r="K88" s="89">
        <v>0.30299999999999999</v>
      </c>
      <c r="L88" s="89">
        <v>0.46</v>
      </c>
      <c r="M88" s="89">
        <v>0.29849999999999999</v>
      </c>
      <c r="N88" s="89">
        <v>2</v>
      </c>
      <c r="O88" s="89">
        <v>96</v>
      </c>
      <c r="P88" s="90">
        <v>98</v>
      </c>
    </row>
    <row r="89" spans="1:16">
      <c r="A89" s="87">
        <v>653</v>
      </c>
      <c r="B89" s="88">
        <v>40573</v>
      </c>
      <c r="C89" s="89">
        <v>1</v>
      </c>
      <c r="D89" s="89">
        <v>0</v>
      </c>
      <c r="E89" s="89">
        <v>1</v>
      </c>
      <c r="F89" s="89">
        <v>12</v>
      </c>
      <c r="G89" s="89" t="b">
        <v>0</v>
      </c>
      <c r="H89" s="89">
        <v>0</v>
      </c>
      <c r="I89" s="89">
        <v>1</v>
      </c>
      <c r="J89" s="89">
        <v>0.3</v>
      </c>
      <c r="K89" s="89">
        <v>0.31819999999999998</v>
      </c>
      <c r="L89" s="89">
        <v>0.52</v>
      </c>
      <c r="M89" s="89">
        <v>0.1045</v>
      </c>
      <c r="N89" s="89">
        <v>10</v>
      </c>
      <c r="O89" s="89">
        <v>87</v>
      </c>
      <c r="P89" s="90">
        <v>97</v>
      </c>
    </row>
    <row r="90" spans="1:16">
      <c r="A90" s="87">
        <v>920</v>
      </c>
      <c r="B90" s="88">
        <v>40584</v>
      </c>
      <c r="C90" s="89">
        <v>1</v>
      </c>
      <c r="D90" s="89">
        <v>0</v>
      </c>
      <c r="E90" s="89">
        <v>2</v>
      </c>
      <c r="F90" s="89">
        <v>20</v>
      </c>
      <c r="G90" s="89" t="b">
        <v>0</v>
      </c>
      <c r="H90" s="89">
        <v>4</v>
      </c>
      <c r="I90" s="89">
        <v>1</v>
      </c>
      <c r="J90" s="89">
        <v>0.14000000000000001</v>
      </c>
      <c r="K90" s="89">
        <v>0.18179999999999999</v>
      </c>
      <c r="L90" s="89">
        <v>0.31</v>
      </c>
      <c r="M90" s="89">
        <v>8.9599999999999999E-2</v>
      </c>
      <c r="N90" s="89">
        <v>4</v>
      </c>
      <c r="O90" s="89">
        <v>93</v>
      </c>
      <c r="P90" s="90">
        <v>97</v>
      </c>
    </row>
    <row r="91" spans="1:16">
      <c r="A91" s="87">
        <v>754</v>
      </c>
      <c r="B91" s="88">
        <v>40577</v>
      </c>
      <c r="C91" s="89">
        <v>1</v>
      </c>
      <c r="D91" s="89">
        <v>0</v>
      </c>
      <c r="E91" s="89">
        <v>2</v>
      </c>
      <c r="F91" s="89">
        <v>19</v>
      </c>
      <c r="G91" s="89" t="b">
        <v>0</v>
      </c>
      <c r="H91" s="89">
        <v>4</v>
      </c>
      <c r="I91" s="89">
        <v>1</v>
      </c>
      <c r="J91" s="89">
        <v>0.2</v>
      </c>
      <c r="K91" s="89">
        <v>0.2576</v>
      </c>
      <c r="L91" s="89">
        <v>0.4</v>
      </c>
      <c r="M91" s="89">
        <v>0</v>
      </c>
      <c r="N91" s="89">
        <v>4</v>
      </c>
      <c r="O91" s="89">
        <v>92</v>
      </c>
      <c r="P91" s="90">
        <v>96</v>
      </c>
    </row>
    <row r="92" spans="1:16">
      <c r="A92" s="87">
        <v>837</v>
      </c>
      <c r="B92" s="88">
        <v>40581</v>
      </c>
      <c r="C92" s="89">
        <v>1</v>
      </c>
      <c r="D92" s="89">
        <v>0</v>
      </c>
      <c r="E92" s="89">
        <v>2</v>
      </c>
      <c r="F92" s="89">
        <v>7</v>
      </c>
      <c r="G92" s="89" t="b">
        <v>0</v>
      </c>
      <c r="H92" s="89">
        <v>1</v>
      </c>
      <c r="I92" s="89">
        <v>1</v>
      </c>
      <c r="J92" s="89">
        <v>0.18</v>
      </c>
      <c r="K92" s="89">
        <v>0.2424</v>
      </c>
      <c r="L92" s="89">
        <v>0.86</v>
      </c>
      <c r="M92" s="89">
        <v>0</v>
      </c>
      <c r="N92" s="89">
        <v>6</v>
      </c>
      <c r="O92" s="89">
        <v>89</v>
      </c>
      <c r="P92" s="90">
        <v>95</v>
      </c>
    </row>
    <row r="93" spans="1:16">
      <c r="A93" s="87">
        <v>987</v>
      </c>
      <c r="B93" s="88">
        <v>40587</v>
      </c>
      <c r="C93" s="89">
        <v>1</v>
      </c>
      <c r="D93" s="89">
        <v>0</v>
      </c>
      <c r="E93" s="89">
        <v>2</v>
      </c>
      <c r="F93" s="89">
        <v>18</v>
      </c>
      <c r="G93" s="89" t="b">
        <v>0</v>
      </c>
      <c r="H93" s="89">
        <v>0</v>
      </c>
      <c r="I93" s="89">
        <v>1</v>
      </c>
      <c r="J93" s="89">
        <v>0.4</v>
      </c>
      <c r="K93" s="89">
        <v>0.40910000000000002</v>
      </c>
      <c r="L93" s="89">
        <v>0.32</v>
      </c>
      <c r="M93" s="89">
        <v>0.29849999999999999</v>
      </c>
      <c r="N93" s="89">
        <v>17</v>
      </c>
      <c r="O93" s="89">
        <v>78</v>
      </c>
      <c r="P93" s="90">
        <v>95</v>
      </c>
    </row>
    <row r="94" spans="1:16">
      <c r="A94" s="87">
        <v>635</v>
      </c>
      <c r="B94" s="88">
        <v>40572</v>
      </c>
      <c r="C94" s="89">
        <v>1</v>
      </c>
      <c r="D94" s="89">
        <v>0</v>
      </c>
      <c r="E94" s="89">
        <v>1</v>
      </c>
      <c r="F94" s="89">
        <v>17</v>
      </c>
      <c r="G94" s="89" t="b">
        <v>0</v>
      </c>
      <c r="H94" s="89">
        <v>6</v>
      </c>
      <c r="I94" s="89">
        <v>1</v>
      </c>
      <c r="J94" s="89">
        <v>0.24</v>
      </c>
      <c r="K94" s="89">
        <v>0.28789999999999999</v>
      </c>
      <c r="L94" s="89">
        <v>0.6</v>
      </c>
      <c r="M94" s="89">
        <v>0</v>
      </c>
      <c r="N94" s="89">
        <v>9</v>
      </c>
      <c r="O94" s="89">
        <v>82</v>
      </c>
      <c r="P94" s="90">
        <v>91</v>
      </c>
    </row>
    <row r="95" spans="1:16">
      <c r="A95" s="87">
        <v>731</v>
      </c>
      <c r="B95" s="88">
        <v>40576</v>
      </c>
      <c r="C95" s="89">
        <v>1</v>
      </c>
      <c r="D95" s="89">
        <v>0</v>
      </c>
      <c r="E95" s="89">
        <v>2</v>
      </c>
      <c r="F95" s="89">
        <v>19</v>
      </c>
      <c r="G95" s="89" t="b">
        <v>0</v>
      </c>
      <c r="H95" s="89">
        <v>3</v>
      </c>
      <c r="I95" s="89">
        <v>1</v>
      </c>
      <c r="J95" s="89">
        <v>0.28000000000000003</v>
      </c>
      <c r="K95" s="89">
        <v>0.2424</v>
      </c>
      <c r="L95" s="89">
        <v>0.45</v>
      </c>
      <c r="M95" s="89">
        <v>0.49249999999999999</v>
      </c>
      <c r="N95" s="89">
        <v>3</v>
      </c>
      <c r="O95" s="89">
        <v>88</v>
      </c>
      <c r="P95" s="90">
        <v>91</v>
      </c>
    </row>
    <row r="96" spans="1:16">
      <c r="A96" s="87">
        <v>772</v>
      </c>
      <c r="B96" s="88">
        <v>40578</v>
      </c>
      <c r="C96" s="89">
        <v>1</v>
      </c>
      <c r="D96" s="89">
        <v>0</v>
      </c>
      <c r="E96" s="89">
        <v>2</v>
      </c>
      <c r="F96" s="89">
        <v>14</v>
      </c>
      <c r="G96" s="89" t="b">
        <v>0</v>
      </c>
      <c r="H96" s="89">
        <v>5</v>
      </c>
      <c r="I96" s="89">
        <v>2</v>
      </c>
      <c r="J96" s="89">
        <v>0.28000000000000003</v>
      </c>
      <c r="K96" s="89">
        <v>0.2727</v>
      </c>
      <c r="L96" s="89">
        <v>0.45</v>
      </c>
      <c r="M96" s="89">
        <v>0.16420000000000001</v>
      </c>
      <c r="N96" s="89">
        <v>15</v>
      </c>
      <c r="O96" s="89">
        <v>76</v>
      </c>
      <c r="P96" s="90">
        <v>91</v>
      </c>
    </row>
    <row r="97" spans="1:16">
      <c r="A97" s="87">
        <v>773</v>
      </c>
      <c r="B97" s="88">
        <v>40578</v>
      </c>
      <c r="C97" s="89">
        <v>1</v>
      </c>
      <c r="D97" s="89">
        <v>0</v>
      </c>
      <c r="E97" s="89">
        <v>2</v>
      </c>
      <c r="F97" s="89">
        <v>15</v>
      </c>
      <c r="G97" s="89" t="b">
        <v>0</v>
      </c>
      <c r="H97" s="89">
        <v>5</v>
      </c>
      <c r="I97" s="89">
        <v>2</v>
      </c>
      <c r="J97" s="89">
        <v>0.28000000000000003</v>
      </c>
      <c r="K97" s="89">
        <v>0.2727</v>
      </c>
      <c r="L97" s="89">
        <v>0.48</v>
      </c>
      <c r="M97" s="89">
        <v>0.25369999999999998</v>
      </c>
      <c r="N97" s="89">
        <v>9</v>
      </c>
      <c r="O97" s="89">
        <v>81</v>
      </c>
      <c r="P97" s="90">
        <v>90</v>
      </c>
    </row>
    <row r="98" spans="1:16">
      <c r="A98" s="87">
        <v>614</v>
      </c>
      <c r="B98" s="88">
        <v>40571</v>
      </c>
      <c r="C98" s="89">
        <v>1</v>
      </c>
      <c r="D98" s="89">
        <v>0</v>
      </c>
      <c r="E98" s="89">
        <v>1</v>
      </c>
      <c r="F98" s="89">
        <v>19</v>
      </c>
      <c r="G98" s="89" t="b">
        <v>0</v>
      </c>
      <c r="H98" s="89">
        <v>5</v>
      </c>
      <c r="I98" s="89">
        <v>2</v>
      </c>
      <c r="J98" s="89">
        <v>0.24</v>
      </c>
      <c r="K98" s="89">
        <v>0.2424</v>
      </c>
      <c r="L98" s="89">
        <v>0.75</v>
      </c>
      <c r="M98" s="89">
        <v>0.1343</v>
      </c>
      <c r="N98" s="89">
        <v>5</v>
      </c>
      <c r="O98" s="89">
        <v>84</v>
      </c>
      <c r="P98" s="90">
        <v>89</v>
      </c>
    </row>
    <row r="99" spans="1:16">
      <c r="A99" s="87">
        <v>816</v>
      </c>
      <c r="B99" s="88">
        <v>40580</v>
      </c>
      <c r="C99" s="89">
        <v>1</v>
      </c>
      <c r="D99" s="89">
        <v>0</v>
      </c>
      <c r="E99" s="89">
        <v>2</v>
      </c>
      <c r="F99" s="89">
        <v>10</v>
      </c>
      <c r="G99" s="89" t="b">
        <v>0</v>
      </c>
      <c r="H99" s="89">
        <v>0</v>
      </c>
      <c r="I99" s="89">
        <v>1</v>
      </c>
      <c r="J99" s="89">
        <v>0.3</v>
      </c>
      <c r="K99" s="89">
        <v>0.28789999999999999</v>
      </c>
      <c r="L99" s="89">
        <v>0.52</v>
      </c>
      <c r="M99" s="89">
        <v>0.25369999999999998</v>
      </c>
      <c r="N99" s="89">
        <v>15</v>
      </c>
      <c r="O99" s="89">
        <v>74</v>
      </c>
      <c r="P99" s="90">
        <v>89</v>
      </c>
    </row>
    <row r="100" spans="1:16">
      <c r="A100" s="87">
        <v>850</v>
      </c>
      <c r="B100" s="88">
        <v>40581</v>
      </c>
      <c r="C100" s="89">
        <v>1</v>
      </c>
      <c r="D100" s="89">
        <v>0</v>
      </c>
      <c r="E100" s="89">
        <v>2</v>
      </c>
      <c r="F100" s="89">
        <v>20</v>
      </c>
      <c r="G100" s="89" t="b">
        <v>0</v>
      </c>
      <c r="H100" s="89">
        <v>1</v>
      </c>
      <c r="I100" s="89">
        <v>2</v>
      </c>
      <c r="J100" s="89">
        <v>0.32</v>
      </c>
      <c r="K100" s="89">
        <v>0.33329999999999999</v>
      </c>
      <c r="L100" s="89">
        <v>0.7</v>
      </c>
      <c r="M100" s="89">
        <v>0.1045</v>
      </c>
      <c r="N100" s="89">
        <v>6</v>
      </c>
      <c r="O100" s="89">
        <v>82</v>
      </c>
      <c r="P100" s="90">
        <v>88</v>
      </c>
    </row>
    <row r="101" spans="1:16">
      <c r="A101" s="87">
        <v>896</v>
      </c>
      <c r="B101" s="88">
        <v>40583</v>
      </c>
      <c r="C101" s="89">
        <v>1</v>
      </c>
      <c r="D101" s="89">
        <v>0</v>
      </c>
      <c r="E101" s="89">
        <v>2</v>
      </c>
      <c r="F101" s="89">
        <v>19</v>
      </c>
      <c r="G101" s="89" t="b">
        <v>0</v>
      </c>
      <c r="H101" s="89">
        <v>3</v>
      </c>
      <c r="I101" s="89">
        <v>3</v>
      </c>
      <c r="J101" s="89">
        <v>0.14000000000000001</v>
      </c>
      <c r="K101" s="89">
        <v>0.1212</v>
      </c>
      <c r="L101" s="89">
        <v>0.86</v>
      </c>
      <c r="M101" s="89">
        <v>0.25369999999999998</v>
      </c>
      <c r="N101" s="89">
        <v>1</v>
      </c>
      <c r="O101" s="89">
        <v>87</v>
      </c>
      <c r="P101" s="90">
        <v>88</v>
      </c>
    </row>
    <row r="102" spans="1:16">
      <c r="A102" s="87">
        <v>742</v>
      </c>
      <c r="B102" s="88">
        <v>40577</v>
      </c>
      <c r="C102" s="89">
        <v>1</v>
      </c>
      <c r="D102" s="89">
        <v>0</v>
      </c>
      <c r="E102" s="89">
        <v>2</v>
      </c>
      <c r="F102" s="89">
        <v>7</v>
      </c>
      <c r="G102" s="89" t="b">
        <v>0</v>
      </c>
      <c r="H102" s="89">
        <v>4</v>
      </c>
      <c r="I102" s="89">
        <v>1</v>
      </c>
      <c r="J102" s="89">
        <v>0.14000000000000001</v>
      </c>
      <c r="K102" s="89">
        <v>0.1212</v>
      </c>
      <c r="L102" s="89">
        <v>0.5</v>
      </c>
      <c r="M102" s="89">
        <v>0.32840000000000003</v>
      </c>
      <c r="N102" s="89">
        <v>1</v>
      </c>
      <c r="O102" s="89">
        <v>86</v>
      </c>
      <c r="P102" s="90">
        <v>87</v>
      </c>
    </row>
    <row r="103" spans="1:16">
      <c r="A103" s="87">
        <v>765</v>
      </c>
      <c r="B103" s="88">
        <v>40578</v>
      </c>
      <c r="C103" s="89">
        <v>1</v>
      </c>
      <c r="D103" s="89">
        <v>0</v>
      </c>
      <c r="E103" s="89">
        <v>2</v>
      </c>
      <c r="F103" s="89">
        <v>7</v>
      </c>
      <c r="G103" s="89" t="b">
        <v>0</v>
      </c>
      <c r="H103" s="89">
        <v>5</v>
      </c>
      <c r="I103" s="89">
        <v>1</v>
      </c>
      <c r="J103" s="89">
        <v>0.14000000000000001</v>
      </c>
      <c r="K103" s="89">
        <v>0.21210000000000001</v>
      </c>
      <c r="L103" s="89">
        <v>0.59</v>
      </c>
      <c r="M103" s="89">
        <v>0</v>
      </c>
      <c r="N103" s="89">
        <v>0</v>
      </c>
      <c r="O103" s="89">
        <v>87</v>
      </c>
      <c r="P103" s="90">
        <v>87</v>
      </c>
    </row>
    <row r="104" spans="1:16">
      <c r="A104" s="87">
        <v>679</v>
      </c>
      <c r="B104" s="88">
        <v>40574</v>
      </c>
      <c r="C104" s="89">
        <v>1</v>
      </c>
      <c r="D104" s="89">
        <v>0</v>
      </c>
      <c r="E104" s="89">
        <v>1</v>
      </c>
      <c r="F104" s="89">
        <v>14</v>
      </c>
      <c r="G104" s="89" t="b">
        <v>0</v>
      </c>
      <c r="H104" s="89">
        <v>1</v>
      </c>
      <c r="I104" s="89">
        <v>2</v>
      </c>
      <c r="J104" s="89">
        <v>0.18</v>
      </c>
      <c r="K104" s="89">
        <v>0.19700000000000001</v>
      </c>
      <c r="L104" s="89">
        <v>0.55000000000000004</v>
      </c>
      <c r="M104" s="89">
        <v>0.1343</v>
      </c>
      <c r="N104" s="89">
        <v>1</v>
      </c>
      <c r="O104" s="89">
        <v>85</v>
      </c>
      <c r="P104" s="90">
        <v>86</v>
      </c>
    </row>
    <row r="105" spans="1:16">
      <c r="A105" s="87">
        <v>681</v>
      </c>
      <c r="B105" s="88">
        <v>40574</v>
      </c>
      <c r="C105" s="89">
        <v>1</v>
      </c>
      <c r="D105" s="89">
        <v>0</v>
      </c>
      <c r="E105" s="89">
        <v>1</v>
      </c>
      <c r="F105" s="89">
        <v>16</v>
      </c>
      <c r="G105" s="89" t="b">
        <v>0</v>
      </c>
      <c r="H105" s="89">
        <v>1</v>
      </c>
      <c r="I105" s="89">
        <v>2</v>
      </c>
      <c r="J105" s="89">
        <v>0.16</v>
      </c>
      <c r="K105" s="89">
        <v>0.18179999999999999</v>
      </c>
      <c r="L105" s="89">
        <v>0.56000000000000005</v>
      </c>
      <c r="M105" s="89">
        <v>0.19400000000000001</v>
      </c>
      <c r="N105" s="89">
        <v>3</v>
      </c>
      <c r="O105" s="89">
        <v>83</v>
      </c>
      <c r="P105" s="90">
        <v>86</v>
      </c>
    </row>
    <row r="106" spans="1:16">
      <c r="A106" s="87">
        <v>770</v>
      </c>
      <c r="B106" s="88">
        <v>40578</v>
      </c>
      <c r="C106" s="89">
        <v>1</v>
      </c>
      <c r="D106" s="89">
        <v>0</v>
      </c>
      <c r="E106" s="89">
        <v>2</v>
      </c>
      <c r="F106" s="89">
        <v>12</v>
      </c>
      <c r="G106" s="89" t="b">
        <v>0</v>
      </c>
      <c r="H106" s="89">
        <v>5</v>
      </c>
      <c r="I106" s="89">
        <v>2</v>
      </c>
      <c r="J106" s="89">
        <v>0.24</v>
      </c>
      <c r="K106" s="89">
        <v>0.2424</v>
      </c>
      <c r="L106" s="89">
        <v>0.48</v>
      </c>
      <c r="M106" s="89">
        <v>0.16420000000000001</v>
      </c>
      <c r="N106" s="89">
        <v>8</v>
      </c>
      <c r="O106" s="89">
        <v>78</v>
      </c>
      <c r="P106" s="90">
        <v>86</v>
      </c>
    </row>
    <row r="107" spans="1:16">
      <c r="A107" s="87">
        <v>654</v>
      </c>
      <c r="B107" s="88">
        <v>40573</v>
      </c>
      <c r="C107" s="89">
        <v>1</v>
      </c>
      <c r="D107" s="89">
        <v>0</v>
      </c>
      <c r="E107" s="89">
        <v>1</v>
      </c>
      <c r="F107" s="89">
        <v>13</v>
      </c>
      <c r="G107" s="89" t="b">
        <v>0</v>
      </c>
      <c r="H107" s="89">
        <v>0</v>
      </c>
      <c r="I107" s="89">
        <v>1</v>
      </c>
      <c r="J107" s="89">
        <v>0.28000000000000003</v>
      </c>
      <c r="K107" s="89">
        <v>0.28789999999999999</v>
      </c>
      <c r="L107" s="89">
        <v>0.61</v>
      </c>
      <c r="M107" s="89">
        <v>0.1045</v>
      </c>
      <c r="N107" s="89">
        <v>13</v>
      </c>
      <c r="O107" s="89">
        <v>71</v>
      </c>
      <c r="P107" s="90">
        <v>84</v>
      </c>
    </row>
    <row r="108" spans="1:16">
      <c r="A108" s="87">
        <v>801</v>
      </c>
      <c r="B108" s="88">
        <v>40579</v>
      </c>
      <c r="C108" s="89">
        <v>1</v>
      </c>
      <c r="D108" s="89">
        <v>0</v>
      </c>
      <c r="E108" s="89">
        <v>2</v>
      </c>
      <c r="F108" s="89">
        <v>19</v>
      </c>
      <c r="G108" s="89" t="b">
        <v>0</v>
      </c>
      <c r="H108" s="89">
        <v>6</v>
      </c>
      <c r="I108" s="89">
        <v>2</v>
      </c>
      <c r="J108" s="89">
        <v>0.28000000000000003</v>
      </c>
      <c r="K108" s="89">
        <v>0.2424</v>
      </c>
      <c r="L108" s="89">
        <v>0.93</v>
      </c>
      <c r="M108" s="89">
        <v>0.44779999999999998</v>
      </c>
      <c r="N108" s="89">
        <v>6</v>
      </c>
      <c r="O108" s="89">
        <v>78</v>
      </c>
      <c r="P108" s="90">
        <v>84</v>
      </c>
    </row>
    <row r="109" spans="1:16">
      <c r="A109" s="87">
        <v>897</v>
      </c>
      <c r="B109" s="88">
        <v>40583</v>
      </c>
      <c r="C109" s="89">
        <v>1</v>
      </c>
      <c r="D109" s="89">
        <v>0</v>
      </c>
      <c r="E109" s="89">
        <v>2</v>
      </c>
      <c r="F109" s="89">
        <v>20</v>
      </c>
      <c r="G109" s="89" t="b">
        <v>0</v>
      </c>
      <c r="H109" s="89">
        <v>3</v>
      </c>
      <c r="I109" s="89">
        <v>3</v>
      </c>
      <c r="J109" s="89">
        <v>0.14000000000000001</v>
      </c>
      <c r="K109" s="89">
        <v>0.1515</v>
      </c>
      <c r="L109" s="89">
        <v>0.86</v>
      </c>
      <c r="M109" s="89">
        <v>0.16420000000000001</v>
      </c>
      <c r="N109" s="89">
        <v>0</v>
      </c>
      <c r="O109" s="89">
        <v>84</v>
      </c>
      <c r="P109" s="90">
        <v>84</v>
      </c>
    </row>
    <row r="110" spans="1:16">
      <c r="A110" s="87">
        <v>936</v>
      </c>
      <c r="B110" s="88">
        <v>40585</v>
      </c>
      <c r="C110" s="89">
        <v>1</v>
      </c>
      <c r="D110" s="89">
        <v>0</v>
      </c>
      <c r="E110" s="89">
        <v>2</v>
      </c>
      <c r="F110" s="89">
        <v>14</v>
      </c>
      <c r="G110" s="89" t="b">
        <v>0</v>
      </c>
      <c r="H110" s="89">
        <v>5</v>
      </c>
      <c r="I110" s="89">
        <v>1</v>
      </c>
      <c r="J110" s="89">
        <v>0.3</v>
      </c>
      <c r="K110" s="89">
        <v>0.28789999999999999</v>
      </c>
      <c r="L110" s="89">
        <v>0.26</v>
      </c>
      <c r="M110" s="89">
        <v>0.25369999999999998</v>
      </c>
      <c r="N110" s="89">
        <v>17</v>
      </c>
      <c r="O110" s="89">
        <v>67</v>
      </c>
      <c r="P110" s="90">
        <v>84</v>
      </c>
    </row>
    <row r="111" spans="1:16">
      <c r="A111" s="87">
        <v>956</v>
      </c>
      <c r="B111" s="88">
        <v>40586</v>
      </c>
      <c r="C111" s="89">
        <v>1</v>
      </c>
      <c r="D111" s="89">
        <v>0</v>
      </c>
      <c r="E111" s="89">
        <v>2</v>
      </c>
      <c r="F111" s="89">
        <v>10</v>
      </c>
      <c r="G111" s="89" t="b">
        <v>0</v>
      </c>
      <c r="H111" s="89">
        <v>6</v>
      </c>
      <c r="I111" s="89">
        <v>1</v>
      </c>
      <c r="J111" s="89">
        <v>0.22</v>
      </c>
      <c r="K111" s="89">
        <v>0.21210000000000001</v>
      </c>
      <c r="L111" s="89">
        <v>0.41</v>
      </c>
      <c r="M111" s="89">
        <v>0.25369999999999998</v>
      </c>
      <c r="N111" s="89">
        <v>13</v>
      </c>
      <c r="O111" s="89">
        <v>71</v>
      </c>
      <c r="P111" s="90">
        <v>84</v>
      </c>
    </row>
    <row r="112" spans="1:16">
      <c r="A112" s="87">
        <v>800</v>
      </c>
      <c r="B112" s="88">
        <v>40579</v>
      </c>
      <c r="C112" s="89">
        <v>1</v>
      </c>
      <c r="D112" s="89">
        <v>0</v>
      </c>
      <c r="E112" s="89">
        <v>2</v>
      </c>
      <c r="F112" s="89">
        <v>18</v>
      </c>
      <c r="G112" s="89" t="b">
        <v>0</v>
      </c>
      <c r="H112" s="89">
        <v>6</v>
      </c>
      <c r="I112" s="89">
        <v>2</v>
      </c>
      <c r="J112" s="89">
        <v>0.28000000000000003</v>
      </c>
      <c r="K112" s="89">
        <v>0.2424</v>
      </c>
      <c r="L112" s="89">
        <v>0.93</v>
      </c>
      <c r="M112" s="89">
        <v>0.44779999999999998</v>
      </c>
      <c r="N112" s="89">
        <v>2</v>
      </c>
      <c r="O112" s="89">
        <v>81</v>
      </c>
      <c r="P112" s="90">
        <v>83</v>
      </c>
    </row>
    <row r="113" spans="1:16">
      <c r="A113" s="87">
        <v>870</v>
      </c>
      <c r="B113" s="88">
        <v>40582</v>
      </c>
      <c r="C113" s="89">
        <v>1</v>
      </c>
      <c r="D113" s="89">
        <v>0</v>
      </c>
      <c r="E113" s="89">
        <v>2</v>
      </c>
      <c r="F113" s="89">
        <v>16</v>
      </c>
      <c r="G113" s="89" t="b">
        <v>0</v>
      </c>
      <c r="H113" s="89">
        <v>2</v>
      </c>
      <c r="I113" s="89">
        <v>1</v>
      </c>
      <c r="J113" s="89">
        <v>0.22</v>
      </c>
      <c r="K113" s="89">
        <v>0.18179999999999999</v>
      </c>
      <c r="L113" s="89">
        <v>0.35</v>
      </c>
      <c r="M113" s="89">
        <v>0.52239999999999998</v>
      </c>
      <c r="N113" s="89">
        <v>4</v>
      </c>
      <c r="O113" s="89">
        <v>79</v>
      </c>
      <c r="P113" s="90">
        <v>83</v>
      </c>
    </row>
    <row r="114" spans="1:16">
      <c r="A114" s="87">
        <v>898</v>
      </c>
      <c r="B114" s="88">
        <v>40583</v>
      </c>
      <c r="C114" s="89">
        <v>1</v>
      </c>
      <c r="D114" s="89">
        <v>0</v>
      </c>
      <c r="E114" s="89">
        <v>2</v>
      </c>
      <c r="F114" s="89">
        <v>21</v>
      </c>
      <c r="G114" s="89" t="b">
        <v>0</v>
      </c>
      <c r="H114" s="89">
        <v>3</v>
      </c>
      <c r="I114" s="89">
        <v>2</v>
      </c>
      <c r="J114" s="89">
        <v>0.14000000000000001</v>
      </c>
      <c r="K114" s="89">
        <v>0.1515</v>
      </c>
      <c r="L114" s="89">
        <v>0.86</v>
      </c>
      <c r="M114" s="89">
        <v>0.16420000000000001</v>
      </c>
      <c r="N114" s="89">
        <v>0</v>
      </c>
      <c r="O114" s="89">
        <v>83</v>
      </c>
      <c r="P114" s="90">
        <v>83</v>
      </c>
    </row>
    <row r="115" spans="1:16">
      <c r="A115" s="87">
        <v>771</v>
      </c>
      <c r="B115" s="88">
        <v>40578</v>
      </c>
      <c r="C115" s="89">
        <v>1</v>
      </c>
      <c r="D115" s="89">
        <v>0</v>
      </c>
      <c r="E115" s="89">
        <v>2</v>
      </c>
      <c r="F115" s="89">
        <v>13</v>
      </c>
      <c r="G115" s="89" t="b">
        <v>0</v>
      </c>
      <c r="H115" s="89">
        <v>5</v>
      </c>
      <c r="I115" s="89">
        <v>2</v>
      </c>
      <c r="J115" s="89">
        <v>0.26</v>
      </c>
      <c r="K115" s="89">
        <v>0.2576</v>
      </c>
      <c r="L115" s="89">
        <v>0.5</v>
      </c>
      <c r="M115" s="89">
        <v>0.22389999999999999</v>
      </c>
      <c r="N115" s="89">
        <v>9</v>
      </c>
      <c r="O115" s="89">
        <v>73</v>
      </c>
      <c r="P115" s="90">
        <v>82</v>
      </c>
    </row>
    <row r="116" spans="1:16">
      <c r="A116" s="87">
        <v>611</v>
      </c>
      <c r="B116" s="88">
        <v>40571</v>
      </c>
      <c r="C116" s="89">
        <v>1</v>
      </c>
      <c r="D116" s="89">
        <v>0</v>
      </c>
      <c r="E116" s="89">
        <v>1</v>
      </c>
      <c r="F116" s="89">
        <v>16</v>
      </c>
      <c r="G116" s="89" t="b">
        <v>0</v>
      </c>
      <c r="H116" s="89">
        <v>5</v>
      </c>
      <c r="I116" s="89">
        <v>1</v>
      </c>
      <c r="J116" s="89">
        <v>0.22</v>
      </c>
      <c r="K116" s="89">
        <v>0.2727</v>
      </c>
      <c r="L116" s="89">
        <v>0.8</v>
      </c>
      <c r="M116" s="89">
        <v>0</v>
      </c>
      <c r="N116" s="89">
        <v>10</v>
      </c>
      <c r="O116" s="89">
        <v>70</v>
      </c>
      <c r="P116" s="90">
        <v>80</v>
      </c>
    </row>
    <row r="117" spans="1:16">
      <c r="A117" s="87">
        <v>916</v>
      </c>
      <c r="B117" s="88">
        <v>40584</v>
      </c>
      <c r="C117" s="89">
        <v>1</v>
      </c>
      <c r="D117" s="89">
        <v>0</v>
      </c>
      <c r="E117" s="89">
        <v>2</v>
      </c>
      <c r="F117" s="89">
        <v>16</v>
      </c>
      <c r="G117" s="89" t="b">
        <v>0</v>
      </c>
      <c r="H117" s="89">
        <v>4</v>
      </c>
      <c r="I117" s="89">
        <v>1</v>
      </c>
      <c r="J117" s="89">
        <v>0.2</v>
      </c>
      <c r="K117" s="89">
        <v>0.18179999999999999</v>
      </c>
      <c r="L117" s="89">
        <v>0.27</v>
      </c>
      <c r="M117" s="89">
        <v>0.29849999999999999</v>
      </c>
      <c r="N117" s="89">
        <v>4</v>
      </c>
      <c r="O117" s="89">
        <v>76</v>
      </c>
      <c r="P117" s="90">
        <v>80</v>
      </c>
    </row>
    <row r="118" spans="1:16">
      <c r="A118" s="87">
        <v>893</v>
      </c>
      <c r="B118" s="88">
        <v>40583</v>
      </c>
      <c r="C118" s="89">
        <v>1</v>
      </c>
      <c r="D118" s="89">
        <v>0</v>
      </c>
      <c r="E118" s="89">
        <v>2</v>
      </c>
      <c r="F118" s="89">
        <v>16</v>
      </c>
      <c r="G118" s="89" t="b">
        <v>0</v>
      </c>
      <c r="H118" s="89">
        <v>3</v>
      </c>
      <c r="I118" s="89">
        <v>2</v>
      </c>
      <c r="J118" s="89">
        <v>0.2</v>
      </c>
      <c r="K118" s="89">
        <v>0.19700000000000001</v>
      </c>
      <c r="L118" s="89">
        <v>0.37</v>
      </c>
      <c r="M118" s="89">
        <v>0.25369999999999998</v>
      </c>
      <c r="N118" s="89">
        <v>7</v>
      </c>
      <c r="O118" s="89">
        <v>72</v>
      </c>
      <c r="P118" s="90">
        <v>79</v>
      </c>
    </row>
    <row r="119" spans="1:16">
      <c r="A119" s="87">
        <v>630</v>
      </c>
      <c r="B119" s="88">
        <v>40572</v>
      </c>
      <c r="C119" s="89">
        <v>1</v>
      </c>
      <c r="D119" s="89">
        <v>0</v>
      </c>
      <c r="E119" s="89">
        <v>1</v>
      </c>
      <c r="F119" s="89">
        <v>12</v>
      </c>
      <c r="G119" s="89" t="b">
        <v>0</v>
      </c>
      <c r="H119" s="89">
        <v>6</v>
      </c>
      <c r="I119" s="89">
        <v>2</v>
      </c>
      <c r="J119" s="89">
        <v>0.2</v>
      </c>
      <c r="K119" s="89">
        <v>0.19700000000000001</v>
      </c>
      <c r="L119" s="89">
        <v>0.59</v>
      </c>
      <c r="M119" s="89">
        <v>0.19400000000000001</v>
      </c>
      <c r="N119" s="89">
        <v>12</v>
      </c>
      <c r="O119" s="89">
        <v>66</v>
      </c>
      <c r="P119" s="90">
        <v>78</v>
      </c>
    </row>
    <row r="120" spans="1:16">
      <c r="A120" s="87">
        <v>685</v>
      </c>
      <c r="B120" s="88">
        <v>40574</v>
      </c>
      <c r="C120" s="89">
        <v>1</v>
      </c>
      <c r="D120" s="89">
        <v>0</v>
      </c>
      <c r="E120" s="89">
        <v>1</v>
      </c>
      <c r="F120" s="89">
        <v>20</v>
      </c>
      <c r="G120" s="89" t="b">
        <v>0</v>
      </c>
      <c r="H120" s="89">
        <v>1</v>
      </c>
      <c r="I120" s="89">
        <v>3</v>
      </c>
      <c r="J120" s="89">
        <v>0.16</v>
      </c>
      <c r="K120" s="89">
        <v>0.16669999999999999</v>
      </c>
      <c r="L120" s="89">
        <v>0.59</v>
      </c>
      <c r="M120" s="89">
        <v>0.16420000000000001</v>
      </c>
      <c r="N120" s="89">
        <v>0</v>
      </c>
      <c r="O120" s="89">
        <v>78</v>
      </c>
      <c r="P120" s="90">
        <v>78</v>
      </c>
    </row>
    <row r="121" spans="1:16">
      <c r="A121" s="87">
        <v>751</v>
      </c>
      <c r="B121" s="88">
        <v>40577</v>
      </c>
      <c r="C121" s="89">
        <v>1</v>
      </c>
      <c r="D121" s="89">
        <v>0</v>
      </c>
      <c r="E121" s="89">
        <v>2</v>
      </c>
      <c r="F121" s="89">
        <v>16</v>
      </c>
      <c r="G121" s="89" t="b">
        <v>0</v>
      </c>
      <c r="H121" s="89">
        <v>4</v>
      </c>
      <c r="I121" s="89">
        <v>1</v>
      </c>
      <c r="J121" s="89">
        <v>0.22</v>
      </c>
      <c r="K121" s="89">
        <v>0.21210000000000001</v>
      </c>
      <c r="L121" s="89">
        <v>0.37</v>
      </c>
      <c r="M121" s="89">
        <v>0.25369999999999998</v>
      </c>
      <c r="N121" s="89">
        <v>5</v>
      </c>
      <c r="O121" s="89">
        <v>73</v>
      </c>
      <c r="P121" s="90">
        <v>78</v>
      </c>
    </row>
    <row r="122" spans="1:16">
      <c r="A122" s="87">
        <v>799</v>
      </c>
      <c r="B122" s="88">
        <v>40579</v>
      </c>
      <c r="C122" s="89">
        <v>1</v>
      </c>
      <c r="D122" s="89">
        <v>0</v>
      </c>
      <c r="E122" s="89">
        <v>2</v>
      </c>
      <c r="F122" s="89">
        <v>17</v>
      </c>
      <c r="G122" s="89" t="b">
        <v>0</v>
      </c>
      <c r="H122" s="89">
        <v>6</v>
      </c>
      <c r="I122" s="89">
        <v>2</v>
      </c>
      <c r="J122" s="89">
        <v>0.24</v>
      </c>
      <c r="K122" s="89">
        <v>0.21210000000000001</v>
      </c>
      <c r="L122" s="89">
        <v>1</v>
      </c>
      <c r="M122" s="89">
        <v>0.28360000000000002</v>
      </c>
      <c r="N122" s="89">
        <v>14</v>
      </c>
      <c r="O122" s="89">
        <v>64</v>
      </c>
      <c r="P122" s="90">
        <v>78</v>
      </c>
    </row>
    <row r="123" spans="1:16">
      <c r="A123" s="87">
        <v>824</v>
      </c>
      <c r="B123" s="88">
        <v>40580</v>
      </c>
      <c r="C123" s="89">
        <v>1</v>
      </c>
      <c r="D123" s="89">
        <v>0</v>
      </c>
      <c r="E123" s="89">
        <v>2</v>
      </c>
      <c r="F123" s="89">
        <v>18</v>
      </c>
      <c r="G123" s="89" t="b">
        <v>0</v>
      </c>
      <c r="H123" s="89">
        <v>0</v>
      </c>
      <c r="I123" s="89">
        <v>1</v>
      </c>
      <c r="J123" s="89">
        <v>0.3</v>
      </c>
      <c r="K123" s="89">
        <v>0.30299999999999999</v>
      </c>
      <c r="L123" s="89">
        <v>0.56000000000000005</v>
      </c>
      <c r="M123" s="89">
        <v>0.16420000000000001</v>
      </c>
      <c r="N123" s="89">
        <v>13</v>
      </c>
      <c r="O123" s="89">
        <v>65</v>
      </c>
      <c r="P123" s="90">
        <v>78</v>
      </c>
    </row>
    <row r="124" spans="1:16">
      <c r="A124" s="87">
        <v>851</v>
      </c>
      <c r="B124" s="88">
        <v>40581</v>
      </c>
      <c r="C124" s="89">
        <v>1</v>
      </c>
      <c r="D124" s="89">
        <v>0</v>
      </c>
      <c r="E124" s="89">
        <v>2</v>
      </c>
      <c r="F124" s="89">
        <v>21</v>
      </c>
      <c r="G124" s="89" t="b">
        <v>0</v>
      </c>
      <c r="H124" s="89">
        <v>1</v>
      </c>
      <c r="I124" s="89">
        <v>1</v>
      </c>
      <c r="J124" s="89">
        <v>0.32</v>
      </c>
      <c r="K124" s="89">
        <v>0.34849999999999998</v>
      </c>
      <c r="L124" s="89">
        <v>0.7</v>
      </c>
      <c r="M124" s="89">
        <v>0</v>
      </c>
      <c r="N124" s="89">
        <v>3</v>
      </c>
      <c r="O124" s="89">
        <v>75</v>
      </c>
      <c r="P124" s="90">
        <v>78</v>
      </c>
    </row>
    <row r="125" spans="1:16">
      <c r="A125" s="87">
        <v>658</v>
      </c>
      <c r="B125" s="88">
        <v>40573</v>
      </c>
      <c r="C125" s="89">
        <v>1</v>
      </c>
      <c r="D125" s="89">
        <v>0</v>
      </c>
      <c r="E125" s="89">
        <v>1</v>
      </c>
      <c r="F125" s="89">
        <v>17</v>
      </c>
      <c r="G125" s="89" t="b">
        <v>0</v>
      </c>
      <c r="H125" s="89">
        <v>0</v>
      </c>
      <c r="I125" s="89">
        <v>1</v>
      </c>
      <c r="J125" s="89">
        <v>0.3</v>
      </c>
      <c r="K125" s="89">
        <v>0.28789999999999999</v>
      </c>
      <c r="L125" s="89">
        <v>0.56000000000000005</v>
      </c>
      <c r="M125" s="89">
        <v>0.19400000000000001</v>
      </c>
      <c r="N125" s="89">
        <v>6</v>
      </c>
      <c r="O125" s="89">
        <v>71</v>
      </c>
      <c r="P125" s="90">
        <v>77</v>
      </c>
    </row>
    <row r="126" spans="1:16">
      <c r="A126" s="87">
        <v>727</v>
      </c>
      <c r="B126" s="88">
        <v>40576</v>
      </c>
      <c r="C126" s="89">
        <v>1</v>
      </c>
      <c r="D126" s="89">
        <v>0</v>
      </c>
      <c r="E126" s="89">
        <v>2</v>
      </c>
      <c r="F126" s="89">
        <v>15</v>
      </c>
      <c r="G126" s="89" t="b">
        <v>0</v>
      </c>
      <c r="H126" s="89">
        <v>3</v>
      </c>
      <c r="I126" s="89">
        <v>1</v>
      </c>
      <c r="J126" s="89">
        <v>0.38</v>
      </c>
      <c r="K126" s="89">
        <v>0.39389999999999997</v>
      </c>
      <c r="L126" s="89">
        <v>0.76</v>
      </c>
      <c r="M126" s="89">
        <v>0.32840000000000003</v>
      </c>
      <c r="N126" s="89">
        <v>10</v>
      </c>
      <c r="O126" s="89">
        <v>66</v>
      </c>
      <c r="P126" s="90">
        <v>76</v>
      </c>
    </row>
    <row r="127" spans="1:16">
      <c r="A127" s="87">
        <v>725</v>
      </c>
      <c r="B127" s="88">
        <v>40576</v>
      </c>
      <c r="C127" s="89">
        <v>1</v>
      </c>
      <c r="D127" s="89">
        <v>0</v>
      </c>
      <c r="E127" s="89">
        <v>2</v>
      </c>
      <c r="F127" s="89">
        <v>13</v>
      </c>
      <c r="G127" s="89" t="b">
        <v>0</v>
      </c>
      <c r="H127" s="89">
        <v>3</v>
      </c>
      <c r="I127" s="89">
        <v>1</v>
      </c>
      <c r="J127" s="89">
        <v>0.34</v>
      </c>
      <c r="K127" s="89">
        <v>0.33329999999999999</v>
      </c>
      <c r="L127" s="89">
        <v>0.93</v>
      </c>
      <c r="M127" s="89">
        <v>0.16420000000000001</v>
      </c>
      <c r="N127" s="89">
        <v>1</v>
      </c>
      <c r="O127" s="89">
        <v>74</v>
      </c>
      <c r="P127" s="90">
        <v>75</v>
      </c>
    </row>
    <row r="128" spans="1:16">
      <c r="A128" s="87">
        <v>732</v>
      </c>
      <c r="B128" s="88">
        <v>40576</v>
      </c>
      <c r="C128" s="89">
        <v>1</v>
      </c>
      <c r="D128" s="89">
        <v>0</v>
      </c>
      <c r="E128" s="89">
        <v>2</v>
      </c>
      <c r="F128" s="89">
        <v>20</v>
      </c>
      <c r="G128" s="89" t="b">
        <v>0</v>
      </c>
      <c r="H128" s="89">
        <v>3</v>
      </c>
      <c r="I128" s="89">
        <v>1</v>
      </c>
      <c r="J128" s="89">
        <v>0.24</v>
      </c>
      <c r="K128" s="89">
        <v>0.19700000000000001</v>
      </c>
      <c r="L128" s="89">
        <v>0.48</v>
      </c>
      <c r="M128" s="89">
        <v>0.55220000000000002</v>
      </c>
      <c r="N128" s="89">
        <v>4</v>
      </c>
      <c r="O128" s="89">
        <v>71</v>
      </c>
      <c r="P128" s="90">
        <v>75</v>
      </c>
    </row>
    <row r="129" spans="1:16">
      <c r="A129" s="87">
        <v>708</v>
      </c>
      <c r="B129" s="88">
        <v>40575</v>
      </c>
      <c r="C129" s="89">
        <v>1</v>
      </c>
      <c r="D129" s="89">
        <v>0</v>
      </c>
      <c r="E129" s="89">
        <v>2</v>
      </c>
      <c r="F129" s="89">
        <v>20</v>
      </c>
      <c r="G129" s="89" t="b">
        <v>0</v>
      </c>
      <c r="H129" s="89">
        <v>2</v>
      </c>
      <c r="I129" s="89">
        <v>2</v>
      </c>
      <c r="J129" s="89">
        <v>0.22</v>
      </c>
      <c r="K129" s="89">
        <v>0.2273</v>
      </c>
      <c r="L129" s="89">
        <v>0.87</v>
      </c>
      <c r="M129" s="89">
        <v>0.1343</v>
      </c>
      <c r="N129" s="89">
        <v>5</v>
      </c>
      <c r="O129" s="89">
        <v>69</v>
      </c>
      <c r="P129" s="90">
        <v>74</v>
      </c>
    </row>
    <row r="130" spans="1:16">
      <c r="A130" s="87">
        <v>929</v>
      </c>
      <c r="B130" s="88">
        <v>40585</v>
      </c>
      <c r="C130" s="89">
        <v>1</v>
      </c>
      <c r="D130" s="89">
        <v>0</v>
      </c>
      <c r="E130" s="89">
        <v>2</v>
      </c>
      <c r="F130" s="89">
        <v>7</v>
      </c>
      <c r="G130" s="89" t="b">
        <v>0</v>
      </c>
      <c r="H130" s="89">
        <v>5</v>
      </c>
      <c r="I130" s="89">
        <v>1</v>
      </c>
      <c r="J130" s="89">
        <v>0.08</v>
      </c>
      <c r="K130" s="89">
        <v>0.16669999999999999</v>
      </c>
      <c r="L130" s="89">
        <v>0.73</v>
      </c>
      <c r="M130" s="89">
        <v>0</v>
      </c>
      <c r="N130" s="89">
        <v>1</v>
      </c>
      <c r="O130" s="89">
        <v>73</v>
      </c>
      <c r="P130" s="90">
        <v>74</v>
      </c>
    </row>
    <row r="131" spans="1:16">
      <c r="A131" s="87">
        <v>937</v>
      </c>
      <c r="B131" s="88">
        <v>40585</v>
      </c>
      <c r="C131" s="89">
        <v>1</v>
      </c>
      <c r="D131" s="89">
        <v>0</v>
      </c>
      <c r="E131" s="89">
        <v>2</v>
      </c>
      <c r="F131" s="89">
        <v>15</v>
      </c>
      <c r="G131" s="89" t="b">
        <v>0</v>
      </c>
      <c r="H131" s="89">
        <v>5</v>
      </c>
      <c r="I131" s="89">
        <v>1</v>
      </c>
      <c r="J131" s="89">
        <v>0.32</v>
      </c>
      <c r="K131" s="89">
        <v>0.31819999999999998</v>
      </c>
      <c r="L131" s="89">
        <v>0.21</v>
      </c>
      <c r="M131" s="89">
        <v>0.16420000000000001</v>
      </c>
      <c r="N131" s="89">
        <v>12</v>
      </c>
      <c r="O131" s="89">
        <v>62</v>
      </c>
      <c r="P131" s="90">
        <v>74</v>
      </c>
    </row>
    <row r="132" spans="1:16">
      <c r="A132" s="87">
        <v>672</v>
      </c>
      <c r="B132" s="88">
        <v>40574</v>
      </c>
      <c r="C132" s="89">
        <v>1</v>
      </c>
      <c r="D132" s="89">
        <v>0</v>
      </c>
      <c r="E132" s="89">
        <v>1</v>
      </c>
      <c r="F132" s="89">
        <v>7</v>
      </c>
      <c r="G132" s="89" t="b">
        <v>0</v>
      </c>
      <c r="H132" s="89">
        <v>1</v>
      </c>
      <c r="I132" s="89">
        <v>2</v>
      </c>
      <c r="J132" s="89">
        <v>0.16</v>
      </c>
      <c r="K132" s="89">
        <v>0.13639999999999999</v>
      </c>
      <c r="L132" s="89">
        <v>0.64</v>
      </c>
      <c r="M132" s="89">
        <v>0.28360000000000002</v>
      </c>
      <c r="N132" s="89">
        <v>1</v>
      </c>
      <c r="O132" s="89">
        <v>71</v>
      </c>
      <c r="P132" s="90">
        <v>72</v>
      </c>
    </row>
    <row r="133" spans="1:16">
      <c r="A133" s="87">
        <v>795</v>
      </c>
      <c r="B133" s="88">
        <v>40579</v>
      </c>
      <c r="C133" s="89">
        <v>1</v>
      </c>
      <c r="D133" s="89">
        <v>0</v>
      </c>
      <c r="E133" s="89">
        <v>2</v>
      </c>
      <c r="F133" s="89">
        <v>13</v>
      </c>
      <c r="G133" s="89" t="b">
        <v>0</v>
      </c>
      <c r="H133" s="89">
        <v>6</v>
      </c>
      <c r="I133" s="89">
        <v>3</v>
      </c>
      <c r="J133" s="89">
        <v>0.22</v>
      </c>
      <c r="K133" s="89">
        <v>0.2273</v>
      </c>
      <c r="L133" s="89">
        <v>1</v>
      </c>
      <c r="M133" s="89">
        <v>0.16420000000000001</v>
      </c>
      <c r="N133" s="89">
        <v>10</v>
      </c>
      <c r="O133" s="89">
        <v>62</v>
      </c>
      <c r="P133" s="90">
        <v>72</v>
      </c>
    </row>
    <row r="134" spans="1:16">
      <c r="A134" s="87">
        <v>921</v>
      </c>
      <c r="B134" s="88">
        <v>40584</v>
      </c>
      <c r="C134" s="89">
        <v>1</v>
      </c>
      <c r="D134" s="89">
        <v>0</v>
      </c>
      <c r="E134" s="89">
        <v>2</v>
      </c>
      <c r="F134" s="89">
        <v>21</v>
      </c>
      <c r="G134" s="89" t="b">
        <v>0</v>
      </c>
      <c r="H134" s="89">
        <v>4</v>
      </c>
      <c r="I134" s="89">
        <v>1</v>
      </c>
      <c r="J134" s="89">
        <v>0.14000000000000001</v>
      </c>
      <c r="K134" s="89">
        <v>0.21210000000000001</v>
      </c>
      <c r="L134" s="89">
        <v>0.39</v>
      </c>
      <c r="M134" s="89">
        <v>0</v>
      </c>
      <c r="N134" s="89">
        <v>2</v>
      </c>
      <c r="O134" s="89">
        <v>70</v>
      </c>
      <c r="P134" s="90">
        <v>72</v>
      </c>
    </row>
    <row r="135" spans="1:16">
      <c r="A135" s="87">
        <v>778</v>
      </c>
      <c r="B135" s="88">
        <v>40578</v>
      </c>
      <c r="C135" s="89">
        <v>1</v>
      </c>
      <c r="D135" s="89">
        <v>0</v>
      </c>
      <c r="E135" s="89">
        <v>2</v>
      </c>
      <c r="F135" s="89">
        <v>20</v>
      </c>
      <c r="G135" s="89" t="b">
        <v>0</v>
      </c>
      <c r="H135" s="89">
        <v>5</v>
      </c>
      <c r="I135" s="89">
        <v>2</v>
      </c>
      <c r="J135" s="89">
        <v>0.24</v>
      </c>
      <c r="K135" s="89">
        <v>0.2424</v>
      </c>
      <c r="L135" s="89">
        <v>0.65</v>
      </c>
      <c r="M135" s="89">
        <v>0.16420000000000001</v>
      </c>
      <c r="N135" s="89">
        <v>2</v>
      </c>
      <c r="O135" s="89">
        <v>69</v>
      </c>
      <c r="P135" s="90">
        <v>71</v>
      </c>
    </row>
    <row r="136" spans="1:16">
      <c r="A136" s="87">
        <v>798</v>
      </c>
      <c r="B136" s="88">
        <v>40579</v>
      </c>
      <c r="C136" s="89">
        <v>1</v>
      </c>
      <c r="D136" s="89">
        <v>0</v>
      </c>
      <c r="E136" s="89">
        <v>2</v>
      </c>
      <c r="F136" s="89">
        <v>16</v>
      </c>
      <c r="G136" s="89" t="b">
        <v>0</v>
      </c>
      <c r="H136" s="89">
        <v>6</v>
      </c>
      <c r="I136" s="89">
        <v>3</v>
      </c>
      <c r="J136" s="89">
        <v>0.22</v>
      </c>
      <c r="K136" s="89">
        <v>0.2273</v>
      </c>
      <c r="L136" s="89">
        <v>1</v>
      </c>
      <c r="M136" s="89">
        <v>0.1343</v>
      </c>
      <c r="N136" s="89">
        <v>8</v>
      </c>
      <c r="O136" s="89">
        <v>63</v>
      </c>
      <c r="P136" s="90">
        <v>71</v>
      </c>
    </row>
    <row r="137" spans="1:16">
      <c r="A137" s="87">
        <v>934</v>
      </c>
      <c r="B137" s="88">
        <v>40585</v>
      </c>
      <c r="C137" s="89">
        <v>1</v>
      </c>
      <c r="D137" s="89">
        <v>0</v>
      </c>
      <c r="E137" s="89">
        <v>2</v>
      </c>
      <c r="F137" s="89">
        <v>12</v>
      </c>
      <c r="G137" s="89" t="b">
        <v>0</v>
      </c>
      <c r="H137" s="89">
        <v>5</v>
      </c>
      <c r="I137" s="89">
        <v>1</v>
      </c>
      <c r="J137" s="89">
        <v>0.22</v>
      </c>
      <c r="K137" s="89">
        <v>0.2273</v>
      </c>
      <c r="L137" s="89">
        <v>0.47</v>
      </c>
      <c r="M137" s="89">
        <v>0.1343</v>
      </c>
      <c r="N137" s="89">
        <v>7</v>
      </c>
      <c r="O137" s="89">
        <v>64</v>
      </c>
      <c r="P137" s="90">
        <v>71</v>
      </c>
    </row>
    <row r="138" spans="1:16">
      <c r="A138" s="87">
        <v>675</v>
      </c>
      <c r="B138" s="88">
        <v>40574</v>
      </c>
      <c r="C138" s="89">
        <v>1</v>
      </c>
      <c r="D138" s="89">
        <v>0</v>
      </c>
      <c r="E138" s="89">
        <v>1</v>
      </c>
      <c r="F138" s="89">
        <v>10</v>
      </c>
      <c r="G138" s="89" t="b">
        <v>0</v>
      </c>
      <c r="H138" s="89">
        <v>1</v>
      </c>
      <c r="I138" s="89">
        <v>2</v>
      </c>
      <c r="J138" s="89">
        <v>0.16</v>
      </c>
      <c r="K138" s="89">
        <v>0.1515</v>
      </c>
      <c r="L138" s="89">
        <v>0.59</v>
      </c>
      <c r="M138" s="89">
        <v>0.19400000000000001</v>
      </c>
      <c r="N138" s="89">
        <v>1</v>
      </c>
      <c r="O138" s="89">
        <v>68</v>
      </c>
      <c r="P138" s="90">
        <v>69</v>
      </c>
    </row>
    <row r="139" spans="1:16">
      <c r="A139" s="87">
        <v>747</v>
      </c>
      <c r="B139" s="88">
        <v>40577</v>
      </c>
      <c r="C139" s="89">
        <v>1</v>
      </c>
      <c r="D139" s="89">
        <v>0</v>
      </c>
      <c r="E139" s="89">
        <v>2</v>
      </c>
      <c r="F139" s="89">
        <v>12</v>
      </c>
      <c r="G139" s="89" t="b">
        <v>0</v>
      </c>
      <c r="H139" s="89">
        <v>4</v>
      </c>
      <c r="I139" s="89">
        <v>1</v>
      </c>
      <c r="J139" s="89">
        <v>0.2</v>
      </c>
      <c r="K139" s="89">
        <v>0.18179999999999999</v>
      </c>
      <c r="L139" s="89">
        <v>0.4</v>
      </c>
      <c r="M139" s="89">
        <v>0.35820000000000002</v>
      </c>
      <c r="N139" s="89">
        <v>2</v>
      </c>
      <c r="O139" s="89">
        <v>67</v>
      </c>
      <c r="P139" s="90">
        <v>69</v>
      </c>
    </row>
    <row r="140" spans="1:16">
      <c r="A140" s="87">
        <v>802</v>
      </c>
      <c r="B140" s="88">
        <v>40579</v>
      </c>
      <c r="C140" s="89">
        <v>1</v>
      </c>
      <c r="D140" s="89">
        <v>0</v>
      </c>
      <c r="E140" s="89">
        <v>2</v>
      </c>
      <c r="F140" s="89">
        <v>20</v>
      </c>
      <c r="G140" s="89" t="b">
        <v>0</v>
      </c>
      <c r="H140" s="89">
        <v>6</v>
      </c>
      <c r="I140" s="89">
        <v>1</v>
      </c>
      <c r="J140" s="89">
        <v>0.3</v>
      </c>
      <c r="K140" s="89">
        <v>0.28789999999999999</v>
      </c>
      <c r="L140" s="89">
        <v>0.87</v>
      </c>
      <c r="M140" s="89">
        <v>0.25369999999999998</v>
      </c>
      <c r="N140" s="89">
        <v>5</v>
      </c>
      <c r="O140" s="89">
        <v>64</v>
      </c>
      <c r="P140" s="90">
        <v>69</v>
      </c>
    </row>
    <row r="141" spans="1:16">
      <c r="A141" s="87">
        <v>890</v>
      </c>
      <c r="B141" s="88">
        <v>40583</v>
      </c>
      <c r="C141" s="89">
        <v>1</v>
      </c>
      <c r="D141" s="89">
        <v>0</v>
      </c>
      <c r="E141" s="89">
        <v>2</v>
      </c>
      <c r="F141" s="89">
        <v>13</v>
      </c>
      <c r="G141" s="89" t="b">
        <v>0</v>
      </c>
      <c r="H141" s="89">
        <v>3</v>
      </c>
      <c r="I141" s="89">
        <v>1</v>
      </c>
      <c r="J141" s="89">
        <v>0.18</v>
      </c>
      <c r="K141" s="89">
        <v>0.16669999999999999</v>
      </c>
      <c r="L141" s="89">
        <v>0.4</v>
      </c>
      <c r="M141" s="89">
        <v>0.25369999999999998</v>
      </c>
      <c r="N141" s="89">
        <v>2</v>
      </c>
      <c r="O141" s="89">
        <v>67</v>
      </c>
      <c r="P141" s="90">
        <v>69</v>
      </c>
    </row>
    <row r="142" spans="1:16">
      <c r="A142" s="87">
        <v>912</v>
      </c>
      <c r="B142" s="88">
        <v>40584</v>
      </c>
      <c r="C142" s="89">
        <v>1</v>
      </c>
      <c r="D142" s="89">
        <v>0</v>
      </c>
      <c r="E142" s="89">
        <v>2</v>
      </c>
      <c r="F142" s="89">
        <v>12</v>
      </c>
      <c r="G142" s="89" t="b">
        <v>0</v>
      </c>
      <c r="H142" s="89">
        <v>4</v>
      </c>
      <c r="I142" s="89">
        <v>1</v>
      </c>
      <c r="J142" s="89">
        <v>0.16</v>
      </c>
      <c r="K142" s="89">
        <v>0.13639999999999999</v>
      </c>
      <c r="L142" s="89">
        <v>0.34</v>
      </c>
      <c r="M142" s="89">
        <v>0.3881</v>
      </c>
      <c r="N142" s="89">
        <v>4</v>
      </c>
      <c r="O142" s="89">
        <v>65</v>
      </c>
      <c r="P142" s="90">
        <v>69</v>
      </c>
    </row>
    <row r="143" spans="1:16">
      <c r="A143" s="87">
        <v>636</v>
      </c>
      <c r="B143" s="88">
        <v>40572</v>
      </c>
      <c r="C143" s="89">
        <v>1</v>
      </c>
      <c r="D143" s="89">
        <v>0</v>
      </c>
      <c r="E143" s="89">
        <v>1</v>
      </c>
      <c r="F143" s="89">
        <v>18</v>
      </c>
      <c r="G143" s="89" t="b">
        <v>0</v>
      </c>
      <c r="H143" s="89">
        <v>6</v>
      </c>
      <c r="I143" s="89">
        <v>1</v>
      </c>
      <c r="J143" s="89">
        <v>0.22</v>
      </c>
      <c r="K143" s="89">
        <v>0.2273</v>
      </c>
      <c r="L143" s="89">
        <v>0.69</v>
      </c>
      <c r="M143" s="89">
        <v>0.1343</v>
      </c>
      <c r="N143" s="89">
        <v>9</v>
      </c>
      <c r="O143" s="89">
        <v>59</v>
      </c>
      <c r="P143" s="90">
        <v>68</v>
      </c>
    </row>
    <row r="144" spans="1:16">
      <c r="A144" s="87">
        <v>677</v>
      </c>
      <c r="B144" s="88">
        <v>40574</v>
      </c>
      <c r="C144" s="89">
        <v>1</v>
      </c>
      <c r="D144" s="89">
        <v>0</v>
      </c>
      <c r="E144" s="89">
        <v>1</v>
      </c>
      <c r="F144" s="89">
        <v>12</v>
      </c>
      <c r="G144" s="89" t="b">
        <v>0</v>
      </c>
      <c r="H144" s="89">
        <v>1</v>
      </c>
      <c r="I144" s="89">
        <v>2</v>
      </c>
      <c r="J144" s="89">
        <v>0.18</v>
      </c>
      <c r="K144" s="89">
        <v>0.21210000000000001</v>
      </c>
      <c r="L144" s="89">
        <v>0.55000000000000004</v>
      </c>
      <c r="M144" s="89">
        <v>0.1045</v>
      </c>
      <c r="N144" s="89">
        <v>6</v>
      </c>
      <c r="O144" s="89">
        <v>62</v>
      </c>
      <c r="P144" s="90">
        <v>68</v>
      </c>
    </row>
    <row r="145" spans="1:16">
      <c r="A145" s="87">
        <v>842</v>
      </c>
      <c r="B145" s="88">
        <v>40581</v>
      </c>
      <c r="C145" s="89">
        <v>1</v>
      </c>
      <c r="D145" s="89">
        <v>0</v>
      </c>
      <c r="E145" s="89">
        <v>2</v>
      </c>
      <c r="F145" s="89">
        <v>12</v>
      </c>
      <c r="G145" s="89" t="b">
        <v>0</v>
      </c>
      <c r="H145" s="89">
        <v>1</v>
      </c>
      <c r="I145" s="89">
        <v>2</v>
      </c>
      <c r="J145" s="89">
        <v>0.32</v>
      </c>
      <c r="K145" s="89">
        <v>0.34849999999999998</v>
      </c>
      <c r="L145" s="89">
        <v>0.62</v>
      </c>
      <c r="M145" s="89">
        <v>0</v>
      </c>
      <c r="N145" s="89">
        <v>7</v>
      </c>
      <c r="O145" s="89">
        <v>59</v>
      </c>
      <c r="P145" s="90">
        <v>66</v>
      </c>
    </row>
    <row r="146" spans="1:16">
      <c r="A146" s="87">
        <v>631</v>
      </c>
      <c r="B146" s="88">
        <v>40572</v>
      </c>
      <c r="C146" s="89">
        <v>1</v>
      </c>
      <c r="D146" s="89">
        <v>0</v>
      </c>
      <c r="E146" s="89">
        <v>1</v>
      </c>
      <c r="F146" s="89">
        <v>13</v>
      </c>
      <c r="G146" s="89" t="b">
        <v>0</v>
      </c>
      <c r="H146" s="89">
        <v>6</v>
      </c>
      <c r="I146" s="89">
        <v>2</v>
      </c>
      <c r="J146" s="89">
        <v>0.22</v>
      </c>
      <c r="K146" s="89">
        <v>0.2273</v>
      </c>
      <c r="L146" s="89">
        <v>0.55000000000000004</v>
      </c>
      <c r="M146" s="89">
        <v>0.16420000000000001</v>
      </c>
      <c r="N146" s="89">
        <v>9</v>
      </c>
      <c r="O146" s="89">
        <v>56</v>
      </c>
      <c r="P146" s="90">
        <v>65</v>
      </c>
    </row>
    <row r="147" spans="1:16">
      <c r="A147" s="87">
        <v>659</v>
      </c>
      <c r="B147" s="88">
        <v>40573</v>
      </c>
      <c r="C147" s="89">
        <v>1</v>
      </c>
      <c r="D147" s="89">
        <v>0</v>
      </c>
      <c r="E147" s="89">
        <v>1</v>
      </c>
      <c r="F147" s="89">
        <v>18</v>
      </c>
      <c r="G147" s="89" t="b">
        <v>0</v>
      </c>
      <c r="H147" s="89">
        <v>0</v>
      </c>
      <c r="I147" s="89">
        <v>1</v>
      </c>
      <c r="J147" s="89">
        <v>0.26</v>
      </c>
      <c r="K147" s="89">
        <v>0.2576</v>
      </c>
      <c r="L147" s="89">
        <v>0.65</v>
      </c>
      <c r="M147" s="89">
        <v>0.16420000000000001</v>
      </c>
      <c r="N147" s="89">
        <v>8</v>
      </c>
      <c r="O147" s="89">
        <v>57</v>
      </c>
      <c r="P147" s="90">
        <v>65</v>
      </c>
    </row>
    <row r="148" spans="1:16">
      <c r="A148" s="87">
        <v>866</v>
      </c>
      <c r="B148" s="88">
        <v>40582</v>
      </c>
      <c r="C148" s="89">
        <v>1</v>
      </c>
      <c r="D148" s="89">
        <v>0</v>
      </c>
      <c r="E148" s="89">
        <v>2</v>
      </c>
      <c r="F148" s="89">
        <v>12</v>
      </c>
      <c r="G148" s="89" t="b">
        <v>0</v>
      </c>
      <c r="H148" s="89">
        <v>2</v>
      </c>
      <c r="I148" s="89">
        <v>1</v>
      </c>
      <c r="J148" s="89">
        <v>0.24</v>
      </c>
      <c r="K148" s="89">
        <v>0.19700000000000001</v>
      </c>
      <c r="L148" s="89">
        <v>0.38</v>
      </c>
      <c r="M148" s="89">
        <v>0.49249999999999999</v>
      </c>
      <c r="N148" s="89">
        <v>2</v>
      </c>
      <c r="O148" s="89">
        <v>63</v>
      </c>
      <c r="P148" s="90">
        <v>65</v>
      </c>
    </row>
    <row r="149" spans="1:16">
      <c r="A149" s="87">
        <v>629</v>
      </c>
      <c r="B149" s="88">
        <v>40572</v>
      </c>
      <c r="C149" s="89">
        <v>1</v>
      </c>
      <c r="D149" s="89">
        <v>0</v>
      </c>
      <c r="E149" s="89">
        <v>1</v>
      </c>
      <c r="F149" s="89">
        <v>11</v>
      </c>
      <c r="G149" s="89" t="b">
        <v>0</v>
      </c>
      <c r="H149" s="89">
        <v>6</v>
      </c>
      <c r="I149" s="89">
        <v>2</v>
      </c>
      <c r="J149" s="89">
        <v>0.18</v>
      </c>
      <c r="K149" s="89">
        <v>0.19700000000000001</v>
      </c>
      <c r="L149" s="89">
        <v>0.64</v>
      </c>
      <c r="M149" s="89">
        <v>0.1343</v>
      </c>
      <c r="N149" s="89">
        <v>4</v>
      </c>
      <c r="O149" s="89">
        <v>60</v>
      </c>
      <c r="P149" s="90">
        <v>64</v>
      </c>
    </row>
    <row r="150" spans="1:16">
      <c r="A150" s="87">
        <v>651</v>
      </c>
      <c r="B150" s="88">
        <v>40573</v>
      </c>
      <c r="C150" s="89">
        <v>1</v>
      </c>
      <c r="D150" s="89">
        <v>0</v>
      </c>
      <c r="E150" s="89">
        <v>1</v>
      </c>
      <c r="F150" s="89">
        <v>10</v>
      </c>
      <c r="G150" s="89" t="b">
        <v>0</v>
      </c>
      <c r="H150" s="89">
        <v>0</v>
      </c>
      <c r="I150" s="89">
        <v>2</v>
      </c>
      <c r="J150" s="89">
        <v>0.18</v>
      </c>
      <c r="K150" s="89">
        <v>0.2424</v>
      </c>
      <c r="L150" s="89">
        <v>0.8</v>
      </c>
      <c r="M150" s="89">
        <v>0</v>
      </c>
      <c r="N150" s="89">
        <v>7</v>
      </c>
      <c r="O150" s="89">
        <v>57</v>
      </c>
      <c r="P150" s="90">
        <v>64</v>
      </c>
    </row>
    <row r="151" spans="1:16">
      <c r="A151" s="87">
        <v>704</v>
      </c>
      <c r="B151" s="88">
        <v>40575</v>
      </c>
      <c r="C151" s="89">
        <v>1</v>
      </c>
      <c r="D151" s="89">
        <v>0</v>
      </c>
      <c r="E151" s="89">
        <v>2</v>
      </c>
      <c r="F151" s="89">
        <v>16</v>
      </c>
      <c r="G151" s="89" t="b">
        <v>0</v>
      </c>
      <c r="H151" s="89">
        <v>2</v>
      </c>
      <c r="I151" s="89">
        <v>2</v>
      </c>
      <c r="J151" s="89">
        <v>0.24</v>
      </c>
      <c r="K151" s="89">
        <v>0.2424</v>
      </c>
      <c r="L151" s="89">
        <v>0.75</v>
      </c>
      <c r="M151" s="89">
        <v>0.1343</v>
      </c>
      <c r="N151" s="89">
        <v>3</v>
      </c>
      <c r="O151" s="89">
        <v>61</v>
      </c>
      <c r="P151" s="90">
        <v>64</v>
      </c>
    </row>
    <row r="152" spans="1:16">
      <c r="A152" s="87">
        <v>709</v>
      </c>
      <c r="B152" s="88">
        <v>40575</v>
      </c>
      <c r="C152" s="89">
        <v>1</v>
      </c>
      <c r="D152" s="89">
        <v>0</v>
      </c>
      <c r="E152" s="89">
        <v>2</v>
      </c>
      <c r="F152" s="89">
        <v>21</v>
      </c>
      <c r="G152" s="89" t="b">
        <v>0</v>
      </c>
      <c r="H152" s="89">
        <v>2</v>
      </c>
      <c r="I152" s="89">
        <v>2</v>
      </c>
      <c r="J152" s="89">
        <v>0.22</v>
      </c>
      <c r="K152" s="89">
        <v>0.2273</v>
      </c>
      <c r="L152" s="89">
        <v>0.87</v>
      </c>
      <c r="M152" s="89">
        <v>0.1343</v>
      </c>
      <c r="N152" s="89">
        <v>0</v>
      </c>
      <c r="O152" s="89">
        <v>64</v>
      </c>
      <c r="P152" s="90">
        <v>64</v>
      </c>
    </row>
    <row r="153" spans="1:16">
      <c r="A153" s="87">
        <v>724</v>
      </c>
      <c r="B153" s="88">
        <v>40576</v>
      </c>
      <c r="C153" s="89">
        <v>1</v>
      </c>
      <c r="D153" s="89">
        <v>0</v>
      </c>
      <c r="E153" s="89">
        <v>2</v>
      </c>
      <c r="F153" s="89">
        <v>12</v>
      </c>
      <c r="G153" s="89" t="b">
        <v>0</v>
      </c>
      <c r="H153" s="89">
        <v>3</v>
      </c>
      <c r="I153" s="89">
        <v>2</v>
      </c>
      <c r="J153" s="89">
        <v>0.24</v>
      </c>
      <c r="K153" s="89">
        <v>0.2273</v>
      </c>
      <c r="L153" s="89">
        <v>0.93</v>
      </c>
      <c r="M153" s="89">
        <v>0.22389999999999999</v>
      </c>
      <c r="N153" s="89">
        <v>3</v>
      </c>
      <c r="O153" s="89">
        <v>61</v>
      </c>
      <c r="P153" s="90">
        <v>64</v>
      </c>
    </row>
    <row r="154" spans="1:16">
      <c r="A154" s="87">
        <v>746</v>
      </c>
      <c r="B154" s="88">
        <v>40577</v>
      </c>
      <c r="C154" s="89">
        <v>1</v>
      </c>
      <c r="D154" s="89">
        <v>0</v>
      </c>
      <c r="E154" s="89">
        <v>2</v>
      </c>
      <c r="F154" s="89">
        <v>11</v>
      </c>
      <c r="G154" s="89" t="b">
        <v>0</v>
      </c>
      <c r="H154" s="89">
        <v>4</v>
      </c>
      <c r="I154" s="89">
        <v>1</v>
      </c>
      <c r="J154" s="89">
        <v>0.18</v>
      </c>
      <c r="K154" s="89">
        <v>0.13639999999999999</v>
      </c>
      <c r="L154" s="89">
        <v>0.43</v>
      </c>
      <c r="M154" s="89">
        <v>0.44779999999999998</v>
      </c>
      <c r="N154" s="89">
        <v>9</v>
      </c>
      <c r="O154" s="89">
        <v>55</v>
      </c>
      <c r="P154" s="90">
        <v>64</v>
      </c>
    </row>
    <row r="155" spans="1:16">
      <c r="A155" s="87">
        <v>769</v>
      </c>
      <c r="B155" s="88">
        <v>40578</v>
      </c>
      <c r="C155" s="89">
        <v>1</v>
      </c>
      <c r="D155" s="89">
        <v>0</v>
      </c>
      <c r="E155" s="89">
        <v>2</v>
      </c>
      <c r="F155" s="89">
        <v>11</v>
      </c>
      <c r="G155" s="89" t="b">
        <v>0</v>
      </c>
      <c r="H155" s="89">
        <v>5</v>
      </c>
      <c r="I155" s="89">
        <v>1</v>
      </c>
      <c r="J155" s="89">
        <v>0.22</v>
      </c>
      <c r="K155" s="89">
        <v>0.2273</v>
      </c>
      <c r="L155" s="89">
        <v>0.51</v>
      </c>
      <c r="M155" s="89">
        <v>0.16420000000000001</v>
      </c>
      <c r="N155" s="89">
        <v>3</v>
      </c>
      <c r="O155" s="89">
        <v>61</v>
      </c>
      <c r="P155" s="90">
        <v>64</v>
      </c>
    </row>
    <row r="156" spans="1:16">
      <c r="A156" s="87">
        <v>843</v>
      </c>
      <c r="B156" s="88">
        <v>40581</v>
      </c>
      <c r="C156" s="89">
        <v>1</v>
      </c>
      <c r="D156" s="89">
        <v>0</v>
      </c>
      <c r="E156" s="89">
        <v>2</v>
      </c>
      <c r="F156" s="89">
        <v>13</v>
      </c>
      <c r="G156" s="89" t="b">
        <v>0</v>
      </c>
      <c r="H156" s="89">
        <v>1</v>
      </c>
      <c r="I156" s="89">
        <v>2</v>
      </c>
      <c r="J156" s="89">
        <v>0.36</v>
      </c>
      <c r="K156" s="89">
        <v>0.36359999999999998</v>
      </c>
      <c r="L156" s="89">
        <v>0.56999999999999995</v>
      </c>
      <c r="M156" s="89">
        <v>8.9599999999999999E-2</v>
      </c>
      <c r="N156" s="89">
        <v>10</v>
      </c>
      <c r="O156" s="89">
        <v>54</v>
      </c>
      <c r="P156" s="90">
        <v>64</v>
      </c>
    </row>
    <row r="157" spans="1:16">
      <c r="A157" s="87">
        <v>868</v>
      </c>
      <c r="B157" s="88">
        <v>40582</v>
      </c>
      <c r="C157" s="89">
        <v>1</v>
      </c>
      <c r="D157" s="89">
        <v>0</v>
      </c>
      <c r="E157" s="89">
        <v>2</v>
      </c>
      <c r="F157" s="89">
        <v>14</v>
      </c>
      <c r="G157" s="89" t="b">
        <v>0</v>
      </c>
      <c r="H157" s="89">
        <v>2</v>
      </c>
      <c r="I157" s="89">
        <v>1</v>
      </c>
      <c r="J157" s="89">
        <v>0.22</v>
      </c>
      <c r="K157" s="89">
        <v>0.19700000000000001</v>
      </c>
      <c r="L157" s="89">
        <v>0.37</v>
      </c>
      <c r="M157" s="89">
        <v>0.41789999999999999</v>
      </c>
      <c r="N157" s="89">
        <v>3</v>
      </c>
      <c r="O157" s="89">
        <v>61</v>
      </c>
      <c r="P157" s="90">
        <v>64</v>
      </c>
    </row>
    <row r="158" spans="1:16">
      <c r="A158" s="87">
        <v>892</v>
      </c>
      <c r="B158" s="88">
        <v>40583</v>
      </c>
      <c r="C158" s="89">
        <v>1</v>
      </c>
      <c r="D158" s="89">
        <v>0</v>
      </c>
      <c r="E158" s="89">
        <v>2</v>
      </c>
      <c r="F158" s="89">
        <v>15</v>
      </c>
      <c r="G158" s="89" t="b">
        <v>0</v>
      </c>
      <c r="H158" s="89">
        <v>3</v>
      </c>
      <c r="I158" s="89">
        <v>2</v>
      </c>
      <c r="J158" s="89">
        <v>0.2</v>
      </c>
      <c r="K158" s="89">
        <v>0.18179999999999999</v>
      </c>
      <c r="L158" s="89">
        <v>0.34</v>
      </c>
      <c r="M158" s="89">
        <v>0.28360000000000002</v>
      </c>
      <c r="N158" s="89">
        <v>3</v>
      </c>
      <c r="O158" s="89">
        <v>61</v>
      </c>
      <c r="P158" s="90">
        <v>64</v>
      </c>
    </row>
    <row r="159" spans="1:16">
      <c r="A159" s="87">
        <v>933</v>
      </c>
      <c r="B159" s="88">
        <v>40585</v>
      </c>
      <c r="C159" s="89">
        <v>1</v>
      </c>
      <c r="D159" s="89">
        <v>0</v>
      </c>
      <c r="E159" s="89">
        <v>2</v>
      </c>
      <c r="F159" s="89">
        <v>11</v>
      </c>
      <c r="G159" s="89" t="b">
        <v>0</v>
      </c>
      <c r="H159" s="89">
        <v>5</v>
      </c>
      <c r="I159" s="89">
        <v>1</v>
      </c>
      <c r="J159" s="89">
        <v>0.22</v>
      </c>
      <c r="K159" s="89">
        <v>0.2273</v>
      </c>
      <c r="L159" s="89">
        <v>0.47</v>
      </c>
      <c r="M159" s="89">
        <v>0.1343</v>
      </c>
      <c r="N159" s="89">
        <v>12</v>
      </c>
      <c r="O159" s="89">
        <v>52</v>
      </c>
      <c r="P159" s="90">
        <v>64</v>
      </c>
    </row>
    <row r="160" spans="1:16">
      <c r="A160" s="87">
        <v>964</v>
      </c>
      <c r="B160" s="88">
        <v>40586</v>
      </c>
      <c r="C160" s="89">
        <v>1</v>
      </c>
      <c r="D160" s="89">
        <v>0</v>
      </c>
      <c r="E160" s="89">
        <v>2</v>
      </c>
      <c r="F160" s="89">
        <v>18</v>
      </c>
      <c r="G160" s="89" t="b">
        <v>0</v>
      </c>
      <c r="H160" s="89">
        <v>6</v>
      </c>
      <c r="I160" s="89">
        <v>1</v>
      </c>
      <c r="J160" s="89">
        <v>0.28000000000000003</v>
      </c>
      <c r="K160" s="89">
        <v>0.2576</v>
      </c>
      <c r="L160" s="89">
        <v>0.38</v>
      </c>
      <c r="M160" s="89">
        <v>0.32840000000000003</v>
      </c>
      <c r="N160" s="89">
        <v>4</v>
      </c>
      <c r="O160" s="89">
        <v>60</v>
      </c>
      <c r="P160" s="90">
        <v>64</v>
      </c>
    </row>
    <row r="161" spans="1:16">
      <c r="A161" s="87">
        <v>726</v>
      </c>
      <c r="B161" s="88">
        <v>40576</v>
      </c>
      <c r="C161" s="89">
        <v>1</v>
      </c>
      <c r="D161" s="89">
        <v>0</v>
      </c>
      <c r="E161" s="89">
        <v>2</v>
      </c>
      <c r="F161" s="89">
        <v>14</v>
      </c>
      <c r="G161" s="89" t="b">
        <v>0</v>
      </c>
      <c r="H161" s="89">
        <v>3</v>
      </c>
      <c r="I161" s="89">
        <v>1</v>
      </c>
      <c r="J161" s="89">
        <v>0.38</v>
      </c>
      <c r="K161" s="89">
        <v>0.39389999999999997</v>
      </c>
      <c r="L161" s="89">
        <v>0.82</v>
      </c>
      <c r="M161" s="89">
        <v>0.3881</v>
      </c>
      <c r="N161" s="89">
        <v>2</v>
      </c>
      <c r="O161" s="89">
        <v>61</v>
      </c>
      <c r="P161" s="90">
        <v>63</v>
      </c>
    </row>
    <row r="162" spans="1:16">
      <c r="A162" s="87">
        <v>733</v>
      </c>
      <c r="B162" s="88">
        <v>40576</v>
      </c>
      <c r="C162" s="89">
        <v>1</v>
      </c>
      <c r="D162" s="89">
        <v>0</v>
      </c>
      <c r="E162" s="89">
        <v>2</v>
      </c>
      <c r="F162" s="89">
        <v>21</v>
      </c>
      <c r="G162" s="89" t="b">
        <v>0</v>
      </c>
      <c r="H162" s="89">
        <v>3</v>
      </c>
      <c r="I162" s="89">
        <v>1</v>
      </c>
      <c r="J162" s="89">
        <v>0.22</v>
      </c>
      <c r="K162" s="89">
        <v>0.19700000000000001</v>
      </c>
      <c r="L162" s="89">
        <v>0.47</v>
      </c>
      <c r="M162" s="89">
        <v>0.32840000000000003</v>
      </c>
      <c r="N162" s="89">
        <v>1</v>
      </c>
      <c r="O162" s="89">
        <v>62</v>
      </c>
      <c r="P162" s="90">
        <v>63</v>
      </c>
    </row>
    <row r="163" spans="1:16">
      <c r="A163" s="87">
        <v>942</v>
      </c>
      <c r="B163" s="88">
        <v>40585</v>
      </c>
      <c r="C163" s="89">
        <v>1</v>
      </c>
      <c r="D163" s="89">
        <v>0</v>
      </c>
      <c r="E163" s="89">
        <v>2</v>
      </c>
      <c r="F163" s="89">
        <v>20</v>
      </c>
      <c r="G163" s="89" t="b">
        <v>0</v>
      </c>
      <c r="H163" s="89">
        <v>5</v>
      </c>
      <c r="I163" s="89">
        <v>1</v>
      </c>
      <c r="J163" s="89">
        <v>0.22</v>
      </c>
      <c r="K163" s="89">
        <v>0.2273</v>
      </c>
      <c r="L163" s="89">
        <v>0.55000000000000004</v>
      </c>
      <c r="M163" s="89">
        <v>0.1343</v>
      </c>
      <c r="N163" s="89">
        <v>2</v>
      </c>
      <c r="O163" s="89">
        <v>61</v>
      </c>
      <c r="P163" s="90">
        <v>63</v>
      </c>
    </row>
    <row r="164" spans="1:16">
      <c r="A164" s="87">
        <v>615</v>
      </c>
      <c r="B164" s="88">
        <v>40571</v>
      </c>
      <c r="C164" s="89">
        <v>1</v>
      </c>
      <c r="D164" s="89">
        <v>0</v>
      </c>
      <c r="E164" s="89">
        <v>1</v>
      </c>
      <c r="F164" s="89">
        <v>20</v>
      </c>
      <c r="G164" s="89" t="b">
        <v>0</v>
      </c>
      <c r="H164" s="89">
        <v>5</v>
      </c>
      <c r="I164" s="89">
        <v>2</v>
      </c>
      <c r="J164" s="89">
        <v>0.24</v>
      </c>
      <c r="K164" s="89">
        <v>0.2273</v>
      </c>
      <c r="L164" s="89">
        <v>0.7</v>
      </c>
      <c r="M164" s="89">
        <v>0.19400000000000001</v>
      </c>
      <c r="N164" s="89">
        <v>1</v>
      </c>
      <c r="O164" s="89">
        <v>61</v>
      </c>
      <c r="P164" s="90">
        <v>62</v>
      </c>
    </row>
    <row r="165" spans="1:16">
      <c r="A165" s="87">
        <v>828</v>
      </c>
      <c r="B165" s="88">
        <v>40580</v>
      </c>
      <c r="C165" s="89">
        <v>1</v>
      </c>
      <c r="D165" s="89">
        <v>0</v>
      </c>
      <c r="E165" s="89">
        <v>2</v>
      </c>
      <c r="F165" s="89">
        <v>22</v>
      </c>
      <c r="G165" s="89" t="b">
        <v>0</v>
      </c>
      <c r="H165" s="89">
        <v>0</v>
      </c>
      <c r="I165" s="89">
        <v>1</v>
      </c>
      <c r="J165" s="89">
        <v>0.26</v>
      </c>
      <c r="K165" s="89">
        <v>0.30299999999999999</v>
      </c>
      <c r="L165" s="89">
        <v>0.6</v>
      </c>
      <c r="M165" s="89">
        <v>0</v>
      </c>
      <c r="N165" s="89">
        <v>5</v>
      </c>
      <c r="O165" s="89">
        <v>57</v>
      </c>
      <c r="P165" s="90">
        <v>62</v>
      </c>
    </row>
    <row r="166" spans="1:16">
      <c r="A166" s="87">
        <v>913</v>
      </c>
      <c r="B166" s="88">
        <v>40584</v>
      </c>
      <c r="C166" s="89">
        <v>1</v>
      </c>
      <c r="D166" s="89">
        <v>0</v>
      </c>
      <c r="E166" s="89">
        <v>2</v>
      </c>
      <c r="F166" s="89">
        <v>13</v>
      </c>
      <c r="G166" s="89" t="b">
        <v>0</v>
      </c>
      <c r="H166" s="89">
        <v>4</v>
      </c>
      <c r="I166" s="89">
        <v>1</v>
      </c>
      <c r="J166" s="89">
        <v>0.18</v>
      </c>
      <c r="K166" s="89">
        <v>0.16669999999999999</v>
      </c>
      <c r="L166" s="89">
        <v>0.28999999999999998</v>
      </c>
      <c r="M166" s="89">
        <v>0.29849999999999999</v>
      </c>
      <c r="N166" s="89">
        <v>3</v>
      </c>
      <c r="O166" s="89">
        <v>59</v>
      </c>
      <c r="P166" s="90">
        <v>62</v>
      </c>
    </row>
    <row r="167" spans="1:16">
      <c r="A167" s="87">
        <v>722</v>
      </c>
      <c r="B167" s="88">
        <v>40576</v>
      </c>
      <c r="C167" s="89">
        <v>1</v>
      </c>
      <c r="D167" s="89">
        <v>0</v>
      </c>
      <c r="E167" s="89">
        <v>2</v>
      </c>
      <c r="F167" s="89">
        <v>10</v>
      </c>
      <c r="G167" s="89" t="b">
        <v>0</v>
      </c>
      <c r="H167" s="89">
        <v>3</v>
      </c>
      <c r="I167" s="89">
        <v>2</v>
      </c>
      <c r="J167" s="89">
        <v>0.22</v>
      </c>
      <c r="K167" s="89">
        <v>0.2727</v>
      </c>
      <c r="L167" s="89">
        <v>1</v>
      </c>
      <c r="M167" s="89">
        <v>0</v>
      </c>
      <c r="N167" s="89">
        <v>2</v>
      </c>
      <c r="O167" s="89">
        <v>59</v>
      </c>
      <c r="P167" s="90">
        <v>61</v>
      </c>
    </row>
    <row r="168" spans="1:16">
      <c r="A168" s="87">
        <v>889</v>
      </c>
      <c r="B168" s="88">
        <v>40583</v>
      </c>
      <c r="C168" s="89">
        <v>1</v>
      </c>
      <c r="D168" s="89">
        <v>0</v>
      </c>
      <c r="E168" s="89">
        <v>2</v>
      </c>
      <c r="F168" s="89">
        <v>12</v>
      </c>
      <c r="G168" s="89" t="b">
        <v>0</v>
      </c>
      <c r="H168" s="89">
        <v>3</v>
      </c>
      <c r="I168" s="89">
        <v>2</v>
      </c>
      <c r="J168" s="89">
        <v>0.18</v>
      </c>
      <c r="K168" s="89">
        <v>0.18179999999999999</v>
      </c>
      <c r="L168" s="89">
        <v>0.4</v>
      </c>
      <c r="M168" s="89">
        <v>0.22389999999999999</v>
      </c>
      <c r="N168" s="89">
        <v>4</v>
      </c>
      <c r="O168" s="89">
        <v>57</v>
      </c>
      <c r="P168" s="90">
        <v>61</v>
      </c>
    </row>
    <row r="169" spans="1:16">
      <c r="A169" s="87">
        <v>988</v>
      </c>
      <c r="B169" s="88">
        <v>40587</v>
      </c>
      <c r="C169" s="89">
        <v>1</v>
      </c>
      <c r="D169" s="89">
        <v>0</v>
      </c>
      <c r="E169" s="89">
        <v>2</v>
      </c>
      <c r="F169" s="89">
        <v>19</v>
      </c>
      <c r="G169" s="89" t="b">
        <v>0</v>
      </c>
      <c r="H169" s="89">
        <v>0</v>
      </c>
      <c r="I169" s="89">
        <v>1</v>
      </c>
      <c r="J169" s="89">
        <v>0.4</v>
      </c>
      <c r="K169" s="89">
        <v>0.40910000000000002</v>
      </c>
      <c r="L169" s="89">
        <v>0.35</v>
      </c>
      <c r="M169" s="89">
        <v>0.28360000000000002</v>
      </c>
      <c r="N169" s="89">
        <v>11</v>
      </c>
      <c r="O169" s="89">
        <v>50</v>
      </c>
      <c r="P169" s="90">
        <v>61</v>
      </c>
    </row>
    <row r="170" spans="1:16">
      <c r="A170" s="87">
        <v>750</v>
      </c>
      <c r="B170" s="88">
        <v>40577</v>
      </c>
      <c r="C170" s="89">
        <v>1</v>
      </c>
      <c r="D170" s="89">
        <v>0</v>
      </c>
      <c r="E170" s="89">
        <v>2</v>
      </c>
      <c r="F170" s="89">
        <v>15</v>
      </c>
      <c r="G170" s="89" t="b">
        <v>0</v>
      </c>
      <c r="H170" s="89">
        <v>4</v>
      </c>
      <c r="I170" s="89">
        <v>1</v>
      </c>
      <c r="J170" s="89">
        <v>0.22</v>
      </c>
      <c r="K170" s="89">
        <v>0.19700000000000001</v>
      </c>
      <c r="L170" s="89">
        <v>0.37</v>
      </c>
      <c r="M170" s="89">
        <v>0.32840000000000003</v>
      </c>
      <c r="N170" s="89">
        <v>4</v>
      </c>
      <c r="O170" s="89">
        <v>56</v>
      </c>
      <c r="P170" s="90">
        <v>60</v>
      </c>
    </row>
    <row r="171" spans="1:16">
      <c r="A171" s="87">
        <v>797</v>
      </c>
      <c r="B171" s="88">
        <v>40579</v>
      </c>
      <c r="C171" s="89">
        <v>1</v>
      </c>
      <c r="D171" s="89">
        <v>0</v>
      </c>
      <c r="E171" s="89">
        <v>2</v>
      </c>
      <c r="F171" s="89">
        <v>15</v>
      </c>
      <c r="G171" s="89" t="b">
        <v>0</v>
      </c>
      <c r="H171" s="89">
        <v>6</v>
      </c>
      <c r="I171" s="89">
        <v>3</v>
      </c>
      <c r="J171" s="89">
        <v>0.22</v>
      </c>
      <c r="K171" s="89">
        <v>0.2727</v>
      </c>
      <c r="L171" s="89">
        <v>1</v>
      </c>
      <c r="M171" s="89">
        <v>0</v>
      </c>
      <c r="N171" s="89">
        <v>11</v>
      </c>
      <c r="O171" s="89">
        <v>49</v>
      </c>
      <c r="P171" s="90">
        <v>60</v>
      </c>
    </row>
    <row r="172" spans="1:16">
      <c r="A172" s="87">
        <v>844</v>
      </c>
      <c r="B172" s="88">
        <v>40581</v>
      </c>
      <c r="C172" s="89">
        <v>1</v>
      </c>
      <c r="D172" s="89">
        <v>0</v>
      </c>
      <c r="E172" s="89">
        <v>2</v>
      </c>
      <c r="F172" s="89">
        <v>14</v>
      </c>
      <c r="G172" s="89" t="b">
        <v>0</v>
      </c>
      <c r="H172" s="89">
        <v>1</v>
      </c>
      <c r="I172" s="89">
        <v>2</v>
      </c>
      <c r="J172" s="89">
        <v>0.36</v>
      </c>
      <c r="K172" s="89">
        <v>0.36359999999999998</v>
      </c>
      <c r="L172" s="89">
        <v>0.56999999999999995</v>
      </c>
      <c r="M172" s="89">
        <v>8.9599999999999999E-2</v>
      </c>
      <c r="N172" s="89">
        <v>8</v>
      </c>
      <c r="O172" s="89">
        <v>52</v>
      </c>
      <c r="P172" s="90">
        <v>60</v>
      </c>
    </row>
    <row r="173" spans="1:16">
      <c r="A173" s="87">
        <v>652</v>
      </c>
      <c r="B173" s="88">
        <v>40573</v>
      </c>
      <c r="C173" s="89">
        <v>1</v>
      </c>
      <c r="D173" s="89">
        <v>0</v>
      </c>
      <c r="E173" s="89">
        <v>1</v>
      </c>
      <c r="F173" s="89">
        <v>11</v>
      </c>
      <c r="G173" s="89" t="b">
        <v>0</v>
      </c>
      <c r="H173" s="89">
        <v>0</v>
      </c>
      <c r="I173" s="89">
        <v>1</v>
      </c>
      <c r="J173" s="89">
        <v>0.22</v>
      </c>
      <c r="K173" s="89">
        <v>0.2727</v>
      </c>
      <c r="L173" s="89">
        <v>0.75</v>
      </c>
      <c r="M173" s="89">
        <v>0</v>
      </c>
      <c r="N173" s="89">
        <v>9</v>
      </c>
      <c r="O173" s="89">
        <v>50</v>
      </c>
      <c r="P173" s="90">
        <v>59</v>
      </c>
    </row>
    <row r="174" spans="1:16">
      <c r="A174" s="87">
        <v>805</v>
      </c>
      <c r="B174" s="88">
        <v>40579</v>
      </c>
      <c r="C174" s="89">
        <v>1</v>
      </c>
      <c r="D174" s="89">
        <v>0</v>
      </c>
      <c r="E174" s="89">
        <v>2</v>
      </c>
      <c r="F174" s="89">
        <v>23</v>
      </c>
      <c r="G174" s="89" t="b">
        <v>0</v>
      </c>
      <c r="H174" s="89">
        <v>6</v>
      </c>
      <c r="I174" s="89">
        <v>1</v>
      </c>
      <c r="J174" s="89">
        <v>0.26</v>
      </c>
      <c r="K174" s="89">
        <v>0.2576</v>
      </c>
      <c r="L174" s="89">
        <v>0.93</v>
      </c>
      <c r="M174" s="89">
        <v>0.22389999999999999</v>
      </c>
      <c r="N174" s="89">
        <v>7</v>
      </c>
      <c r="O174" s="89">
        <v>52</v>
      </c>
      <c r="P174" s="90">
        <v>59</v>
      </c>
    </row>
    <row r="175" spans="1:16">
      <c r="A175" s="87">
        <v>887</v>
      </c>
      <c r="B175" s="88">
        <v>40583</v>
      </c>
      <c r="C175" s="89">
        <v>1</v>
      </c>
      <c r="D175" s="89">
        <v>0</v>
      </c>
      <c r="E175" s="89">
        <v>2</v>
      </c>
      <c r="F175" s="89">
        <v>10</v>
      </c>
      <c r="G175" s="89" t="b">
        <v>0</v>
      </c>
      <c r="H175" s="89">
        <v>3</v>
      </c>
      <c r="I175" s="89">
        <v>1</v>
      </c>
      <c r="J175" s="89">
        <v>0.14000000000000001</v>
      </c>
      <c r="K175" s="89">
        <v>0.18179999999999999</v>
      </c>
      <c r="L175" s="89">
        <v>0.36</v>
      </c>
      <c r="M175" s="89">
        <v>0</v>
      </c>
      <c r="N175" s="89">
        <v>8</v>
      </c>
      <c r="O175" s="89">
        <v>51</v>
      </c>
      <c r="P175" s="90">
        <v>59</v>
      </c>
    </row>
    <row r="176" spans="1:16">
      <c r="A176" s="87">
        <v>616</v>
      </c>
      <c r="B176" s="88">
        <v>40571</v>
      </c>
      <c r="C176" s="89">
        <v>1</v>
      </c>
      <c r="D176" s="89">
        <v>0</v>
      </c>
      <c r="E176" s="89">
        <v>1</v>
      </c>
      <c r="F176" s="89">
        <v>21</v>
      </c>
      <c r="G176" s="89" t="b">
        <v>0</v>
      </c>
      <c r="H176" s="89">
        <v>5</v>
      </c>
      <c r="I176" s="89">
        <v>2</v>
      </c>
      <c r="J176" s="89">
        <v>0.22</v>
      </c>
      <c r="K176" s="89">
        <v>0.2273</v>
      </c>
      <c r="L176" s="89">
        <v>0.75</v>
      </c>
      <c r="M176" s="89">
        <v>0.1343</v>
      </c>
      <c r="N176" s="89">
        <v>1</v>
      </c>
      <c r="O176" s="89">
        <v>57</v>
      </c>
      <c r="P176" s="90">
        <v>58</v>
      </c>
    </row>
    <row r="177" spans="1:16">
      <c r="A177" s="87">
        <v>637</v>
      </c>
      <c r="B177" s="88">
        <v>40572</v>
      </c>
      <c r="C177" s="89">
        <v>1</v>
      </c>
      <c r="D177" s="89">
        <v>0</v>
      </c>
      <c r="E177" s="89">
        <v>1</v>
      </c>
      <c r="F177" s="89">
        <v>19</v>
      </c>
      <c r="G177" s="89" t="b">
        <v>0</v>
      </c>
      <c r="H177" s="89">
        <v>6</v>
      </c>
      <c r="I177" s="89">
        <v>2</v>
      </c>
      <c r="J177" s="89">
        <v>0.22</v>
      </c>
      <c r="K177" s="89">
        <v>0.21210000000000001</v>
      </c>
      <c r="L177" s="89">
        <v>0.69</v>
      </c>
      <c r="M177" s="89">
        <v>0.25369999999999998</v>
      </c>
      <c r="N177" s="89">
        <v>6</v>
      </c>
      <c r="O177" s="89">
        <v>52</v>
      </c>
      <c r="P177" s="90">
        <v>58</v>
      </c>
    </row>
    <row r="178" spans="1:16">
      <c r="A178" s="87">
        <v>891</v>
      </c>
      <c r="B178" s="88">
        <v>40583</v>
      </c>
      <c r="C178" s="89">
        <v>1</v>
      </c>
      <c r="D178" s="89">
        <v>0</v>
      </c>
      <c r="E178" s="89">
        <v>2</v>
      </c>
      <c r="F178" s="89">
        <v>14</v>
      </c>
      <c r="G178" s="89" t="b">
        <v>0</v>
      </c>
      <c r="H178" s="89">
        <v>3</v>
      </c>
      <c r="I178" s="89">
        <v>1</v>
      </c>
      <c r="J178" s="89">
        <v>0.2</v>
      </c>
      <c r="K178" s="89">
        <v>0.18179999999999999</v>
      </c>
      <c r="L178" s="89">
        <v>0.34</v>
      </c>
      <c r="M178" s="89">
        <v>0.29849999999999999</v>
      </c>
      <c r="N178" s="89">
        <v>2</v>
      </c>
      <c r="O178" s="89">
        <v>56</v>
      </c>
      <c r="P178" s="90">
        <v>58</v>
      </c>
    </row>
    <row r="179" spans="1:16">
      <c r="A179" s="87">
        <v>686</v>
      </c>
      <c r="B179" s="88">
        <v>40574</v>
      </c>
      <c r="C179" s="89">
        <v>1</v>
      </c>
      <c r="D179" s="89">
        <v>0</v>
      </c>
      <c r="E179" s="89">
        <v>1</v>
      </c>
      <c r="F179" s="89">
        <v>21</v>
      </c>
      <c r="G179" s="89" t="b">
        <v>0</v>
      </c>
      <c r="H179" s="89">
        <v>1</v>
      </c>
      <c r="I179" s="89">
        <v>3</v>
      </c>
      <c r="J179" s="89">
        <v>0.16</v>
      </c>
      <c r="K179" s="89">
        <v>0.19700000000000001</v>
      </c>
      <c r="L179" s="89">
        <v>0.59</v>
      </c>
      <c r="M179" s="89">
        <v>8.9599999999999999E-2</v>
      </c>
      <c r="N179" s="89">
        <v>3</v>
      </c>
      <c r="O179" s="89">
        <v>53</v>
      </c>
      <c r="P179" s="90">
        <v>56</v>
      </c>
    </row>
    <row r="180" spans="1:16">
      <c r="A180" s="87">
        <v>803</v>
      </c>
      <c r="B180" s="88">
        <v>40579</v>
      </c>
      <c r="C180" s="89">
        <v>1</v>
      </c>
      <c r="D180" s="89">
        <v>0</v>
      </c>
      <c r="E180" s="89">
        <v>2</v>
      </c>
      <c r="F180" s="89">
        <v>21</v>
      </c>
      <c r="G180" s="89" t="b">
        <v>0</v>
      </c>
      <c r="H180" s="89">
        <v>6</v>
      </c>
      <c r="I180" s="89">
        <v>1</v>
      </c>
      <c r="J180" s="89">
        <v>0.26</v>
      </c>
      <c r="K180" s="89">
        <v>0.2576</v>
      </c>
      <c r="L180" s="89">
        <v>1</v>
      </c>
      <c r="M180" s="89">
        <v>0.19400000000000001</v>
      </c>
      <c r="N180" s="89">
        <v>3</v>
      </c>
      <c r="O180" s="89">
        <v>53</v>
      </c>
      <c r="P180" s="90">
        <v>56</v>
      </c>
    </row>
    <row r="181" spans="1:16">
      <c r="A181" s="87">
        <v>874</v>
      </c>
      <c r="B181" s="88">
        <v>40582</v>
      </c>
      <c r="C181" s="89">
        <v>1</v>
      </c>
      <c r="D181" s="89">
        <v>0</v>
      </c>
      <c r="E181" s="89">
        <v>2</v>
      </c>
      <c r="F181" s="89">
        <v>20</v>
      </c>
      <c r="G181" s="89" t="b">
        <v>0</v>
      </c>
      <c r="H181" s="89">
        <v>2</v>
      </c>
      <c r="I181" s="89">
        <v>1</v>
      </c>
      <c r="J181" s="89">
        <v>0.16</v>
      </c>
      <c r="K181" s="89">
        <v>0.13639999999999999</v>
      </c>
      <c r="L181" s="89">
        <v>0.4</v>
      </c>
      <c r="M181" s="89">
        <v>0.32840000000000003</v>
      </c>
      <c r="N181" s="89">
        <v>3</v>
      </c>
      <c r="O181" s="89">
        <v>53</v>
      </c>
      <c r="P181" s="90">
        <v>56</v>
      </c>
    </row>
    <row r="182" spans="1:16">
      <c r="A182" s="87">
        <v>628</v>
      </c>
      <c r="B182" s="88">
        <v>40572</v>
      </c>
      <c r="C182" s="89">
        <v>1</v>
      </c>
      <c r="D182" s="89">
        <v>0</v>
      </c>
      <c r="E182" s="89">
        <v>1</v>
      </c>
      <c r="F182" s="89">
        <v>10</v>
      </c>
      <c r="G182" s="89" t="b">
        <v>0</v>
      </c>
      <c r="H182" s="89">
        <v>6</v>
      </c>
      <c r="I182" s="89">
        <v>2</v>
      </c>
      <c r="J182" s="89">
        <v>0.18</v>
      </c>
      <c r="K182" s="89">
        <v>0.21210000000000001</v>
      </c>
      <c r="L182" s="89">
        <v>0.64</v>
      </c>
      <c r="M182" s="89">
        <v>0.1045</v>
      </c>
      <c r="N182" s="89">
        <v>4</v>
      </c>
      <c r="O182" s="89">
        <v>51</v>
      </c>
      <c r="P182" s="90">
        <v>55</v>
      </c>
    </row>
    <row r="183" spans="1:16">
      <c r="A183" s="87">
        <v>660</v>
      </c>
      <c r="B183" s="88">
        <v>40573</v>
      </c>
      <c r="C183" s="89">
        <v>1</v>
      </c>
      <c r="D183" s="89">
        <v>0</v>
      </c>
      <c r="E183" s="89">
        <v>1</v>
      </c>
      <c r="F183" s="89">
        <v>19</v>
      </c>
      <c r="G183" s="89" t="b">
        <v>0</v>
      </c>
      <c r="H183" s="89">
        <v>0</v>
      </c>
      <c r="I183" s="89">
        <v>1</v>
      </c>
      <c r="J183" s="89">
        <v>0.26</v>
      </c>
      <c r="K183" s="89">
        <v>0.2576</v>
      </c>
      <c r="L183" s="89">
        <v>0.65</v>
      </c>
      <c r="M183" s="89">
        <v>0.19400000000000001</v>
      </c>
      <c r="N183" s="89">
        <v>9</v>
      </c>
      <c r="O183" s="89">
        <v>46</v>
      </c>
      <c r="P183" s="90">
        <v>55</v>
      </c>
    </row>
    <row r="184" spans="1:16">
      <c r="A184" s="87">
        <v>700</v>
      </c>
      <c r="B184" s="88">
        <v>40575</v>
      </c>
      <c r="C184" s="89">
        <v>1</v>
      </c>
      <c r="D184" s="89">
        <v>0</v>
      </c>
      <c r="E184" s="89">
        <v>2</v>
      </c>
      <c r="F184" s="89">
        <v>12</v>
      </c>
      <c r="G184" s="89" t="b">
        <v>0</v>
      </c>
      <c r="H184" s="89">
        <v>2</v>
      </c>
      <c r="I184" s="89">
        <v>2</v>
      </c>
      <c r="J184" s="89">
        <v>0.2</v>
      </c>
      <c r="K184" s="89">
        <v>0.2576</v>
      </c>
      <c r="L184" s="89">
        <v>0.86</v>
      </c>
      <c r="M184" s="89">
        <v>0</v>
      </c>
      <c r="N184" s="89">
        <v>2</v>
      </c>
      <c r="O184" s="89">
        <v>53</v>
      </c>
      <c r="P184" s="90">
        <v>55</v>
      </c>
    </row>
    <row r="185" spans="1:16">
      <c r="A185" s="87">
        <v>796</v>
      </c>
      <c r="B185" s="88">
        <v>40579</v>
      </c>
      <c r="C185" s="89">
        <v>1</v>
      </c>
      <c r="D185" s="89">
        <v>0</v>
      </c>
      <c r="E185" s="89">
        <v>2</v>
      </c>
      <c r="F185" s="89">
        <v>14</v>
      </c>
      <c r="G185" s="89" t="b">
        <v>0</v>
      </c>
      <c r="H185" s="89">
        <v>6</v>
      </c>
      <c r="I185" s="89">
        <v>3</v>
      </c>
      <c r="J185" s="89">
        <v>0.22</v>
      </c>
      <c r="K185" s="89">
        <v>0.2727</v>
      </c>
      <c r="L185" s="89">
        <v>1</v>
      </c>
      <c r="M185" s="89">
        <v>0</v>
      </c>
      <c r="N185" s="89">
        <v>5</v>
      </c>
      <c r="O185" s="89">
        <v>50</v>
      </c>
      <c r="P185" s="90">
        <v>55</v>
      </c>
    </row>
    <row r="186" spans="1:16">
      <c r="A186" s="87">
        <v>840</v>
      </c>
      <c r="B186" s="88">
        <v>40581</v>
      </c>
      <c r="C186" s="89">
        <v>1</v>
      </c>
      <c r="D186" s="89">
        <v>0</v>
      </c>
      <c r="E186" s="89">
        <v>2</v>
      </c>
      <c r="F186" s="89">
        <v>10</v>
      </c>
      <c r="G186" s="89" t="b">
        <v>0</v>
      </c>
      <c r="H186" s="89">
        <v>1</v>
      </c>
      <c r="I186" s="89">
        <v>1</v>
      </c>
      <c r="J186" s="89">
        <v>0.24</v>
      </c>
      <c r="K186" s="89">
        <v>0.2576</v>
      </c>
      <c r="L186" s="89">
        <v>0.75</v>
      </c>
      <c r="M186" s="89">
        <v>0.1045</v>
      </c>
      <c r="N186" s="89">
        <v>6</v>
      </c>
      <c r="O186" s="89">
        <v>49</v>
      </c>
      <c r="P186" s="90">
        <v>55</v>
      </c>
    </row>
    <row r="187" spans="1:16">
      <c r="A187" s="87">
        <v>678</v>
      </c>
      <c r="B187" s="88">
        <v>40574</v>
      </c>
      <c r="C187" s="89">
        <v>1</v>
      </c>
      <c r="D187" s="89">
        <v>0</v>
      </c>
      <c r="E187" s="89">
        <v>1</v>
      </c>
      <c r="F187" s="89">
        <v>13</v>
      </c>
      <c r="G187" s="89" t="b">
        <v>0</v>
      </c>
      <c r="H187" s="89">
        <v>1</v>
      </c>
      <c r="I187" s="89">
        <v>2</v>
      </c>
      <c r="J187" s="89">
        <v>0.16</v>
      </c>
      <c r="K187" s="89">
        <v>0.2273</v>
      </c>
      <c r="L187" s="89">
        <v>0.59</v>
      </c>
      <c r="M187" s="89">
        <v>0</v>
      </c>
      <c r="N187" s="89">
        <v>2</v>
      </c>
      <c r="O187" s="89">
        <v>52</v>
      </c>
      <c r="P187" s="90">
        <v>54</v>
      </c>
    </row>
    <row r="188" spans="1:16">
      <c r="A188" s="87">
        <v>702</v>
      </c>
      <c r="B188" s="88">
        <v>40575</v>
      </c>
      <c r="C188" s="89">
        <v>1</v>
      </c>
      <c r="D188" s="89">
        <v>0</v>
      </c>
      <c r="E188" s="89">
        <v>2</v>
      </c>
      <c r="F188" s="89">
        <v>14</v>
      </c>
      <c r="G188" s="89" t="b">
        <v>0</v>
      </c>
      <c r="H188" s="89">
        <v>2</v>
      </c>
      <c r="I188" s="89">
        <v>2</v>
      </c>
      <c r="J188" s="89">
        <v>0.22</v>
      </c>
      <c r="K188" s="89">
        <v>0.2576</v>
      </c>
      <c r="L188" s="89">
        <v>0.8</v>
      </c>
      <c r="M188" s="89">
        <v>8.9599999999999999E-2</v>
      </c>
      <c r="N188" s="89">
        <v>5</v>
      </c>
      <c r="O188" s="89">
        <v>49</v>
      </c>
      <c r="P188" s="90">
        <v>54</v>
      </c>
    </row>
    <row r="189" spans="1:16">
      <c r="A189" s="87">
        <v>756</v>
      </c>
      <c r="B189" s="88">
        <v>40577</v>
      </c>
      <c r="C189" s="89">
        <v>1</v>
      </c>
      <c r="D189" s="89">
        <v>0</v>
      </c>
      <c r="E189" s="89">
        <v>2</v>
      </c>
      <c r="F189" s="89">
        <v>21</v>
      </c>
      <c r="G189" s="89" t="b">
        <v>0</v>
      </c>
      <c r="H189" s="89">
        <v>4</v>
      </c>
      <c r="I189" s="89">
        <v>1</v>
      </c>
      <c r="J189" s="89">
        <v>0.18</v>
      </c>
      <c r="K189" s="89">
        <v>0.21210000000000001</v>
      </c>
      <c r="L189" s="89">
        <v>0.55000000000000004</v>
      </c>
      <c r="M189" s="89">
        <v>0.1045</v>
      </c>
      <c r="N189" s="89">
        <v>1</v>
      </c>
      <c r="O189" s="89">
        <v>53</v>
      </c>
      <c r="P189" s="90">
        <v>54</v>
      </c>
    </row>
    <row r="190" spans="1:16">
      <c r="A190" s="87">
        <v>875</v>
      </c>
      <c r="B190" s="88">
        <v>40582</v>
      </c>
      <c r="C190" s="89">
        <v>1</v>
      </c>
      <c r="D190" s="89">
        <v>0</v>
      </c>
      <c r="E190" s="89">
        <v>2</v>
      </c>
      <c r="F190" s="89">
        <v>21</v>
      </c>
      <c r="G190" s="89" t="b">
        <v>0</v>
      </c>
      <c r="H190" s="89">
        <v>2</v>
      </c>
      <c r="I190" s="89">
        <v>1</v>
      </c>
      <c r="J190" s="89">
        <v>0.14000000000000001</v>
      </c>
      <c r="K190" s="89">
        <v>0.1061</v>
      </c>
      <c r="L190" s="89">
        <v>0.33</v>
      </c>
      <c r="M190" s="89">
        <v>0.4627</v>
      </c>
      <c r="N190" s="89">
        <v>8</v>
      </c>
      <c r="O190" s="89">
        <v>46</v>
      </c>
      <c r="P190" s="90">
        <v>54</v>
      </c>
    </row>
    <row r="191" spans="1:16">
      <c r="A191" s="87">
        <v>945</v>
      </c>
      <c r="B191" s="88">
        <v>40585</v>
      </c>
      <c r="C191" s="89">
        <v>1</v>
      </c>
      <c r="D191" s="89">
        <v>0</v>
      </c>
      <c r="E191" s="89">
        <v>2</v>
      </c>
      <c r="F191" s="89">
        <v>23</v>
      </c>
      <c r="G191" s="89" t="b">
        <v>0</v>
      </c>
      <c r="H191" s="89">
        <v>5</v>
      </c>
      <c r="I191" s="89">
        <v>1</v>
      </c>
      <c r="J191" s="89">
        <v>0.18</v>
      </c>
      <c r="K191" s="89">
        <v>0.2424</v>
      </c>
      <c r="L191" s="89">
        <v>0.69</v>
      </c>
      <c r="M191" s="89">
        <v>0</v>
      </c>
      <c r="N191" s="89">
        <v>5</v>
      </c>
      <c r="O191" s="89">
        <v>48</v>
      </c>
      <c r="P191" s="90">
        <v>53</v>
      </c>
    </row>
    <row r="192" spans="1:16">
      <c r="A192" s="87">
        <v>695</v>
      </c>
      <c r="B192" s="88">
        <v>40575</v>
      </c>
      <c r="C192" s="89">
        <v>1</v>
      </c>
      <c r="D192" s="89">
        <v>0</v>
      </c>
      <c r="E192" s="89">
        <v>2</v>
      </c>
      <c r="F192" s="89">
        <v>7</v>
      </c>
      <c r="G192" s="89" t="b">
        <v>0</v>
      </c>
      <c r="H192" s="89">
        <v>2</v>
      </c>
      <c r="I192" s="89">
        <v>3</v>
      </c>
      <c r="J192" s="89">
        <v>0.16</v>
      </c>
      <c r="K192" s="89">
        <v>0.2273</v>
      </c>
      <c r="L192" s="89">
        <v>0.93</v>
      </c>
      <c r="M192" s="89">
        <v>0</v>
      </c>
      <c r="N192" s="89">
        <v>0</v>
      </c>
      <c r="O192" s="89">
        <v>52</v>
      </c>
      <c r="P192" s="90">
        <v>52</v>
      </c>
    </row>
    <row r="193" spans="1:16">
      <c r="A193" s="87">
        <v>701</v>
      </c>
      <c r="B193" s="88">
        <v>40575</v>
      </c>
      <c r="C193" s="89">
        <v>1</v>
      </c>
      <c r="D193" s="89">
        <v>0</v>
      </c>
      <c r="E193" s="89">
        <v>2</v>
      </c>
      <c r="F193" s="89">
        <v>13</v>
      </c>
      <c r="G193" s="89" t="b">
        <v>0</v>
      </c>
      <c r="H193" s="89">
        <v>2</v>
      </c>
      <c r="I193" s="89">
        <v>2</v>
      </c>
      <c r="J193" s="89">
        <v>0.2</v>
      </c>
      <c r="K193" s="89">
        <v>0.2576</v>
      </c>
      <c r="L193" s="89">
        <v>0.86</v>
      </c>
      <c r="M193" s="89">
        <v>0</v>
      </c>
      <c r="N193" s="89">
        <v>3</v>
      </c>
      <c r="O193" s="89">
        <v>49</v>
      </c>
      <c r="P193" s="90">
        <v>52</v>
      </c>
    </row>
    <row r="194" spans="1:16">
      <c r="A194" s="87">
        <v>703</v>
      </c>
      <c r="B194" s="88">
        <v>40575</v>
      </c>
      <c r="C194" s="89">
        <v>1</v>
      </c>
      <c r="D194" s="89">
        <v>0</v>
      </c>
      <c r="E194" s="89">
        <v>2</v>
      </c>
      <c r="F194" s="89">
        <v>15</v>
      </c>
      <c r="G194" s="89" t="b">
        <v>0</v>
      </c>
      <c r="H194" s="89">
        <v>2</v>
      </c>
      <c r="I194" s="89">
        <v>2</v>
      </c>
      <c r="J194" s="89">
        <v>0.24</v>
      </c>
      <c r="K194" s="89">
        <v>0.28789999999999999</v>
      </c>
      <c r="L194" s="89">
        <v>0.75</v>
      </c>
      <c r="M194" s="89">
        <v>0</v>
      </c>
      <c r="N194" s="89">
        <v>7</v>
      </c>
      <c r="O194" s="89">
        <v>45</v>
      </c>
      <c r="P194" s="90">
        <v>52</v>
      </c>
    </row>
    <row r="195" spans="1:16">
      <c r="A195" s="87">
        <v>723</v>
      </c>
      <c r="B195" s="88">
        <v>40576</v>
      </c>
      <c r="C195" s="89">
        <v>1</v>
      </c>
      <c r="D195" s="89">
        <v>0</v>
      </c>
      <c r="E195" s="89">
        <v>2</v>
      </c>
      <c r="F195" s="89">
        <v>11</v>
      </c>
      <c r="G195" s="89" t="b">
        <v>0</v>
      </c>
      <c r="H195" s="89">
        <v>3</v>
      </c>
      <c r="I195" s="89">
        <v>2</v>
      </c>
      <c r="J195" s="89">
        <v>0.24</v>
      </c>
      <c r="K195" s="89">
        <v>0.2273</v>
      </c>
      <c r="L195" s="89">
        <v>0.93</v>
      </c>
      <c r="M195" s="89">
        <v>0.19400000000000001</v>
      </c>
      <c r="N195" s="89">
        <v>5</v>
      </c>
      <c r="O195" s="89">
        <v>47</v>
      </c>
      <c r="P195" s="90">
        <v>52</v>
      </c>
    </row>
    <row r="196" spans="1:16">
      <c r="A196" s="87">
        <v>745</v>
      </c>
      <c r="B196" s="88">
        <v>40577</v>
      </c>
      <c r="C196" s="89">
        <v>1</v>
      </c>
      <c r="D196" s="89">
        <v>0</v>
      </c>
      <c r="E196" s="89">
        <v>2</v>
      </c>
      <c r="F196" s="89">
        <v>10</v>
      </c>
      <c r="G196" s="89" t="b">
        <v>0</v>
      </c>
      <c r="H196" s="89">
        <v>4</v>
      </c>
      <c r="I196" s="89">
        <v>1</v>
      </c>
      <c r="J196" s="89">
        <v>0.18</v>
      </c>
      <c r="K196" s="89">
        <v>0.1515</v>
      </c>
      <c r="L196" s="89">
        <v>0.43</v>
      </c>
      <c r="M196" s="89">
        <v>0.32840000000000003</v>
      </c>
      <c r="N196" s="89">
        <v>2</v>
      </c>
      <c r="O196" s="89">
        <v>50</v>
      </c>
      <c r="P196" s="90">
        <v>52</v>
      </c>
    </row>
    <row r="197" spans="1:16">
      <c r="A197" s="87">
        <v>794</v>
      </c>
      <c r="B197" s="88">
        <v>40579</v>
      </c>
      <c r="C197" s="89">
        <v>1</v>
      </c>
      <c r="D197" s="89">
        <v>0</v>
      </c>
      <c r="E197" s="89">
        <v>2</v>
      </c>
      <c r="F197" s="89">
        <v>12</v>
      </c>
      <c r="G197" s="89" t="b">
        <v>0</v>
      </c>
      <c r="H197" s="89">
        <v>6</v>
      </c>
      <c r="I197" s="89">
        <v>3</v>
      </c>
      <c r="J197" s="89">
        <v>0.22</v>
      </c>
      <c r="K197" s="89">
        <v>0.2273</v>
      </c>
      <c r="L197" s="89">
        <v>1</v>
      </c>
      <c r="M197" s="89">
        <v>0.16420000000000001</v>
      </c>
      <c r="N197" s="89">
        <v>10</v>
      </c>
      <c r="O197" s="89">
        <v>42</v>
      </c>
      <c r="P197" s="90">
        <v>52</v>
      </c>
    </row>
    <row r="198" spans="1:16">
      <c r="A198" s="87">
        <v>699</v>
      </c>
      <c r="B198" s="88">
        <v>40575</v>
      </c>
      <c r="C198" s="89">
        <v>1</v>
      </c>
      <c r="D198" s="89">
        <v>0</v>
      </c>
      <c r="E198" s="89">
        <v>2</v>
      </c>
      <c r="F198" s="89">
        <v>11</v>
      </c>
      <c r="G198" s="89" t="b">
        <v>0</v>
      </c>
      <c r="H198" s="89">
        <v>2</v>
      </c>
      <c r="I198" s="89">
        <v>2</v>
      </c>
      <c r="J198" s="89">
        <v>0.18</v>
      </c>
      <c r="K198" s="89">
        <v>0.2424</v>
      </c>
      <c r="L198" s="89">
        <v>0.86</v>
      </c>
      <c r="M198" s="89">
        <v>0</v>
      </c>
      <c r="N198" s="89">
        <v>2</v>
      </c>
      <c r="O198" s="89">
        <v>49</v>
      </c>
      <c r="P198" s="90">
        <v>51</v>
      </c>
    </row>
    <row r="199" spans="1:16">
      <c r="A199" s="87">
        <v>748</v>
      </c>
      <c r="B199" s="88">
        <v>40577</v>
      </c>
      <c r="C199" s="89">
        <v>1</v>
      </c>
      <c r="D199" s="89">
        <v>0</v>
      </c>
      <c r="E199" s="89">
        <v>2</v>
      </c>
      <c r="F199" s="89">
        <v>13</v>
      </c>
      <c r="G199" s="89" t="b">
        <v>0</v>
      </c>
      <c r="H199" s="89">
        <v>4</v>
      </c>
      <c r="I199" s="89">
        <v>1</v>
      </c>
      <c r="J199" s="89">
        <v>0.2</v>
      </c>
      <c r="K199" s="89">
        <v>0.16669999999999999</v>
      </c>
      <c r="L199" s="89">
        <v>0.4</v>
      </c>
      <c r="M199" s="89">
        <v>0.41789999999999999</v>
      </c>
      <c r="N199" s="89">
        <v>4</v>
      </c>
      <c r="O199" s="89">
        <v>47</v>
      </c>
      <c r="P199" s="90">
        <v>51</v>
      </c>
    </row>
    <row r="200" spans="1:16">
      <c r="A200" s="87">
        <v>768</v>
      </c>
      <c r="B200" s="88">
        <v>40578</v>
      </c>
      <c r="C200" s="89">
        <v>1</v>
      </c>
      <c r="D200" s="89">
        <v>0</v>
      </c>
      <c r="E200" s="89">
        <v>2</v>
      </c>
      <c r="F200" s="89">
        <v>10</v>
      </c>
      <c r="G200" s="89" t="b">
        <v>0</v>
      </c>
      <c r="H200" s="89">
        <v>5</v>
      </c>
      <c r="I200" s="89">
        <v>2</v>
      </c>
      <c r="J200" s="89">
        <v>0.2</v>
      </c>
      <c r="K200" s="89">
        <v>0.21210000000000001</v>
      </c>
      <c r="L200" s="89">
        <v>0.51</v>
      </c>
      <c r="M200" s="89">
        <v>0.1343</v>
      </c>
      <c r="N200" s="89">
        <v>5</v>
      </c>
      <c r="O200" s="89">
        <v>46</v>
      </c>
      <c r="P200" s="90">
        <v>51</v>
      </c>
    </row>
    <row r="201" spans="1:16">
      <c r="A201" s="87">
        <v>869</v>
      </c>
      <c r="B201" s="88">
        <v>40582</v>
      </c>
      <c r="C201" s="89">
        <v>1</v>
      </c>
      <c r="D201" s="89">
        <v>0</v>
      </c>
      <c r="E201" s="89">
        <v>2</v>
      </c>
      <c r="F201" s="89">
        <v>15</v>
      </c>
      <c r="G201" s="89" t="b">
        <v>0</v>
      </c>
      <c r="H201" s="89">
        <v>2</v>
      </c>
      <c r="I201" s="89">
        <v>1</v>
      </c>
      <c r="J201" s="89">
        <v>0.22</v>
      </c>
      <c r="K201" s="89">
        <v>0.19700000000000001</v>
      </c>
      <c r="L201" s="89">
        <v>0.35</v>
      </c>
      <c r="M201" s="89">
        <v>0.3881</v>
      </c>
      <c r="N201" s="89">
        <v>6</v>
      </c>
      <c r="O201" s="89">
        <v>45</v>
      </c>
      <c r="P201" s="90">
        <v>51</v>
      </c>
    </row>
    <row r="202" spans="1:16">
      <c r="A202" s="87">
        <v>922</v>
      </c>
      <c r="B202" s="88">
        <v>40584</v>
      </c>
      <c r="C202" s="89">
        <v>1</v>
      </c>
      <c r="D202" s="89">
        <v>0</v>
      </c>
      <c r="E202" s="89">
        <v>2</v>
      </c>
      <c r="F202" s="89">
        <v>22</v>
      </c>
      <c r="G202" s="89" t="b">
        <v>0</v>
      </c>
      <c r="H202" s="89">
        <v>4</v>
      </c>
      <c r="I202" s="89">
        <v>1</v>
      </c>
      <c r="J202" s="89">
        <v>0.12</v>
      </c>
      <c r="K202" s="89">
        <v>0.19700000000000001</v>
      </c>
      <c r="L202" s="89">
        <v>0.39</v>
      </c>
      <c r="M202" s="89">
        <v>0</v>
      </c>
      <c r="N202" s="89">
        <v>4</v>
      </c>
      <c r="O202" s="89">
        <v>47</v>
      </c>
      <c r="P202" s="90">
        <v>51</v>
      </c>
    </row>
    <row r="203" spans="1:16">
      <c r="A203" s="87">
        <v>967</v>
      </c>
      <c r="B203" s="88">
        <v>40586</v>
      </c>
      <c r="C203" s="89">
        <v>1</v>
      </c>
      <c r="D203" s="89">
        <v>0</v>
      </c>
      <c r="E203" s="89">
        <v>2</v>
      </c>
      <c r="F203" s="89">
        <v>21</v>
      </c>
      <c r="G203" s="89" t="b">
        <v>0</v>
      </c>
      <c r="H203" s="89">
        <v>6</v>
      </c>
      <c r="I203" s="89">
        <v>1</v>
      </c>
      <c r="J203" s="89">
        <v>0.26</v>
      </c>
      <c r="K203" s="89">
        <v>0.30299999999999999</v>
      </c>
      <c r="L203" s="89">
        <v>0.41</v>
      </c>
      <c r="M203" s="89">
        <v>0</v>
      </c>
      <c r="N203" s="89">
        <v>9</v>
      </c>
      <c r="O203" s="89">
        <v>42</v>
      </c>
      <c r="P203" s="90">
        <v>51</v>
      </c>
    </row>
    <row r="204" spans="1:16">
      <c r="A204" s="87">
        <v>990</v>
      </c>
      <c r="B204" s="88">
        <v>40587</v>
      </c>
      <c r="C204" s="89">
        <v>1</v>
      </c>
      <c r="D204" s="89">
        <v>0</v>
      </c>
      <c r="E204" s="89">
        <v>2</v>
      </c>
      <c r="F204" s="89">
        <v>21</v>
      </c>
      <c r="G204" s="89" t="b">
        <v>0</v>
      </c>
      <c r="H204" s="89">
        <v>0</v>
      </c>
      <c r="I204" s="89">
        <v>1</v>
      </c>
      <c r="J204" s="89">
        <v>0.4</v>
      </c>
      <c r="K204" s="89">
        <v>0.40910000000000002</v>
      </c>
      <c r="L204" s="89">
        <v>0.35</v>
      </c>
      <c r="M204" s="89">
        <v>0.35820000000000002</v>
      </c>
      <c r="N204" s="89">
        <v>6</v>
      </c>
      <c r="O204" s="89">
        <v>45</v>
      </c>
      <c r="P204" s="90">
        <v>51</v>
      </c>
    </row>
    <row r="205" spans="1:16">
      <c r="A205" s="87">
        <v>845</v>
      </c>
      <c r="B205" s="88">
        <v>40581</v>
      </c>
      <c r="C205" s="89">
        <v>1</v>
      </c>
      <c r="D205" s="89">
        <v>0</v>
      </c>
      <c r="E205" s="89">
        <v>2</v>
      </c>
      <c r="F205" s="89">
        <v>15</v>
      </c>
      <c r="G205" s="89" t="b">
        <v>0</v>
      </c>
      <c r="H205" s="89">
        <v>1</v>
      </c>
      <c r="I205" s="89">
        <v>2</v>
      </c>
      <c r="J205" s="89">
        <v>0.38</v>
      </c>
      <c r="K205" s="89">
        <v>0.39389999999999997</v>
      </c>
      <c r="L205" s="89">
        <v>0.54</v>
      </c>
      <c r="M205" s="89">
        <v>8.9599999999999999E-2</v>
      </c>
      <c r="N205" s="89">
        <v>4</v>
      </c>
      <c r="O205" s="89">
        <v>46</v>
      </c>
      <c r="P205" s="90">
        <v>50</v>
      </c>
    </row>
    <row r="206" spans="1:16">
      <c r="A206" s="87">
        <v>865</v>
      </c>
      <c r="B206" s="88">
        <v>40582</v>
      </c>
      <c r="C206" s="89">
        <v>1</v>
      </c>
      <c r="D206" s="89">
        <v>0</v>
      </c>
      <c r="E206" s="89">
        <v>2</v>
      </c>
      <c r="F206" s="89">
        <v>11</v>
      </c>
      <c r="G206" s="89" t="b">
        <v>0</v>
      </c>
      <c r="H206" s="89">
        <v>2</v>
      </c>
      <c r="I206" s="89">
        <v>1</v>
      </c>
      <c r="J206" s="89">
        <v>0.22</v>
      </c>
      <c r="K206" s="89">
        <v>0.18179999999999999</v>
      </c>
      <c r="L206" s="89">
        <v>0.47</v>
      </c>
      <c r="M206" s="89">
        <v>0.4627</v>
      </c>
      <c r="N206" s="89">
        <v>1</v>
      </c>
      <c r="O206" s="89">
        <v>49</v>
      </c>
      <c r="P206" s="90">
        <v>50</v>
      </c>
    </row>
    <row r="207" spans="1:16">
      <c r="A207" s="87">
        <v>867</v>
      </c>
      <c r="B207" s="88">
        <v>40582</v>
      </c>
      <c r="C207" s="89">
        <v>1</v>
      </c>
      <c r="D207" s="89">
        <v>0</v>
      </c>
      <c r="E207" s="89">
        <v>2</v>
      </c>
      <c r="F207" s="89">
        <v>13</v>
      </c>
      <c r="G207" s="89" t="b">
        <v>0</v>
      </c>
      <c r="H207" s="89">
        <v>2</v>
      </c>
      <c r="I207" s="89">
        <v>2</v>
      </c>
      <c r="J207" s="89">
        <v>0.24</v>
      </c>
      <c r="K207" s="89">
        <v>0.19700000000000001</v>
      </c>
      <c r="L207" s="89">
        <v>0.32</v>
      </c>
      <c r="M207" s="89">
        <v>0.44779999999999998</v>
      </c>
      <c r="N207" s="89">
        <v>2</v>
      </c>
      <c r="O207" s="89">
        <v>48</v>
      </c>
      <c r="P207" s="90">
        <v>50</v>
      </c>
    </row>
    <row r="208" spans="1:16">
      <c r="A208" s="87">
        <v>915</v>
      </c>
      <c r="B208" s="88">
        <v>40584</v>
      </c>
      <c r="C208" s="89">
        <v>1</v>
      </c>
      <c r="D208" s="89">
        <v>0</v>
      </c>
      <c r="E208" s="89">
        <v>2</v>
      </c>
      <c r="F208" s="89">
        <v>15</v>
      </c>
      <c r="G208" s="89" t="b">
        <v>0</v>
      </c>
      <c r="H208" s="89">
        <v>4</v>
      </c>
      <c r="I208" s="89">
        <v>1</v>
      </c>
      <c r="J208" s="89">
        <v>0.2</v>
      </c>
      <c r="K208" s="89">
        <v>0.19700000000000001</v>
      </c>
      <c r="L208" s="89">
        <v>0.25</v>
      </c>
      <c r="M208" s="89">
        <v>0.25369999999999998</v>
      </c>
      <c r="N208" s="89">
        <v>0</v>
      </c>
      <c r="O208" s="89">
        <v>50</v>
      </c>
      <c r="P208" s="90">
        <v>50</v>
      </c>
    </row>
    <row r="209" spans="1:16">
      <c r="A209" s="87">
        <v>719</v>
      </c>
      <c r="B209" s="88">
        <v>40576</v>
      </c>
      <c r="C209" s="89">
        <v>1</v>
      </c>
      <c r="D209" s="89">
        <v>0</v>
      </c>
      <c r="E209" s="89">
        <v>2</v>
      </c>
      <c r="F209" s="89">
        <v>7</v>
      </c>
      <c r="G209" s="89" t="b">
        <v>0</v>
      </c>
      <c r="H209" s="89">
        <v>3</v>
      </c>
      <c r="I209" s="89">
        <v>3</v>
      </c>
      <c r="J209" s="89">
        <v>0.22</v>
      </c>
      <c r="K209" s="89">
        <v>0.21210000000000001</v>
      </c>
      <c r="L209" s="89">
        <v>0.93</v>
      </c>
      <c r="M209" s="89">
        <v>0.22389999999999999</v>
      </c>
      <c r="N209" s="89">
        <v>1</v>
      </c>
      <c r="O209" s="89">
        <v>48</v>
      </c>
      <c r="P209" s="90">
        <v>49</v>
      </c>
    </row>
    <row r="210" spans="1:16">
      <c r="A210" s="87">
        <v>676</v>
      </c>
      <c r="B210" s="88">
        <v>40574</v>
      </c>
      <c r="C210" s="89">
        <v>1</v>
      </c>
      <c r="D210" s="89">
        <v>0</v>
      </c>
      <c r="E210" s="89">
        <v>1</v>
      </c>
      <c r="F210" s="89">
        <v>11</v>
      </c>
      <c r="G210" s="89" t="b">
        <v>0</v>
      </c>
      <c r="H210" s="89">
        <v>1</v>
      </c>
      <c r="I210" s="89">
        <v>2</v>
      </c>
      <c r="J210" s="89">
        <v>0.16</v>
      </c>
      <c r="K210" s="89">
        <v>0.1515</v>
      </c>
      <c r="L210" s="89">
        <v>0.59</v>
      </c>
      <c r="M210" s="89">
        <v>0.19400000000000001</v>
      </c>
      <c r="N210" s="89">
        <v>2</v>
      </c>
      <c r="O210" s="89">
        <v>46</v>
      </c>
      <c r="P210" s="90">
        <v>48</v>
      </c>
    </row>
    <row r="211" spans="1:16">
      <c r="A211" s="87">
        <v>864</v>
      </c>
      <c r="B211" s="88">
        <v>40582</v>
      </c>
      <c r="C211" s="89">
        <v>1</v>
      </c>
      <c r="D211" s="89">
        <v>0</v>
      </c>
      <c r="E211" s="89">
        <v>2</v>
      </c>
      <c r="F211" s="89">
        <v>10</v>
      </c>
      <c r="G211" s="89" t="b">
        <v>0</v>
      </c>
      <c r="H211" s="89">
        <v>2</v>
      </c>
      <c r="I211" s="89">
        <v>1</v>
      </c>
      <c r="J211" s="89">
        <v>0.22</v>
      </c>
      <c r="K211" s="89">
        <v>0.18179999999999999</v>
      </c>
      <c r="L211" s="89">
        <v>0.47</v>
      </c>
      <c r="M211" s="89">
        <v>0.55220000000000002</v>
      </c>
      <c r="N211" s="89">
        <v>4</v>
      </c>
      <c r="O211" s="89">
        <v>44</v>
      </c>
      <c r="P211" s="90">
        <v>48</v>
      </c>
    </row>
    <row r="212" spans="1:16">
      <c r="A212" s="87">
        <v>914</v>
      </c>
      <c r="B212" s="88">
        <v>40584</v>
      </c>
      <c r="C212" s="89">
        <v>1</v>
      </c>
      <c r="D212" s="89">
        <v>0</v>
      </c>
      <c r="E212" s="89">
        <v>2</v>
      </c>
      <c r="F212" s="89">
        <v>14</v>
      </c>
      <c r="G212" s="89" t="b">
        <v>0</v>
      </c>
      <c r="H212" s="89">
        <v>4</v>
      </c>
      <c r="I212" s="89">
        <v>1</v>
      </c>
      <c r="J212" s="89">
        <v>0.2</v>
      </c>
      <c r="K212" s="89">
        <v>0.18179999999999999</v>
      </c>
      <c r="L212" s="89">
        <v>0.27</v>
      </c>
      <c r="M212" s="89">
        <v>0.28360000000000002</v>
      </c>
      <c r="N212" s="89">
        <v>6</v>
      </c>
      <c r="O212" s="89">
        <v>42</v>
      </c>
      <c r="P212" s="90">
        <v>48</v>
      </c>
    </row>
    <row r="213" spans="1:16">
      <c r="A213" s="87">
        <v>698</v>
      </c>
      <c r="B213" s="88">
        <v>40575</v>
      </c>
      <c r="C213" s="89">
        <v>1</v>
      </c>
      <c r="D213" s="89">
        <v>0</v>
      </c>
      <c r="E213" s="89">
        <v>2</v>
      </c>
      <c r="F213" s="89">
        <v>10</v>
      </c>
      <c r="G213" s="89" t="b">
        <v>0</v>
      </c>
      <c r="H213" s="89">
        <v>2</v>
      </c>
      <c r="I213" s="89">
        <v>2</v>
      </c>
      <c r="J213" s="89">
        <v>0.16</v>
      </c>
      <c r="K213" s="89">
        <v>0.2273</v>
      </c>
      <c r="L213" s="89">
        <v>0.93</v>
      </c>
      <c r="M213" s="89">
        <v>0</v>
      </c>
      <c r="N213" s="89">
        <v>0</v>
      </c>
      <c r="O213" s="89">
        <v>47</v>
      </c>
      <c r="P213" s="90">
        <v>47</v>
      </c>
    </row>
    <row r="214" spans="1:16">
      <c r="A214" s="87">
        <v>749</v>
      </c>
      <c r="B214" s="88">
        <v>40577</v>
      </c>
      <c r="C214" s="89">
        <v>1</v>
      </c>
      <c r="D214" s="89">
        <v>0</v>
      </c>
      <c r="E214" s="89">
        <v>2</v>
      </c>
      <c r="F214" s="89">
        <v>14</v>
      </c>
      <c r="G214" s="89" t="b">
        <v>0</v>
      </c>
      <c r="H214" s="89">
        <v>4</v>
      </c>
      <c r="I214" s="89">
        <v>1</v>
      </c>
      <c r="J214" s="89">
        <v>0.22</v>
      </c>
      <c r="K214" s="89">
        <v>0.19700000000000001</v>
      </c>
      <c r="L214" s="89">
        <v>0.37</v>
      </c>
      <c r="M214" s="89">
        <v>0.3881</v>
      </c>
      <c r="N214" s="89">
        <v>4</v>
      </c>
      <c r="O214" s="89">
        <v>43</v>
      </c>
      <c r="P214" s="90">
        <v>47</v>
      </c>
    </row>
    <row r="215" spans="1:16">
      <c r="A215" s="87">
        <v>793</v>
      </c>
      <c r="B215" s="88">
        <v>40579</v>
      </c>
      <c r="C215" s="89">
        <v>1</v>
      </c>
      <c r="D215" s="89">
        <v>0</v>
      </c>
      <c r="E215" s="89">
        <v>2</v>
      </c>
      <c r="F215" s="89">
        <v>11</v>
      </c>
      <c r="G215" s="89" t="b">
        <v>0</v>
      </c>
      <c r="H215" s="89">
        <v>6</v>
      </c>
      <c r="I215" s="89">
        <v>3</v>
      </c>
      <c r="J215" s="89">
        <v>0.22</v>
      </c>
      <c r="K215" s="89">
        <v>0.2273</v>
      </c>
      <c r="L215" s="89">
        <v>1</v>
      </c>
      <c r="M215" s="89">
        <v>0.1343</v>
      </c>
      <c r="N215" s="89">
        <v>1</v>
      </c>
      <c r="O215" s="89">
        <v>46</v>
      </c>
      <c r="P215" s="90">
        <v>47</v>
      </c>
    </row>
    <row r="216" spans="1:16">
      <c r="A216" s="87">
        <v>841</v>
      </c>
      <c r="B216" s="88">
        <v>40581</v>
      </c>
      <c r="C216" s="89">
        <v>1</v>
      </c>
      <c r="D216" s="89">
        <v>0</v>
      </c>
      <c r="E216" s="89">
        <v>2</v>
      </c>
      <c r="F216" s="89">
        <v>11</v>
      </c>
      <c r="G216" s="89" t="b">
        <v>0</v>
      </c>
      <c r="H216" s="89">
        <v>1</v>
      </c>
      <c r="I216" s="89">
        <v>1</v>
      </c>
      <c r="J216" s="89">
        <v>0.3</v>
      </c>
      <c r="K216" s="89">
        <v>0.31819999999999998</v>
      </c>
      <c r="L216" s="89">
        <v>0.65</v>
      </c>
      <c r="M216" s="89">
        <v>8.9599999999999999E-2</v>
      </c>
      <c r="N216" s="89">
        <v>11</v>
      </c>
      <c r="O216" s="89">
        <v>36</v>
      </c>
      <c r="P216" s="90">
        <v>47</v>
      </c>
    </row>
    <row r="217" spans="1:16">
      <c r="A217" s="87">
        <v>943</v>
      </c>
      <c r="B217" s="88">
        <v>40585</v>
      </c>
      <c r="C217" s="89">
        <v>1</v>
      </c>
      <c r="D217" s="89">
        <v>0</v>
      </c>
      <c r="E217" s="89">
        <v>2</v>
      </c>
      <c r="F217" s="89">
        <v>21</v>
      </c>
      <c r="G217" s="89" t="b">
        <v>0</v>
      </c>
      <c r="H217" s="89">
        <v>5</v>
      </c>
      <c r="I217" s="89">
        <v>1</v>
      </c>
      <c r="J217" s="89">
        <v>0.2</v>
      </c>
      <c r="K217" s="89">
        <v>0.21210000000000001</v>
      </c>
      <c r="L217" s="89">
        <v>0.59</v>
      </c>
      <c r="M217" s="89">
        <v>0.1343</v>
      </c>
      <c r="N217" s="89">
        <v>1</v>
      </c>
      <c r="O217" s="89">
        <v>46</v>
      </c>
      <c r="P217" s="90">
        <v>47</v>
      </c>
    </row>
    <row r="218" spans="1:16">
      <c r="A218" s="87">
        <v>978</v>
      </c>
      <c r="B218" s="88">
        <v>40587</v>
      </c>
      <c r="C218" s="89">
        <v>1</v>
      </c>
      <c r="D218" s="89">
        <v>0</v>
      </c>
      <c r="E218" s="89">
        <v>2</v>
      </c>
      <c r="F218" s="89">
        <v>9</v>
      </c>
      <c r="G218" s="89" t="b">
        <v>0</v>
      </c>
      <c r="H218" s="89">
        <v>0</v>
      </c>
      <c r="I218" s="89">
        <v>2</v>
      </c>
      <c r="J218" s="89">
        <v>0.24</v>
      </c>
      <c r="K218" s="89">
        <v>0.2273</v>
      </c>
      <c r="L218" s="89">
        <v>0.6</v>
      </c>
      <c r="M218" s="89">
        <v>0.22389999999999999</v>
      </c>
      <c r="N218" s="89">
        <v>12</v>
      </c>
      <c r="O218" s="89">
        <v>35</v>
      </c>
      <c r="P218" s="90">
        <v>47</v>
      </c>
    </row>
    <row r="219" spans="1:16">
      <c r="A219" s="87">
        <v>989</v>
      </c>
      <c r="B219" s="88">
        <v>40587</v>
      </c>
      <c r="C219" s="89">
        <v>1</v>
      </c>
      <c r="D219" s="89">
        <v>0</v>
      </c>
      <c r="E219" s="89">
        <v>2</v>
      </c>
      <c r="F219" s="89">
        <v>20</v>
      </c>
      <c r="G219" s="89" t="b">
        <v>0</v>
      </c>
      <c r="H219" s="89">
        <v>0</v>
      </c>
      <c r="I219" s="89">
        <v>1</v>
      </c>
      <c r="J219" s="89">
        <v>0.4</v>
      </c>
      <c r="K219" s="89">
        <v>0.40910000000000002</v>
      </c>
      <c r="L219" s="89">
        <v>0.35</v>
      </c>
      <c r="M219" s="89">
        <v>0.32840000000000003</v>
      </c>
      <c r="N219" s="89">
        <v>15</v>
      </c>
      <c r="O219" s="89">
        <v>32</v>
      </c>
      <c r="P219" s="90">
        <v>47</v>
      </c>
    </row>
    <row r="220" spans="1:16">
      <c r="A220" s="87">
        <v>780</v>
      </c>
      <c r="B220" s="88">
        <v>40578</v>
      </c>
      <c r="C220" s="89">
        <v>1</v>
      </c>
      <c r="D220" s="89">
        <v>0</v>
      </c>
      <c r="E220" s="89">
        <v>2</v>
      </c>
      <c r="F220" s="89">
        <v>22</v>
      </c>
      <c r="G220" s="89" t="b">
        <v>0</v>
      </c>
      <c r="H220" s="89">
        <v>5</v>
      </c>
      <c r="I220" s="89">
        <v>2</v>
      </c>
      <c r="J220" s="89">
        <v>0.24</v>
      </c>
      <c r="K220" s="89">
        <v>0.2424</v>
      </c>
      <c r="L220" s="89">
        <v>0.65</v>
      </c>
      <c r="M220" s="89">
        <v>0.16420000000000001</v>
      </c>
      <c r="N220" s="89">
        <v>1</v>
      </c>
      <c r="O220" s="89">
        <v>45</v>
      </c>
      <c r="P220" s="90">
        <v>46</v>
      </c>
    </row>
    <row r="221" spans="1:16">
      <c r="A221" s="87">
        <v>899</v>
      </c>
      <c r="B221" s="88">
        <v>40583</v>
      </c>
      <c r="C221" s="89">
        <v>1</v>
      </c>
      <c r="D221" s="89">
        <v>0</v>
      </c>
      <c r="E221" s="89">
        <v>2</v>
      </c>
      <c r="F221" s="89">
        <v>22</v>
      </c>
      <c r="G221" s="89" t="b">
        <v>0</v>
      </c>
      <c r="H221" s="89">
        <v>3</v>
      </c>
      <c r="I221" s="89">
        <v>3</v>
      </c>
      <c r="J221" s="89">
        <v>0.16</v>
      </c>
      <c r="K221" s="89">
        <v>0.16669999999999999</v>
      </c>
      <c r="L221" s="89">
        <v>0.8</v>
      </c>
      <c r="M221" s="89">
        <v>0.16420000000000001</v>
      </c>
      <c r="N221" s="89">
        <v>4</v>
      </c>
      <c r="O221" s="89">
        <v>42</v>
      </c>
      <c r="P221" s="90">
        <v>46</v>
      </c>
    </row>
    <row r="222" spans="1:16">
      <c r="A222" s="87">
        <v>804</v>
      </c>
      <c r="B222" s="88">
        <v>40579</v>
      </c>
      <c r="C222" s="89">
        <v>1</v>
      </c>
      <c r="D222" s="89">
        <v>0</v>
      </c>
      <c r="E222" s="89">
        <v>2</v>
      </c>
      <c r="F222" s="89">
        <v>22</v>
      </c>
      <c r="G222" s="89" t="b">
        <v>0</v>
      </c>
      <c r="H222" s="89">
        <v>6</v>
      </c>
      <c r="I222" s="89">
        <v>1</v>
      </c>
      <c r="J222" s="89">
        <v>0.26</v>
      </c>
      <c r="K222" s="89">
        <v>0.2727</v>
      </c>
      <c r="L222" s="89">
        <v>0.93</v>
      </c>
      <c r="M222" s="89">
        <v>0.1343</v>
      </c>
      <c r="N222" s="89">
        <v>2</v>
      </c>
      <c r="O222" s="89">
        <v>43</v>
      </c>
      <c r="P222" s="90">
        <v>45</v>
      </c>
    </row>
    <row r="223" spans="1:16">
      <c r="A223" s="87">
        <v>815</v>
      </c>
      <c r="B223" s="88">
        <v>40580</v>
      </c>
      <c r="C223" s="89">
        <v>1</v>
      </c>
      <c r="D223" s="89">
        <v>0</v>
      </c>
      <c r="E223" s="89">
        <v>2</v>
      </c>
      <c r="F223" s="89">
        <v>9</v>
      </c>
      <c r="G223" s="89" t="b">
        <v>0</v>
      </c>
      <c r="H223" s="89">
        <v>0</v>
      </c>
      <c r="I223" s="89">
        <v>1</v>
      </c>
      <c r="J223" s="89">
        <v>0.28000000000000003</v>
      </c>
      <c r="K223" s="89">
        <v>0.28789999999999999</v>
      </c>
      <c r="L223" s="89">
        <v>0.56000000000000005</v>
      </c>
      <c r="M223" s="89">
        <v>0.1045</v>
      </c>
      <c r="N223" s="89">
        <v>7</v>
      </c>
      <c r="O223" s="89">
        <v>38</v>
      </c>
      <c r="P223" s="90">
        <v>45</v>
      </c>
    </row>
    <row r="224" spans="1:16">
      <c r="A224" s="87">
        <v>911</v>
      </c>
      <c r="B224" s="88">
        <v>40584</v>
      </c>
      <c r="C224" s="89">
        <v>1</v>
      </c>
      <c r="D224" s="89">
        <v>0</v>
      </c>
      <c r="E224" s="89">
        <v>2</v>
      </c>
      <c r="F224" s="89">
        <v>11</v>
      </c>
      <c r="G224" s="89" t="b">
        <v>0</v>
      </c>
      <c r="H224" s="89">
        <v>4</v>
      </c>
      <c r="I224" s="89">
        <v>1</v>
      </c>
      <c r="J224" s="89">
        <v>0.14000000000000001</v>
      </c>
      <c r="K224" s="89">
        <v>0.1212</v>
      </c>
      <c r="L224" s="89">
        <v>0.39</v>
      </c>
      <c r="M224" s="89">
        <v>0.35820000000000002</v>
      </c>
      <c r="N224" s="89">
        <v>1</v>
      </c>
      <c r="O224" s="89">
        <v>44</v>
      </c>
      <c r="P224" s="90">
        <v>45</v>
      </c>
    </row>
    <row r="225" spans="1:16">
      <c r="A225" s="87">
        <v>968</v>
      </c>
      <c r="B225" s="88">
        <v>40586</v>
      </c>
      <c r="C225" s="89">
        <v>1</v>
      </c>
      <c r="D225" s="89">
        <v>0</v>
      </c>
      <c r="E225" s="89">
        <v>2</v>
      </c>
      <c r="F225" s="89">
        <v>22</v>
      </c>
      <c r="G225" s="89" t="b">
        <v>0</v>
      </c>
      <c r="H225" s="89">
        <v>6</v>
      </c>
      <c r="I225" s="89">
        <v>1</v>
      </c>
      <c r="J225" s="89">
        <v>0.24</v>
      </c>
      <c r="K225" s="89">
        <v>0.2576</v>
      </c>
      <c r="L225" s="89">
        <v>0.44</v>
      </c>
      <c r="M225" s="89">
        <v>8.9599999999999999E-2</v>
      </c>
      <c r="N225" s="89">
        <v>6</v>
      </c>
      <c r="O225" s="89">
        <v>39</v>
      </c>
      <c r="P225" s="90">
        <v>45</v>
      </c>
    </row>
    <row r="226" spans="1:16">
      <c r="A226" s="87">
        <v>680</v>
      </c>
      <c r="B226" s="88">
        <v>40574</v>
      </c>
      <c r="C226" s="89">
        <v>1</v>
      </c>
      <c r="D226" s="89">
        <v>0</v>
      </c>
      <c r="E226" s="89">
        <v>1</v>
      </c>
      <c r="F226" s="89">
        <v>15</v>
      </c>
      <c r="G226" s="89" t="b">
        <v>0</v>
      </c>
      <c r="H226" s="89">
        <v>1</v>
      </c>
      <c r="I226" s="89">
        <v>2</v>
      </c>
      <c r="J226" s="89">
        <v>0.16</v>
      </c>
      <c r="K226" s="89">
        <v>0.18179999999999999</v>
      </c>
      <c r="L226" s="89">
        <v>0.59</v>
      </c>
      <c r="M226" s="89">
        <v>0.1343</v>
      </c>
      <c r="N226" s="89">
        <v>3</v>
      </c>
      <c r="O226" s="89">
        <v>41</v>
      </c>
      <c r="P226" s="90">
        <v>44</v>
      </c>
    </row>
    <row r="227" spans="1:16">
      <c r="A227" s="87">
        <v>807</v>
      </c>
      <c r="B227" s="88">
        <v>40580</v>
      </c>
      <c r="C227" s="89">
        <v>1</v>
      </c>
      <c r="D227" s="89">
        <v>0</v>
      </c>
      <c r="E227" s="89">
        <v>2</v>
      </c>
      <c r="F227" s="89">
        <v>1</v>
      </c>
      <c r="G227" s="89" t="b">
        <v>0</v>
      </c>
      <c r="H227" s="89">
        <v>0</v>
      </c>
      <c r="I227" s="89">
        <v>1</v>
      </c>
      <c r="J227" s="89">
        <v>0.26</v>
      </c>
      <c r="K227" s="89">
        <v>0.2273</v>
      </c>
      <c r="L227" s="89">
        <v>0.65</v>
      </c>
      <c r="M227" s="89">
        <v>0.41789999999999999</v>
      </c>
      <c r="N227" s="89">
        <v>4</v>
      </c>
      <c r="O227" s="89">
        <v>40</v>
      </c>
      <c r="P227" s="90">
        <v>44</v>
      </c>
    </row>
    <row r="228" spans="1:16">
      <c r="A228" s="87">
        <v>932</v>
      </c>
      <c r="B228" s="88">
        <v>40585</v>
      </c>
      <c r="C228" s="89">
        <v>1</v>
      </c>
      <c r="D228" s="89">
        <v>0</v>
      </c>
      <c r="E228" s="89">
        <v>2</v>
      </c>
      <c r="F228" s="89">
        <v>10</v>
      </c>
      <c r="G228" s="89" t="b">
        <v>0</v>
      </c>
      <c r="H228" s="89">
        <v>5</v>
      </c>
      <c r="I228" s="89">
        <v>1</v>
      </c>
      <c r="J228" s="89">
        <v>0.14000000000000001</v>
      </c>
      <c r="K228" s="89">
        <v>0.13639999999999999</v>
      </c>
      <c r="L228" s="89">
        <v>0.69</v>
      </c>
      <c r="M228" s="89">
        <v>0.19400000000000001</v>
      </c>
      <c r="N228" s="89">
        <v>5</v>
      </c>
      <c r="O228" s="89">
        <v>39</v>
      </c>
      <c r="P228" s="90">
        <v>44</v>
      </c>
    </row>
    <row r="229" spans="1:16">
      <c r="A229" s="87">
        <v>638</v>
      </c>
      <c r="B229" s="88">
        <v>40572</v>
      </c>
      <c r="C229" s="89">
        <v>1</v>
      </c>
      <c r="D229" s="89">
        <v>0</v>
      </c>
      <c r="E229" s="89">
        <v>1</v>
      </c>
      <c r="F229" s="89">
        <v>20</v>
      </c>
      <c r="G229" s="89" t="b">
        <v>0</v>
      </c>
      <c r="H229" s="89">
        <v>6</v>
      </c>
      <c r="I229" s="89">
        <v>1</v>
      </c>
      <c r="J229" s="89">
        <v>0.18</v>
      </c>
      <c r="K229" s="89">
        <v>0.21210000000000001</v>
      </c>
      <c r="L229" s="89">
        <v>0.74</v>
      </c>
      <c r="M229" s="89">
        <v>8.9599999999999999E-2</v>
      </c>
      <c r="N229" s="89">
        <v>1</v>
      </c>
      <c r="O229" s="89">
        <v>42</v>
      </c>
      <c r="P229" s="90">
        <v>43</v>
      </c>
    </row>
    <row r="230" spans="1:16">
      <c r="A230" s="87">
        <v>779</v>
      </c>
      <c r="B230" s="88">
        <v>40578</v>
      </c>
      <c r="C230" s="89">
        <v>1</v>
      </c>
      <c r="D230" s="89">
        <v>0</v>
      </c>
      <c r="E230" s="89">
        <v>2</v>
      </c>
      <c r="F230" s="89">
        <v>21</v>
      </c>
      <c r="G230" s="89" t="b">
        <v>0</v>
      </c>
      <c r="H230" s="89">
        <v>5</v>
      </c>
      <c r="I230" s="89">
        <v>2</v>
      </c>
      <c r="J230" s="89">
        <v>0.24</v>
      </c>
      <c r="K230" s="89">
        <v>0.2424</v>
      </c>
      <c r="L230" s="89">
        <v>0.7</v>
      </c>
      <c r="M230" s="89">
        <v>0.16420000000000001</v>
      </c>
      <c r="N230" s="89">
        <v>2</v>
      </c>
      <c r="O230" s="89">
        <v>41</v>
      </c>
      <c r="P230" s="90">
        <v>43</v>
      </c>
    </row>
    <row r="231" spans="1:16">
      <c r="A231" s="87">
        <v>883</v>
      </c>
      <c r="B231" s="88">
        <v>40583</v>
      </c>
      <c r="C231" s="89">
        <v>1</v>
      </c>
      <c r="D231" s="89">
        <v>0</v>
      </c>
      <c r="E231" s="89">
        <v>2</v>
      </c>
      <c r="F231" s="89">
        <v>6</v>
      </c>
      <c r="G231" s="89" t="b">
        <v>0</v>
      </c>
      <c r="H231" s="89">
        <v>3</v>
      </c>
      <c r="I231" s="89">
        <v>1</v>
      </c>
      <c r="J231" s="89">
        <v>0.06</v>
      </c>
      <c r="K231" s="89">
        <v>0.1515</v>
      </c>
      <c r="L231" s="89">
        <v>0.45</v>
      </c>
      <c r="M231" s="89">
        <v>0</v>
      </c>
      <c r="N231" s="89">
        <v>0</v>
      </c>
      <c r="O231" s="89">
        <v>43</v>
      </c>
      <c r="P231" s="90">
        <v>43</v>
      </c>
    </row>
    <row r="232" spans="1:16">
      <c r="A232" s="87">
        <v>944</v>
      </c>
      <c r="B232" s="88">
        <v>40585</v>
      </c>
      <c r="C232" s="89">
        <v>1</v>
      </c>
      <c r="D232" s="89">
        <v>0</v>
      </c>
      <c r="E232" s="89">
        <v>2</v>
      </c>
      <c r="F232" s="89">
        <v>22</v>
      </c>
      <c r="G232" s="89" t="b">
        <v>0</v>
      </c>
      <c r="H232" s="89">
        <v>5</v>
      </c>
      <c r="I232" s="89">
        <v>1</v>
      </c>
      <c r="J232" s="89">
        <v>0.2</v>
      </c>
      <c r="K232" s="89">
        <v>0.2273</v>
      </c>
      <c r="L232" s="89">
        <v>0.64</v>
      </c>
      <c r="M232" s="89">
        <v>8.9599999999999999E-2</v>
      </c>
      <c r="N232" s="89">
        <v>2</v>
      </c>
      <c r="O232" s="89">
        <v>41</v>
      </c>
      <c r="P232" s="90">
        <v>43</v>
      </c>
    </row>
    <row r="233" spans="1:16">
      <c r="A233" s="87">
        <v>955</v>
      </c>
      <c r="B233" s="88">
        <v>40586</v>
      </c>
      <c r="C233" s="89">
        <v>1</v>
      </c>
      <c r="D233" s="89">
        <v>0</v>
      </c>
      <c r="E233" s="89">
        <v>2</v>
      </c>
      <c r="F233" s="89">
        <v>9</v>
      </c>
      <c r="G233" s="89" t="b">
        <v>0</v>
      </c>
      <c r="H233" s="89">
        <v>6</v>
      </c>
      <c r="I233" s="89">
        <v>1</v>
      </c>
      <c r="J233" s="89">
        <v>0.16</v>
      </c>
      <c r="K233" s="89">
        <v>0.18179999999999999</v>
      </c>
      <c r="L233" s="89">
        <v>0.64</v>
      </c>
      <c r="M233" s="89">
        <v>0.1343</v>
      </c>
      <c r="N233" s="89">
        <v>5</v>
      </c>
      <c r="O233" s="89">
        <v>38</v>
      </c>
      <c r="P233" s="90">
        <v>43</v>
      </c>
    </row>
    <row r="234" spans="1:16">
      <c r="A234" s="87">
        <v>757</v>
      </c>
      <c r="B234" s="88">
        <v>40577</v>
      </c>
      <c r="C234" s="89">
        <v>1</v>
      </c>
      <c r="D234" s="89">
        <v>0</v>
      </c>
      <c r="E234" s="89">
        <v>2</v>
      </c>
      <c r="F234" s="89">
        <v>22</v>
      </c>
      <c r="G234" s="89" t="b">
        <v>0</v>
      </c>
      <c r="H234" s="89">
        <v>4</v>
      </c>
      <c r="I234" s="89">
        <v>1</v>
      </c>
      <c r="J234" s="89">
        <v>0.18</v>
      </c>
      <c r="K234" s="89">
        <v>0.21210000000000001</v>
      </c>
      <c r="L234" s="89">
        <v>0.51</v>
      </c>
      <c r="M234" s="89">
        <v>8.9599999999999999E-2</v>
      </c>
      <c r="N234" s="89">
        <v>2</v>
      </c>
      <c r="O234" s="89">
        <v>39</v>
      </c>
      <c r="P234" s="90">
        <v>41</v>
      </c>
    </row>
    <row r="235" spans="1:16">
      <c r="A235" s="87">
        <v>888</v>
      </c>
      <c r="B235" s="88">
        <v>40583</v>
      </c>
      <c r="C235" s="89">
        <v>1</v>
      </c>
      <c r="D235" s="89">
        <v>0</v>
      </c>
      <c r="E235" s="89">
        <v>2</v>
      </c>
      <c r="F235" s="89">
        <v>11</v>
      </c>
      <c r="G235" s="89" t="b">
        <v>0</v>
      </c>
      <c r="H235" s="89">
        <v>3</v>
      </c>
      <c r="I235" s="89">
        <v>2</v>
      </c>
      <c r="J235" s="89">
        <v>0.14000000000000001</v>
      </c>
      <c r="K235" s="89">
        <v>0.1515</v>
      </c>
      <c r="L235" s="89">
        <v>0.43</v>
      </c>
      <c r="M235" s="89">
        <v>0.16420000000000001</v>
      </c>
      <c r="N235" s="89">
        <v>1</v>
      </c>
      <c r="O235" s="89">
        <v>40</v>
      </c>
      <c r="P235" s="90">
        <v>41</v>
      </c>
    </row>
    <row r="236" spans="1:16">
      <c r="A236" s="87">
        <v>965</v>
      </c>
      <c r="B236" s="88">
        <v>40586</v>
      </c>
      <c r="C236" s="89">
        <v>1</v>
      </c>
      <c r="D236" s="89">
        <v>0</v>
      </c>
      <c r="E236" s="89">
        <v>2</v>
      </c>
      <c r="F236" s="89">
        <v>19</v>
      </c>
      <c r="G236" s="89" t="b">
        <v>0</v>
      </c>
      <c r="H236" s="89">
        <v>6</v>
      </c>
      <c r="I236" s="89">
        <v>1</v>
      </c>
      <c r="J236" s="89">
        <v>0.28000000000000003</v>
      </c>
      <c r="K236" s="89">
        <v>0.2727</v>
      </c>
      <c r="L236" s="89">
        <v>0.38</v>
      </c>
      <c r="M236" s="89">
        <v>0.16420000000000001</v>
      </c>
      <c r="N236" s="89">
        <v>2</v>
      </c>
      <c r="O236" s="89">
        <v>39</v>
      </c>
      <c r="P236" s="90">
        <v>41</v>
      </c>
    </row>
    <row r="237" spans="1:16">
      <c r="A237" s="87">
        <v>734</v>
      </c>
      <c r="B237" s="88">
        <v>40576</v>
      </c>
      <c r="C237" s="89">
        <v>1</v>
      </c>
      <c r="D237" s="89">
        <v>0</v>
      </c>
      <c r="E237" s="89">
        <v>2</v>
      </c>
      <c r="F237" s="89">
        <v>22</v>
      </c>
      <c r="G237" s="89" t="b">
        <v>0</v>
      </c>
      <c r="H237" s="89">
        <v>3</v>
      </c>
      <c r="I237" s="89">
        <v>1</v>
      </c>
      <c r="J237" s="89">
        <v>0.22</v>
      </c>
      <c r="K237" s="89">
        <v>0.21210000000000001</v>
      </c>
      <c r="L237" s="89">
        <v>0.44</v>
      </c>
      <c r="M237" s="89">
        <v>0.25369999999999998</v>
      </c>
      <c r="N237" s="89">
        <v>5</v>
      </c>
      <c r="O237" s="89">
        <v>35</v>
      </c>
      <c r="P237" s="90">
        <v>40</v>
      </c>
    </row>
    <row r="238" spans="1:16">
      <c r="A238" s="87">
        <v>966</v>
      </c>
      <c r="B238" s="88">
        <v>40586</v>
      </c>
      <c r="C238" s="89">
        <v>1</v>
      </c>
      <c r="D238" s="89">
        <v>0</v>
      </c>
      <c r="E238" s="89">
        <v>2</v>
      </c>
      <c r="F238" s="89">
        <v>20</v>
      </c>
      <c r="G238" s="89" t="b">
        <v>0</v>
      </c>
      <c r="H238" s="89">
        <v>6</v>
      </c>
      <c r="I238" s="89">
        <v>1</v>
      </c>
      <c r="J238" s="89">
        <v>0.26</v>
      </c>
      <c r="K238" s="89">
        <v>0.2576</v>
      </c>
      <c r="L238" s="89">
        <v>0.41</v>
      </c>
      <c r="M238" s="89">
        <v>0.22389999999999999</v>
      </c>
      <c r="N238" s="89">
        <v>1</v>
      </c>
      <c r="O238" s="89">
        <v>39</v>
      </c>
      <c r="P238" s="90">
        <v>40</v>
      </c>
    </row>
    <row r="239" spans="1:16">
      <c r="A239" s="87">
        <v>741</v>
      </c>
      <c r="B239" s="88">
        <v>40577</v>
      </c>
      <c r="C239" s="89">
        <v>1</v>
      </c>
      <c r="D239" s="89">
        <v>0</v>
      </c>
      <c r="E239" s="89">
        <v>2</v>
      </c>
      <c r="F239" s="89">
        <v>6</v>
      </c>
      <c r="G239" s="89" t="b">
        <v>0</v>
      </c>
      <c r="H239" s="89">
        <v>4</v>
      </c>
      <c r="I239" s="89">
        <v>1</v>
      </c>
      <c r="J239" s="89">
        <v>0.16</v>
      </c>
      <c r="K239" s="89">
        <v>0.13639999999999999</v>
      </c>
      <c r="L239" s="89">
        <v>0.43</v>
      </c>
      <c r="M239" s="89">
        <v>0.35820000000000002</v>
      </c>
      <c r="N239" s="89">
        <v>0</v>
      </c>
      <c r="O239" s="89">
        <v>39</v>
      </c>
      <c r="P239" s="90">
        <v>39</v>
      </c>
    </row>
    <row r="240" spans="1:16">
      <c r="A240" s="87">
        <v>782</v>
      </c>
      <c r="B240" s="88">
        <v>40579</v>
      </c>
      <c r="C240" s="89">
        <v>1</v>
      </c>
      <c r="D240" s="89">
        <v>0</v>
      </c>
      <c r="E240" s="89">
        <v>2</v>
      </c>
      <c r="F240" s="89">
        <v>0</v>
      </c>
      <c r="G240" s="89" t="b">
        <v>0</v>
      </c>
      <c r="H240" s="89">
        <v>6</v>
      </c>
      <c r="I240" s="89">
        <v>2</v>
      </c>
      <c r="J240" s="89">
        <v>0.24</v>
      </c>
      <c r="K240" s="89">
        <v>0.2424</v>
      </c>
      <c r="L240" s="89">
        <v>0.7</v>
      </c>
      <c r="M240" s="89">
        <v>0.16420000000000001</v>
      </c>
      <c r="N240" s="89">
        <v>3</v>
      </c>
      <c r="O240" s="89">
        <v>36</v>
      </c>
      <c r="P240" s="90">
        <v>39</v>
      </c>
    </row>
    <row r="241" spans="1:16">
      <c r="A241" s="87">
        <v>806</v>
      </c>
      <c r="B241" s="88">
        <v>40580</v>
      </c>
      <c r="C241" s="89">
        <v>1</v>
      </c>
      <c r="D241" s="89">
        <v>0</v>
      </c>
      <c r="E241" s="89">
        <v>2</v>
      </c>
      <c r="F241" s="89">
        <v>0</v>
      </c>
      <c r="G241" s="89" t="b">
        <v>0</v>
      </c>
      <c r="H241" s="89">
        <v>0</v>
      </c>
      <c r="I241" s="89">
        <v>1</v>
      </c>
      <c r="J241" s="89">
        <v>0.26</v>
      </c>
      <c r="K241" s="89">
        <v>0.2576</v>
      </c>
      <c r="L241" s="89">
        <v>0.7</v>
      </c>
      <c r="M241" s="89">
        <v>0.19400000000000001</v>
      </c>
      <c r="N241" s="89">
        <v>2</v>
      </c>
      <c r="O241" s="89">
        <v>37</v>
      </c>
      <c r="P241" s="90">
        <v>39</v>
      </c>
    </row>
    <row r="242" spans="1:16">
      <c r="A242" s="87">
        <v>860</v>
      </c>
      <c r="B242" s="88">
        <v>40582</v>
      </c>
      <c r="C242" s="89">
        <v>1</v>
      </c>
      <c r="D242" s="89">
        <v>0</v>
      </c>
      <c r="E242" s="89">
        <v>2</v>
      </c>
      <c r="F242" s="89">
        <v>6</v>
      </c>
      <c r="G242" s="89" t="b">
        <v>0</v>
      </c>
      <c r="H242" s="89">
        <v>2</v>
      </c>
      <c r="I242" s="89">
        <v>1</v>
      </c>
      <c r="J242" s="89">
        <v>0.26</v>
      </c>
      <c r="K242" s="89">
        <v>0.2273</v>
      </c>
      <c r="L242" s="89">
        <v>0.7</v>
      </c>
      <c r="M242" s="89">
        <v>0.32840000000000003</v>
      </c>
      <c r="N242" s="89">
        <v>0</v>
      </c>
      <c r="O242" s="89">
        <v>39</v>
      </c>
      <c r="P242" s="90">
        <v>39</v>
      </c>
    </row>
    <row r="243" spans="1:16">
      <c r="A243" s="87">
        <v>970</v>
      </c>
      <c r="B243" s="88">
        <v>40587</v>
      </c>
      <c r="C243" s="89">
        <v>1</v>
      </c>
      <c r="D243" s="89">
        <v>0</v>
      </c>
      <c r="E243" s="89">
        <v>2</v>
      </c>
      <c r="F243" s="89">
        <v>0</v>
      </c>
      <c r="G243" s="89" t="b">
        <v>0</v>
      </c>
      <c r="H243" s="89">
        <v>0</v>
      </c>
      <c r="I243" s="89">
        <v>1</v>
      </c>
      <c r="J243" s="89">
        <v>0.2</v>
      </c>
      <c r="K243" s="89">
        <v>0.2273</v>
      </c>
      <c r="L243" s="89">
        <v>0.64</v>
      </c>
      <c r="M243" s="89">
        <v>0.1045</v>
      </c>
      <c r="N243" s="89">
        <v>5</v>
      </c>
      <c r="O243" s="89">
        <v>34</v>
      </c>
      <c r="P243" s="90">
        <v>39</v>
      </c>
    </row>
    <row r="244" spans="1:16">
      <c r="A244" s="87">
        <v>650</v>
      </c>
      <c r="B244" s="88">
        <v>40573</v>
      </c>
      <c r="C244" s="89">
        <v>1</v>
      </c>
      <c r="D244" s="89">
        <v>0</v>
      </c>
      <c r="E244" s="89">
        <v>1</v>
      </c>
      <c r="F244" s="89">
        <v>9</v>
      </c>
      <c r="G244" s="89" t="b">
        <v>0</v>
      </c>
      <c r="H244" s="89">
        <v>0</v>
      </c>
      <c r="I244" s="89">
        <v>2</v>
      </c>
      <c r="J244" s="89">
        <v>0.16</v>
      </c>
      <c r="K244" s="89">
        <v>0.2273</v>
      </c>
      <c r="L244" s="89">
        <v>0.8</v>
      </c>
      <c r="M244" s="89">
        <v>0</v>
      </c>
      <c r="N244" s="89">
        <v>4</v>
      </c>
      <c r="O244" s="89">
        <v>34</v>
      </c>
      <c r="P244" s="90">
        <v>38</v>
      </c>
    </row>
    <row r="245" spans="1:16">
      <c r="A245" s="87">
        <v>758</v>
      </c>
      <c r="B245" s="88">
        <v>40577</v>
      </c>
      <c r="C245" s="89">
        <v>1</v>
      </c>
      <c r="D245" s="89">
        <v>0</v>
      </c>
      <c r="E245" s="89">
        <v>2</v>
      </c>
      <c r="F245" s="89">
        <v>23</v>
      </c>
      <c r="G245" s="89" t="b">
        <v>0</v>
      </c>
      <c r="H245" s="89">
        <v>4</v>
      </c>
      <c r="I245" s="89">
        <v>1</v>
      </c>
      <c r="J245" s="89">
        <v>0.2</v>
      </c>
      <c r="K245" s="89">
        <v>0.2273</v>
      </c>
      <c r="L245" s="89">
        <v>0.47</v>
      </c>
      <c r="M245" s="89">
        <v>0.1045</v>
      </c>
      <c r="N245" s="89">
        <v>4</v>
      </c>
      <c r="O245" s="89">
        <v>34</v>
      </c>
      <c r="P245" s="90">
        <v>38</v>
      </c>
    </row>
    <row r="246" spans="1:16">
      <c r="A246" s="87">
        <v>671</v>
      </c>
      <c r="B246" s="88">
        <v>40574</v>
      </c>
      <c r="C246" s="89">
        <v>1</v>
      </c>
      <c r="D246" s="89">
        <v>0</v>
      </c>
      <c r="E246" s="89">
        <v>1</v>
      </c>
      <c r="F246" s="89">
        <v>6</v>
      </c>
      <c r="G246" s="89" t="b">
        <v>0</v>
      </c>
      <c r="H246" s="89">
        <v>1</v>
      </c>
      <c r="I246" s="89">
        <v>1</v>
      </c>
      <c r="J246" s="89">
        <v>0.16</v>
      </c>
      <c r="K246" s="89">
        <v>0.13639999999999999</v>
      </c>
      <c r="L246" s="89">
        <v>0.69</v>
      </c>
      <c r="M246" s="89">
        <v>0.32840000000000003</v>
      </c>
      <c r="N246" s="89">
        <v>0</v>
      </c>
      <c r="O246" s="89">
        <v>37</v>
      </c>
      <c r="P246" s="90">
        <v>37</v>
      </c>
    </row>
    <row r="247" spans="1:16">
      <c r="A247" s="87">
        <v>852</v>
      </c>
      <c r="B247" s="88">
        <v>40581</v>
      </c>
      <c r="C247" s="89">
        <v>1</v>
      </c>
      <c r="D247" s="89">
        <v>0</v>
      </c>
      <c r="E247" s="89">
        <v>2</v>
      </c>
      <c r="F247" s="89">
        <v>22</v>
      </c>
      <c r="G247" s="89" t="b">
        <v>0</v>
      </c>
      <c r="H247" s="89">
        <v>1</v>
      </c>
      <c r="I247" s="89">
        <v>1</v>
      </c>
      <c r="J247" s="89">
        <v>0.28000000000000003</v>
      </c>
      <c r="K247" s="89">
        <v>0.30299999999999999</v>
      </c>
      <c r="L247" s="89">
        <v>0.81</v>
      </c>
      <c r="M247" s="89">
        <v>8.9599999999999999E-2</v>
      </c>
      <c r="N247" s="89">
        <v>3</v>
      </c>
      <c r="O247" s="89">
        <v>34</v>
      </c>
      <c r="P247" s="90">
        <v>37</v>
      </c>
    </row>
    <row r="248" spans="1:16">
      <c r="A248" s="87">
        <v>900</v>
      </c>
      <c r="B248" s="88">
        <v>40583</v>
      </c>
      <c r="C248" s="89">
        <v>1</v>
      </c>
      <c r="D248" s="89">
        <v>0</v>
      </c>
      <c r="E248" s="89">
        <v>2</v>
      </c>
      <c r="F248" s="89">
        <v>23</v>
      </c>
      <c r="G248" s="89" t="b">
        <v>0</v>
      </c>
      <c r="H248" s="89">
        <v>3</v>
      </c>
      <c r="I248" s="89">
        <v>3</v>
      </c>
      <c r="J248" s="89">
        <v>0.16</v>
      </c>
      <c r="K248" s="89">
        <v>0.1515</v>
      </c>
      <c r="L248" s="89">
        <v>0.8</v>
      </c>
      <c r="M248" s="89">
        <v>0.19400000000000001</v>
      </c>
      <c r="N248" s="89">
        <v>0</v>
      </c>
      <c r="O248" s="89">
        <v>37</v>
      </c>
      <c r="P248" s="90">
        <v>37</v>
      </c>
    </row>
    <row r="249" spans="1:16">
      <c r="A249" s="87">
        <v>639</v>
      </c>
      <c r="B249" s="88">
        <v>40572</v>
      </c>
      <c r="C249" s="89">
        <v>1</v>
      </c>
      <c r="D249" s="89">
        <v>0</v>
      </c>
      <c r="E249" s="89">
        <v>1</v>
      </c>
      <c r="F249" s="89">
        <v>21</v>
      </c>
      <c r="G249" s="89" t="b">
        <v>0</v>
      </c>
      <c r="H249" s="89">
        <v>6</v>
      </c>
      <c r="I249" s="89">
        <v>1</v>
      </c>
      <c r="J249" s="89">
        <v>0.18</v>
      </c>
      <c r="K249" s="89">
        <v>0.21210000000000001</v>
      </c>
      <c r="L249" s="89">
        <v>0.74</v>
      </c>
      <c r="M249" s="89">
        <v>8.9599999999999999E-2</v>
      </c>
      <c r="N249" s="89">
        <v>1</v>
      </c>
      <c r="O249" s="89">
        <v>35</v>
      </c>
      <c r="P249" s="90">
        <v>36</v>
      </c>
    </row>
    <row r="250" spans="1:16">
      <c r="A250" s="87">
        <v>710</v>
      </c>
      <c r="B250" s="88">
        <v>40575</v>
      </c>
      <c r="C250" s="89">
        <v>1</v>
      </c>
      <c r="D250" s="89">
        <v>0</v>
      </c>
      <c r="E250" s="89">
        <v>2</v>
      </c>
      <c r="F250" s="89">
        <v>22</v>
      </c>
      <c r="G250" s="89" t="b">
        <v>0</v>
      </c>
      <c r="H250" s="89">
        <v>2</v>
      </c>
      <c r="I250" s="89">
        <v>2</v>
      </c>
      <c r="J250" s="89">
        <v>0.22</v>
      </c>
      <c r="K250" s="89">
        <v>0.2576</v>
      </c>
      <c r="L250" s="89">
        <v>0.87</v>
      </c>
      <c r="M250" s="89">
        <v>8.9599999999999999E-2</v>
      </c>
      <c r="N250" s="89">
        <v>2</v>
      </c>
      <c r="O250" s="89">
        <v>34</v>
      </c>
      <c r="P250" s="90">
        <v>36</v>
      </c>
    </row>
    <row r="251" spans="1:16">
      <c r="A251" s="87">
        <v>991</v>
      </c>
      <c r="B251" s="88">
        <v>40587</v>
      </c>
      <c r="C251" s="89">
        <v>1</v>
      </c>
      <c r="D251" s="89">
        <v>0</v>
      </c>
      <c r="E251" s="89">
        <v>2</v>
      </c>
      <c r="F251" s="89">
        <v>22</v>
      </c>
      <c r="G251" s="89" t="b">
        <v>0</v>
      </c>
      <c r="H251" s="89">
        <v>0</v>
      </c>
      <c r="I251" s="89">
        <v>1</v>
      </c>
      <c r="J251" s="89">
        <v>0.4</v>
      </c>
      <c r="K251" s="89">
        <v>0.40910000000000002</v>
      </c>
      <c r="L251" s="89">
        <v>0.35</v>
      </c>
      <c r="M251" s="89">
        <v>0.29849999999999999</v>
      </c>
      <c r="N251" s="89">
        <v>5</v>
      </c>
      <c r="O251" s="89">
        <v>31</v>
      </c>
      <c r="P251" s="90">
        <v>36</v>
      </c>
    </row>
    <row r="252" spans="1:16">
      <c r="A252" s="87">
        <v>910</v>
      </c>
      <c r="B252" s="88">
        <v>40584</v>
      </c>
      <c r="C252" s="89">
        <v>1</v>
      </c>
      <c r="D252" s="89">
        <v>0</v>
      </c>
      <c r="E252" s="89">
        <v>2</v>
      </c>
      <c r="F252" s="89">
        <v>10</v>
      </c>
      <c r="G252" s="89" t="b">
        <v>0</v>
      </c>
      <c r="H252" s="89">
        <v>4</v>
      </c>
      <c r="I252" s="89">
        <v>1</v>
      </c>
      <c r="J252" s="89">
        <v>0.12</v>
      </c>
      <c r="K252" s="89">
        <v>0.1061</v>
      </c>
      <c r="L252" s="89">
        <v>0.42</v>
      </c>
      <c r="M252" s="89">
        <v>0.29849999999999999</v>
      </c>
      <c r="N252" s="89">
        <v>1</v>
      </c>
      <c r="O252" s="89">
        <v>34</v>
      </c>
      <c r="P252" s="90">
        <v>35</v>
      </c>
    </row>
    <row r="253" spans="1:16">
      <c r="A253" s="87">
        <v>626</v>
      </c>
      <c r="B253" s="88">
        <v>40572</v>
      </c>
      <c r="C253" s="89">
        <v>1</v>
      </c>
      <c r="D253" s="89">
        <v>0</v>
      </c>
      <c r="E253" s="89">
        <v>1</v>
      </c>
      <c r="F253" s="89">
        <v>8</v>
      </c>
      <c r="G253" s="89" t="b">
        <v>0</v>
      </c>
      <c r="H253" s="89">
        <v>6</v>
      </c>
      <c r="I253" s="89">
        <v>1</v>
      </c>
      <c r="J253" s="89">
        <v>0.18</v>
      </c>
      <c r="K253" s="89">
        <v>0.19700000000000001</v>
      </c>
      <c r="L253" s="89">
        <v>0.55000000000000004</v>
      </c>
      <c r="M253" s="89">
        <v>0.16420000000000001</v>
      </c>
      <c r="N253" s="89">
        <v>3</v>
      </c>
      <c r="O253" s="89">
        <v>31</v>
      </c>
      <c r="P253" s="90">
        <v>34</v>
      </c>
    </row>
    <row r="254" spans="1:16">
      <c r="A254" s="87">
        <v>627</v>
      </c>
      <c r="B254" s="88">
        <v>40572</v>
      </c>
      <c r="C254" s="89">
        <v>1</v>
      </c>
      <c r="D254" s="89">
        <v>0</v>
      </c>
      <c r="E254" s="89">
        <v>1</v>
      </c>
      <c r="F254" s="89">
        <v>9</v>
      </c>
      <c r="G254" s="89" t="b">
        <v>0</v>
      </c>
      <c r="H254" s="89">
        <v>6</v>
      </c>
      <c r="I254" s="89">
        <v>1</v>
      </c>
      <c r="J254" s="89">
        <v>0.18</v>
      </c>
      <c r="K254" s="89">
        <v>0.21210000000000001</v>
      </c>
      <c r="L254" s="89">
        <v>0.59</v>
      </c>
      <c r="M254" s="89">
        <v>8.9599999999999999E-2</v>
      </c>
      <c r="N254" s="89">
        <v>0</v>
      </c>
      <c r="O254" s="89">
        <v>34</v>
      </c>
      <c r="P254" s="90">
        <v>34</v>
      </c>
    </row>
    <row r="255" spans="1:16">
      <c r="A255" s="87">
        <v>687</v>
      </c>
      <c r="B255" s="88">
        <v>40574</v>
      </c>
      <c r="C255" s="89">
        <v>1</v>
      </c>
      <c r="D255" s="89">
        <v>0</v>
      </c>
      <c r="E255" s="89">
        <v>1</v>
      </c>
      <c r="F255" s="89">
        <v>22</v>
      </c>
      <c r="G255" s="89" t="b">
        <v>0</v>
      </c>
      <c r="H255" s="89">
        <v>1</v>
      </c>
      <c r="I255" s="89">
        <v>2</v>
      </c>
      <c r="J255" s="89">
        <v>0.16</v>
      </c>
      <c r="K255" s="89">
        <v>0.18179999999999999</v>
      </c>
      <c r="L255" s="89">
        <v>0.59</v>
      </c>
      <c r="M255" s="89">
        <v>0.1045</v>
      </c>
      <c r="N255" s="89">
        <v>0</v>
      </c>
      <c r="O255" s="89">
        <v>34</v>
      </c>
      <c r="P255" s="90">
        <v>34</v>
      </c>
    </row>
    <row r="256" spans="1:16">
      <c r="A256" s="87">
        <v>792</v>
      </c>
      <c r="B256" s="88">
        <v>40579</v>
      </c>
      <c r="C256" s="89">
        <v>1</v>
      </c>
      <c r="D256" s="89">
        <v>0</v>
      </c>
      <c r="E256" s="89">
        <v>2</v>
      </c>
      <c r="F256" s="89">
        <v>10</v>
      </c>
      <c r="G256" s="89" t="b">
        <v>0</v>
      </c>
      <c r="H256" s="89">
        <v>6</v>
      </c>
      <c r="I256" s="89">
        <v>3</v>
      </c>
      <c r="J256" s="89">
        <v>0.2</v>
      </c>
      <c r="K256" s="89">
        <v>0.21210000000000001</v>
      </c>
      <c r="L256" s="89">
        <v>1</v>
      </c>
      <c r="M256" s="89">
        <v>0.1343</v>
      </c>
      <c r="N256" s="89">
        <v>3</v>
      </c>
      <c r="O256" s="89">
        <v>31</v>
      </c>
      <c r="P256" s="90">
        <v>34</v>
      </c>
    </row>
    <row r="257" spans="1:16">
      <c r="A257" s="87">
        <v>923</v>
      </c>
      <c r="B257" s="88">
        <v>40584</v>
      </c>
      <c r="C257" s="89">
        <v>1</v>
      </c>
      <c r="D257" s="89">
        <v>0</v>
      </c>
      <c r="E257" s="89">
        <v>2</v>
      </c>
      <c r="F257" s="89">
        <v>23</v>
      </c>
      <c r="G257" s="89" t="b">
        <v>0</v>
      </c>
      <c r="H257" s="89">
        <v>4</v>
      </c>
      <c r="I257" s="89">
        <v>1</v>
      </c>
      <c r="J257" s="89">
        <v>0.12</v>
      </c>
      <c r="K257" s="89">
        <v>0.1515</v>
      </c>
      <c r="L257" s="89">
        <v>0.42</v>
      </c>
      <c r="M257" s="89">
        <v>0.1045</v>
      </c>
      <c r="N257" s="89">
        <v>1</v>
      </c>
      <c r="O257" s="89">
        <v>33</v>
      </c>
      <c r="P257" s="90">
        <v>34</v>
      </c>
    </row>
    <row r="258" spans="1:16">
      <c r="A258" s="87">
        <v>641</v>
      </c>
      <c r="B258" s="88">
        <v>40572</v>
      </c>
      <c r="C258" s="89">
        <v>1</v>
      </c>
      <c r="D258" s="89">
        <v>0</v>
      </c>
      <c r="E258" s="89">
        <v>1</v>
      </c>
      <c r="F258" s="89">
        <v>23</v>
      </c>
      <c r="G258" s="89" t="b">
        <v>0</v>
      </c>
      <c r="H258" s="89">
        <v>6</v>
      </c>
      <c r="I258" s="89">
        <v>1</v>
      </c>
      <c r="J258" s="89">
        <v>0.16</v>
      </c>
      <c r="K258" s="89">
        <v>0.19700000000000001</v>
      </c>
      <c r="L258" s="89">
        <v>0.8</v>
      </c>
      <c r="M258" s="89">
        <v>8.9599999999999999E-2</v>
      </c>
      <c r="N258" s="89">
        <v>3</v>
      </c>
      <c r="O258" s="89">
        <v>30</v>
      </c>
      <c r="P258" s="90">
        <v>33</v>
      </c>
    </row>
    <row r="259" spans="1:16">
      <c r="A259" s="87">
        <v>642</v>
      </c>
      <c r="B259" s="88">
        <v>40573</v>
      </c>
      <c r="C259" s="89">
        <v>1</v>
      </c>
      <c r="D259" s="89">
        <v>0</v>
      </c>
      <c r="E259" s="89">
        <v>1</v>
      </c>
      <c r="F259" s="89">
        <v>0</v>
      </c>
      <c r="G259" s="89" t="b">
        <v>0</v>
      </c>
      <c r="H259" s="89">
        <v>0</v>
      </c>
      <c r="I259" s="89">
        <v>1</v>
      </c>
      <c r="J259" s="89">
        <v>0.16</v>
      </c>
      <c r="K259" s="89">
        <v>0.18179999999999999</v>
      </c>
      <c r="L259" s="89">
        <v>0.8</v>
      </c>
      <c r="M259" s="89">
        <v>0.1045</v>
      </c>
      <c r="N259" s="89">
        <v>0</v>
      </c>
      <c r="O259" s="89">
        <v>33</v>
      </c>
      <c r="P259" s="90">
        <v>33</v>
      </c>
    </row>
    <row r="260" spans="1:16">
      <c r="A260" s="87">
        <v>661</v>
      </c>
      <c r="B260" s="88">
        <v>40573</v>
      </c>
      <c r="C260" s="89">
        <v>1</v>
      </c>
      <c r="D260" s="89">
        <v>0</v>
      </c>
      <c r="E260" s="89">
        <v>1</v>
      </c>
      <c r="F260" s="89">
        <v>20</v>
      </c>
      <c r="G260" s="89" t="b">
        <v>0</v>
      </c>
      <c r="H260" s="89">
        <v>0</v>
      </c>
      <c r="I260" s="89">
        <v>2</v>
      </c>
      <c r="J260" s="89">
        <v>0.26</v>
      </c>
      <c r="K260" s="89">
        <v>0.2727</v>
      </c>
      <c r="L260" s="89">
        <v>0.65</v>
      </c>
      <c r="M260" s="89">
        <v>0.1045</v>
      </c>
      <c r="N260" s="89">
        <v>3</v>
      </c>
      <c r="O260" s="89">
        <v>30</v>
      </c>
      <c r="P260" s="90">
        <v>33</v>
      </c>
    </row>
    <row r="261" spans="1:16">
      <c r="A261" s="87">
        <v>640</v>
      </c>
      <c r="B261" s="88">
        <v>40572</v>
      </c>
      <c r="C261" s="89">
        <v>1</v>
      </c>
      <c r="D261" s="89">
        <v>0</v>
      </c>
      <c r="E261" s="89">
        <v>1</v>
      </c>
      <c r="F261" s="89">
        <v>22</v>
      </c>
      <c r="G261" s="89" t="b">
        <v>0</v>
      </c>
      <c r="H261" s="89">
        <v>6</v>
      </c>
      <c r="I261" s="89">
        <v>1</v>
      </c>
      <c r="J261" s="89">
        <v>0.16</v>
      </c>
      <c r="K261" s="89">
        <v>0.19700000000000001</v>
      </c>
      <c r="L261" s="89">
        <v>0.8</v>
      </c>
      <c r="M261" s="89">
        <v>8.9599999999999999E-2</v>
      </c>
      <c r="N261" s="89">
        <v>4</v>
      </c>
      <c r="O261" s="89">
        <v>28</v>
      </c>
      <c r="P261" s="90">
        <v>32</v>
      </c>
    </row>
    <row r="262" spans="1:16">
      <c r="A262" s="87">
        <v>735</v>
      </c>
      <c r="B262" s="88">
        <v>40576</v>
      </c>
      <c r="C262" s="89">
        <v>1</v>
      </c>
      <c r="D262" s="89">
        <v>0</v>
      </c>
      <c r="E262" s="89">
        <v>2</v>
      </c>
      <c r="F262" s="89">
        <v>23</v>
      </c>
      <c r="G262" s="89" t="b">
        <v>0</v>
      </c>
      <c r="H262" s="89">
        <v>3</v>
      </c>
      <c r="I262" s="89">
        <v>1</v>
      </c>
      <c r="J262" s="89">
        <v>0.2</v>
      </c>
      <c r="K262" s="89">
        <v>0.16669999999999999</v>
      </c>
      <c r="L262" s="89">
        <v>0.44</v>
      </c>
      <c r="M262" s="89">
        <v>0.44779999999999998</v>
      </c>
      <c r="N262" s="89">
        <v>3</v>
      </c>
      <c r="O262" s="89">
        <v>29</v>
      </c>
      <c r="P262" s="90">
        <v>32</v>
      </c>
    </row>
    <row r="263" spans="1:16">
      <c r="A263" s="87">
        <v>969</v>
      </c>
      <c r="B263" s="88">
        <v>40586</v>
      </c>
      <c r="C263" s="89">
        <v>1</v>
      </c>
      <c r="D263" s="89">
        <v>0</v>
      </c>
      <c r="E263" s="89">
        <v>2</v>
      </c>
      <c r="F263" s="89">
        <v>23</v>
      </c>
      <c r="G263" s="89" t="b">
        <v>0</v>
      </c>
      <c r="H263" s="89">
        <v>6</v>
      </c>
      <c r="I263" s="89">
        <v>1</v>
      </c>
      <c r="J263" s="89">
        <v>0.22</v>
      </c>
      <c r="K263" s="89">
        <v>0.2273</v>
      </c>
      <c r="L263" s="89">
        <v>0.51</v>
      </c>
      <c r="M263" s="89">
        <v>0.1343</v>
      </c>
      <c r="N263" s="89">
        <v>1</v>
      </c>
      <c r="O263" s="89">
        <v>31</v>
      </c>
      <c r="P263" s="90">
        <v>32</v>
      </c>
    </row>
    <row r="264" spans="1:16">
      <c r="A264" s="87">
        <v>781</v>
      </c>
      <c r="B264" s="88">
        <v>40578</v>
      </c>
      <c r="C264" s="89">
        <v>1</v>
      </c>
      <c r="D264" s="89">
        <v>0</v>
      </c>
      <c r="E264" s="89">
        <v>2</v>
      </c>
      <c r="F264" s="89">
        <v>23</v>
      </c>
      <c r="G264" s="89" t="b">
        <v>0</v>
      </c>
      <c r="H264" s="89">
        <v>5</v>
      </c>
      <c r="I264" s="89">
        <v>2</v>
      </c>
      <c r="J264" s="89">
        <v>0.24</v>
      </c>
      <c r="K264" s="89">
        <v>0.2424</v>
      </c>
      <c r="L264" s="89">
        <v>0.7</v>
      </c>
      <c r="M264" s="89">
        <v>0.1343</v>
      </c>
      <c r="N264" s="89">
        <v>1</v>
      </c>
      <c r="O264" s="89">
        <v>30</v>
      </c>
      <c r="P264" s="90">
        <v>31</v>
      </c>
    </row>
    <row r="265" spans="1:16">
      <c r="A265" s="87">
        <v>829</v>
      </c>
      <c r="B265" s="88">
        <v>40580</v>
      </c>
      <c r="C265" s="89">
        <v>1</v>
      </c>
      <c r="D265" s="89">
        <v>0</v>
      </c>
      <c r="E265" s="89">
        <v>2</v>
      </c>
      <c r="F265" s="89">
        <v>23</v>
      </c>
      <c r="G265" s="89" t="b">
        <v>0</v>
      </c>
      <c r="H265" s="89">
        <v>0</v>
      </c>
      <c r="I265" s="89">
        <v>1</v>
      </c>
      <c r="J265" s="89">
        <v>0.24</v>
      </c>
      <c r="K265" s="89">
        <v>0.28789999999999999</v>
      </c>
      <c r="L265" s="89">
        <v>0.65</v>
      </c>
      <c r="M265" s="89">
        <v>0</v>
      </c>
      <c r="N265" s="89">
        <v>4</v>
      </c>
      <c r="O265" s="89">
        <v>26</v>
      </c>
      <c r="P265" s="90">
        <v>30</v>
      </c>
    </row>
    <row r="266" spans="1:16">
      <c r="A266" s="87">
        <v>836</v>
      </c>
      <c r="B266" s="88">
        <v>40581</v>
      </c>
      <c r="C266" s="89">
        <v>1</v>
      </c>
      <c r="D266" s="89">
        <v>0</v>
      </c>
      <c r="E266" s="89">
        <v>2</v>
      </c>
      <c r="F266" s="89">
        <v>6</v>
      </c>
      <c r="G266" s="89" t="b">
        <v>0</v>
      </c>
      <c r="H266" s="89">
        <v>1</v>
      </c>
      <c r="I266" s="89">
        <v>1</v>
      </c>
      <c r="J266" s="89">
        <v>0.18</v>
      </c>
      <c r="K266" s="89">
        <v>0.2424</v>
      </c>
      <c r="L266" s="89">
        <v>0.93</v>
      </c>
      <c r="M266" s="89">
        <v>0</v>
      </c>
      <c r="N266" s="89">
        <v>1</v>
      </c>
      <c r="O266" s="89">
        <v>29</v>
      </c>
      <c r="P266" s="90">
        <v>30</v>
      </c>
    </row>
    <row r="267" spans="1:16">
      <c r="A267" s="87">
        <v>946</v>
      </c>
      <c r="B267" s="88">
        <v>40586</v>
      </c>
      <c r="C267" s="89">
        <v>1</v>
      </c>
      <c r="D267" s="89">
        <v>0</v>
      </c>
      <c r="E267" s="89">
        <v>2</v>
      </c>
      <c r="F267" s="89">
        <v>0</v>
      </c>
      <c r="G267" s="89" t="b">
        <v>0</v>
      </c>
      <c r="H267" s="89">
        <v>6</v>
      </c>
      <c r="I267" s="89">
        <v>1</v>
      </c>
      <c r="J267" s="89">
        <v>0.16</v>
      </c>
      <c r="K267" s="89">
        <v>0.19700000000000001</v>
      </c>
      <c r="L267" s="89">
        <v>0.69</v>
      </c>
      <c r="M267" s="89">
        <v>8.9599999999999999E-2</v>
      </c>
      <c r="N267" s="89">
        <v>3</v>
      </c>
      <c r="O267" s="89">
        <v>27</v>
      </c>
      <c r="P267" s="90">
        <v>30</v>
      </c>
    </row>
    <row r="268" spans="1:16">
      <c r="A268" s="87">
        <v>954</v>
      </c>
      <c r="B268" s="88">
        <v>40586</v>
      </c>
      <c r="C268" s="89">
        <v>1</v>
      </c>
      <c r="D268" s="89">
        <v>0</v>
      </c>
      <c r="E268" s="89">
        <v>2</v>
      </c>
      <c r="F268" s="89">
        <v>8</v>
      </c>
      <c r="G268" s="89" t="b">
        <v>0</v>
      </c>
      <c r="H268" s="89">
        <v>6</v>
      </c>
      <c r="I268" s="89">
        <v>1</v>
      </c>
      <c r="J268" s="89">
        <v>0.14000000000000001</v>
      </c>
      <c r="K268" s="89">
        <v>0.1515</v>
      </c>
      <c r="L268" s="89">
        <v>0.86</v>
      </c>
      <c r="M268" s="89">
        <v>0.1343</v>
      </c>
      <c r="N268" s="89">
        <v>2</v>
      </c>
      <c r="O268" s="89">
        <v>28</v>
      </c>
      <c r="P268" s="90">
        <v>30</v>
      </c>
    </row>
    <row r="269" spans="1:16">
      <c r="A269" s="87">
        <v>992</v>
      </c>
      <c r="B269" s="88">
        <v>40587</v>
      </c>
      <c r="C269" s="89">
        <v>1</v>
      </c>
      <c r="D269" s="89">
        <v>0</v>
      </c>
      <c r="E269" s="89">
        <v>2</v>
      </c>
      <c r="F269" s="89">
        <v>23</v>
      </c>
      <c r="G269" s="89" t="b">
        <v>0</v>
      </c>
      <c r="H269" s="89">
        <v>0</v>
      </c>
      <c r="I269" s="89">
        <v>1</v>
      </c>
      <c r="J269" s="89">
        <v>0.4</v>
      </c>
      <c r="K269" s="89">
        <v>0.40910000000000002</v>
      </c>
      <c r="L269" s="89">
        <v>0.35</v>
      </c>
      <c r="M269" s="89">
        <v>0.35820000000000002</v>
      </c>
      <c r="N269" s="89">
        <v>3</v>
      </c>
      <c r="O269" s="89">
        <v>27</v>
      </c>
      <c r="P269" s="90">
        <v>30</v>
      </c>
    </row>
    <row r="270" spans="1:16">
      <c r="A270" s="87">
        <v>643</v>
      </c>
      <c r="B270" s="88">
        <v>40573</v>
      </c>
      <c r="C270" s="89">
        <v>1</v>
      </c>
      <c r="D270" s="89">
        <v>0</v>
      </c>
      <c r="E270" s="89">
        <v>1</v>
      </c>
      <c r="F270" s="89">
        <v>1</v>
      </c>
      <c r="G270" s="89" t="b">
        <v>0</v>
      </c>
      <c r="H270" s="89">
        <v>0</v>
      </c>
      <c r="I270" s="89">
        <v>1</v>
      </c>
      <c r="J270" s="89">
        <v>0.14000000000000001</v>
      </c>
      <c r="K270" s="89">
        <v>0.21210000000000001</v>
      </c>
      <c r="L270" s="89">
        <v>0.8</v>
      </c>
      <c r="M270" s="89">
        <v>0</v>
      </c>
      <c r="N270" s="89">
        <v>7</v>
      </c>
      <c r="O270" s="89">
        <v>22</v>
      </c>
      <c r="P270" s="90">
        <v>29</v>
      </c>
    </row>
    <row r="271" spans="1:16">
      <c r="A271" s="87">
        <v>876</v>
      </c>
      <c r="B271" s="88">
        <v>40582</v>
      </c>
      <c r="C271" s="89">
        <v>1</v>
      </c>
      <c r="D271" s="89">
        <v>0</v>
      </c>
      <c r="E271" s="89">
        <v>2</v>
      </c>
      <c r="F271" s="89">
        <v>22</v>
      </c>
      <c r="G271" s="89" t="b">
        <v>0</v>
      </c>
      <c r="H271" s="89">
        <v>2</v>
      </c>
      <c r="I271" s="89">
        <v>1</v>
      </c>
      <c r="J271" s="89">
        <v>0.12</v>
      </c>
      <c r="K271" s="89">
        <v>0.1061</v>
      </c>
      <c r="L271" s="89">
        <v>0.33</v>
      </c>
      <c r="M271" s="89">
        <v>0.35820000000000002</v>
      </c>
      <c r="N271" s="89">
        <v>0</v>
      </c>
      <c r="O271" s="89">
        <v>29</v>
      </c>
      <c r="P271" s="90">
        <v>29</v>
      </c>
    </row>
    <row r="272" spans="1:16">
      <c r="A272" s="87">
        <v>619</v>
      </c>
      <c r="B272" s="88">
        <v>40572</v>
      </c>
      <c r="C272" s="89">
        <v>1</v>
      </c>
      <c r="D272" s="89">
        <v>0</v>
      </c>
      <c r="E272" s="89">
        <v>1</v>
      </c>
      <c r="F272" s="89">
        <v>0</v>
      </c>
      <c r="G272" s="89" t="b">
        <v>0</v>
      </c>
      <c r="H272" s="89">
        <v>6</v>
      </c>
      <c r="I272" s="89">
        <v>1</v>
      </c>
      <c r="J272" s="89">
        <v>0.22</v>
      </c>
      <c r="K272" s="89">
        <v>0.19700000000000001</v>
      </c>
      <c r="L272" s="89">
        <v>0.64</v>
      </c>
      <c r="M272" s="89">
        <v>0.35820000000000002</v>
      </c>
      <c r="N272" s="89">
        <v>2</v>
      </c>
      <c r="O272" s="89">
        <v>26</v>
      </c>
      <c r="P272" s="90">
        <v>28</v>
      </c>
    </row>
    <row r="273" spans="1:16">
      <c r="A273" s="87">
        <v>662</v>
      </c>
      <c r="B273" s="88">
        <v>40573</v>
      </c>
      <c r="C273" s="89">
        <v>1</v>
      </c>
      <c r="D273" s="89">
        <v>0</v>
      </c>
      <c r="E273" s="89">
        <v>1</v>
      </c>
      <c r="F273" s="89">
        <v>21</v>
      </c>
      <c r="G273" s="89" t="b">
        <v>0</v>
      </c>
      <c r="H273" s="89">
        <v>0</v>
      </c>
      <c r="I273" s="89">
        <v>2</v>
      </c>
      <c r="J273" s="89">
        <v>0.24</v>
      </c>
      <c r="K273" s="89">
        <v>0.2424</v>
      </c>
      <c r="L273" s="89">
        <v>0.7</v>
      </c>
      <c r="M273" s="89">
        <v>0.16420000000000001</v>
      </c>
      <c r="N273" s="89">
        <v>3</v>
      </c>
      <c r="O273" s="89">
        <v>25</v>
      </c>
      <c r="P273" s="90">
        <v>28</v>
      </c>
    </row>
    <row r="274" spans="1:16">
      <c r="A274" s="87">
        <v>764</v>
      </c>
      <c r="B274" s="88">
        <v>40578</v>
      </c>
      <c r="C274" s="89">
        <v>1</v>
      </c>
      <c r="D274" s="89">
        <v>0</v>
      </c>
      <c r="E274" s="89">
        <v>2</v>
      </c>
      <c r="F274" s="89">
        <v>6</v>
      </c>
      <c r="G274" s="89" t="b">
        <v>0</v>
      </c>
      <c r="H274" s="89">
        <v>5</v>
      </c>
      <c r="I274" s="89">
        <v>2</v>
      </c>
      <c r="J274" s="89">
        <v>0.16</v>
      </c>
      <c r="K274" s="89">
        <v>0.2273</v>
      </c>
      <c r="L274" s="89">
        <v>0.55000000000000004</v>
      </c>
      <c r="M274" s="89">
        <v>0</v>
      </c>
      <c r="N274" s="89">
        <v>2</v>
      </c>
      <c r="O274" s="89">
        <v>26</v>
      </c>
      <c r="P274" s="90">
        <v>28</v>
      </c>
    </row>
    <row r="275" spans="1:16">
      <c r="A275" s="87">
        <v>827</v>
      </c>
      <c r="B275" s="88">
        <v>40580</v>
      </c>
      <c r="C275" s="89">
        <v>1</v>
      </c>
      <c r="D275" s="89">
        <v>0</v>
      </c>
      <c r="E275" s="89">
        <v>2</v>
      </c>
      <c r="F275" s="89">
        <v>21</v>
      </c>
      <c r="G275" s="89" t="b">
        <v>0</v>
      </c>
      <c r="H275" s="89">
        <v>0</v>
      </c>
      <c r="I275" s="89">
        <v>1</v>
      </c>
      <c r="J275" s="89">
        <v>0.26</v>
      </c>
      <c r="K275" s="89">
        <v>0.30299999999999999</v>
      </c>
      <c r="L275" s="89">
        <v>0.6</v>
      </c>
      <c r="M275" s="89">
        <v>0</v>
      </c>
      <c r="N275" s="89">
        <v>5</v>
      </c>
      <c r="O275" s="89">
        <v>22</v>
      </c>
      <c r="P275" s="90">
        <v>27</v>
      </c>
    </row>
    <row r="276" spans="1:16">
      <c r="A276" s="87">
        <v>617</v>
      </c>
      <c r="B276" s="88">
        <v>40571</v>
      </c>
      <c r="C276" s="89">
        <v>1</v>
      </c>
      <c r="D276" s="89">
        <v>0</v>
      </c>
      <c r="E276" s="89">
        <v>1</v>
      </c>
      <c r="F276" s="89">
        <v>22</v>
      </c>
      <c r="G276" s="89" t="b">
        <v>0</v>
      </c>
      <c r="H276" s="89">
        <v>5</v>
      </c>
      <c r="I276" s="89">
        <v>1</v>
      </c>
      <c r="J276" s="89">
        <v>0.24</v>
      </c>
      <c r="K276" s="89">
        <v>0.21210000000000001</v>
      </c>
      <c r="L276" s="89">
        <v>0.65</v>
      </c>
      <c r="M276" s="89">
        <v>0.35820000000000002</v>
      </c>
      <c r="N276" s="89">
        <v>0</v>
      </c>
      <c r="O276" s="89">
        <v>26</v>
      </c>
      <c r="P276" s="90">
        <v>26</v>
      </c>
    </row>
    <row r="277" spans="1:16">
      <c r="A277" s="87">
        <v>826</v>
      </c>
      <c r="B277" s="88">
        <v>40580</v>
      </c>
      <c r="C277" s="89">
        <v>1</v>
      </c>
      <c r="D277" s="89">
        <v>0</v>
      </c>
      <c r="E277" s="89">
        <v>2</v>
      </c>
      <c r="F277" s="89">
        <v>20</v>
      </c>
      <c r="G277" s="89" t="b">
        <v>0</v>
      </c>
      <c r="H277" s="89">
        <v>0</v>
      </c>
      <c r="I277" s="89">
        <v>1</v>
      </c>
      <c r="J277" s="89">
        <v>0.28000000000000003</v>
      </c>
      <c r="K277" s="89">
        <v>0.28789999999999999</v>
      </c>
      <c r="L277" s="89">
        <v>0.61</v>
      </c>
      <c r="M277" s="89">
        <v>0.1045</v>
      </c>
      <c r="N277" s="89">
        <v>5</v>
      </c>
      <c r="O277" s="89">
        <v>21</v>
      </c>
      <c r="P277" s="90">
        <v>26</v>
      </c>
    </row>
    <row r="278" spans="1:16">
      <c r="A278" s="87">
        <v>906</v>
      </c>
      <c r="B278" s="88">
        <v>40584</v>
      </c>
      <c r="C278" s="89">
        <v>1</v>
      </c>
      <c r="D278" s="89">
        <v>0</v>
      </c>
      <c r="E278" s="89">
        <v>2</v>
      </c>
      <c r="F278" s="89">
        <v>6</v>
      </c>
      <c r="G278" s="89" t="b">
        <v>0</v>
      </c>
      <c r="H278" s="89">
        <v>4</v>
      </c>
      <c r="I278" s="89">
        <v>2</v>
      </c>
      <c r="J278" s="89">
        <v>0.12</v>
      </c>
      <c r="K278" s="89">
        <v>0.1212</v>
      </c>
      <c r="L278" s="89">
        <v>0.54</v>
      </c>
      <c r="M278" s="89">
        <v>0.28360000000000002</v>
      </c>
      <c r="N278" s="89">
        <v>0</v>
      </c>
      <c r="O278" s="89">
        <v>26</v>
      </c>
      <c r="P278" s="90">
        <v>26</v>
      </c>
    </row>
    <row r="279" spans="1:16">
      <c r="A279" s="87">
        <v>999</v>
      </c>
      <c r="B279" s="88">
        <v>40588</v>
      </c>
      <c r="C279" s="89">
        <v>1</v>
      </c>
      <c r="D279" s="89">
        <v>0</v>
      </c>
      <c r="E279" s="89">
        <v>2</v>
      </c>
      <c r="F279" s="89">
        <v>6</v>
      </c>
      <c r="G279" s="89" t="b">
        <v>0</v>
      </c>
      <c r="H279" s="89">
        <v>1</v>
      </c>
      <c r="I279" s="89">
        <v>1</v>
      </c>
      <c r="J279" s="89">
        <v>0.34</v>
      </c>
      <c r="K279" s="89">
        <v>0.30299999999999999</v>
      </c>
      <c r="L279" s="89">
        <v>0.46</v>
      </c>
      <c r="M279" s="89">
        <v>0.29849999999999999</v>
      </c>
      <c r="N279" s="89">
        <v>1</v>
      </c>
      <c r="O279" s="89">
        <v>25</v>
      </c>
      <c r="P279" s="90">
        <v>26</v>
      </c>
    </row>
    <row r="280" spans="1:16">
      <c r="A280" s="87">
        <v>853</v>
      </c>
      <c r="B280" s="88">
        <v>40581</v>
      </c>
      <c r="C280" s="89">
        <v>1</v>
      </c>
      <c r="D280" s="89">
        <v>0</v>
      </c>
      <c r="E280" s="89">
        <v>2</v>
      </c>
      <c r="F280" s="89">
        <v>23</v>
      </c>
      <c r="G280" s="89" t="b">
        <v>0</v>
      </c>
      <c r="H280" s="89">
        <v>1</v>
      </c>
      <c r="I280" s="89">
        <v>2</v>
      </c>
      <c r="J280" s="89">
        <v>0.3</v>
      </c>
      <c r="K280" s="89">
        <v>0.33329999999999999</v>
      </c>
      <c r="L280" s="89">
        <v>0.81</v>
      </c>
      <c r="M280" s="89">
        <v>0</v>
      </c>
      <c r="N280" s="89">
        <v>6</v>
      </c>
      <c r="O280" s="89">
        <v>19</v>
      </c>
      <c r="P280" s="90">
        <v>25</v>
      </c>
    </row>
    <row r="281" spans="1:16">
      <c r="A281" s="87">
        <v>928</v>
      </c>
      <c r="B281" s="88">
        <v>40585</v>
      </c>
      <c r="C281" s="89">
        <v>1</v>
      </c>
      <c r="D281" s="89">
        <v>0</v>
      </c>
      <c r="E281" s="89">
        <v>2</v>
      </c>
      <c r="F281" s="89">
        <v>6</v>
      </c>
      <c r="G281" s="89" t="b">
        <v>0</v>
      </c>
      <c r="H281" s="89">
        <v>5</v>
      </c>
      <c r="I281" s="89">
        <v>1</v>
      </c>
      <c r="J281" s="89">
        <v>0.1</v>
      </c>
      <c r="K281" s="89">
        <v>0.18179999999999999</v>
      </c>
      <c r="L281" s="89">
        <v>0.68</v>
      </c>
      <c r="M281" s="89">
        <v>0</v>
      </c>
      <c r="N281" s="89">
        <v>1</v>
      </c>
      <c r="O281" s="89">
        <v>23</v>
      </c>
      <c r="P281" s="90">
        <v>24</v>
      </c>
    </row>
    <row r="282" spans="1:16">
      <c r="A282" s="87">
        <v>947</v>
      </c>
      <c r="B282" s="88">
        <v>40586</v>
      </c>
      <c r="C282" s="89">
        <v>1</v>
      </c>
      <c r="D282" s="89">
        <v>0</v>
      </c>
      <c r="E282" s="89">
        <v>2</v>
      </c>
      <c r="F282" s="89">
        <v>1</v>
      </c>
      <c r="G282" s="89" t="b">
        <v>0</v>
      </c>
      <c r="H282" s="89">
        <v>6</v>
      </c>
      <c r="I282" s="89">
        <v>1</v>
      </c>
      <c r="J282" s="89">
        <v>0.14000000000000001</v>
      </c>
      <c r="K282" s="89">
        <v>0.21210000000000001</v>
      </c>
      <c r="L282" s="89">
        <v>0.86</v>
      </c>
      <c r="M282" s="89">
        <v>0</v>
      </c>
      <c r="N282" s="89">
        <v>2</v>
      </c>
      <c r="O282" s="89">
        <v>22</v>
      </c>
      <c r="P282" s="90">
        <v>24</v>
      </c>
    </row>
    <row r="283" spans="1:16">
      <c r="A283" s="87">
        <v>971</v>
      </c>
      <c r="B283" s="88">
        <v>40587</v>
      </c>
      <c r="C283" s="89">
        <v>1</v>
      </c>
      <c r="D283" s="89">
        <v>0</v>
      </c>
      <c r="E283" s="89">
        <v>2</v>
      </c>
      <c r="F283" s="89">
        <v>1</v>
      </c>
      <c r="G283" s="89" t="b">
        <v>0</v>
      </c>
      <c r="H283" s="89">
        <v>0</v>
      </c>
      <c r="I283" s="89">
        <v>1</v>
      </c>
      <c r="J283" s="89">
        <v>0.2</v>
      </c>
      <c r="K283" s="89">
        <v>0.2273</v>
      </c>
      <c r="L283" s="89">
        <v>0.59</v>
      </c>
      <c r="M283" s="89">
        <v>8.9599999999999999E-2</v>
      </c>
      <c r="N283" s="89">
        <v>1</v>
      </c>
      <c r="O283" s="89">
        <v>23</v>
      </c>
      <c r="P283" s="90">
        <v>24</v>
      </c>
    </row>
    <row r="284" spans="1:16">
      <c r="A284" s="87">
        <v>618</v>
      </c>
      <c r="B284" s="88">
        <v>40571</v>
      </c>
      <c r="C284" s="89">
        <v>1</v>
      </c>
      <c r="D284" s="89">
        <v>0</v>
      </c>
      <c r="E284" s="89">
        <v>1</v>
      </c>
      <c r="F284" s="89">
        <v>23</v>
      </c>
      <c r="G284" s="89" t="b">
        <v>0</v>
      </c>
      <c r="H284" s="89">
        <v>5</v>
      </c>
      <c r="I284" s="89">
        <v>1</v>
      </c>
      <c r="J284" s="89">
        <v>0.24</v>
      </c>
      <c r="K284" s="89">
        <v>0.2273</v>
      </c>
      <c r="L284" s="89">
        <v>0.6</v>
      </c>
      <c r="M284" s="89">
        <v>0.22389999999999999</v>
      </c>
      <c r="N284" s="89">
        <v>1</v>
      </c>
      <c r="O284" s="89">
        <v>22</v>
      </c>
      <c r="P284" s="90">
        <v>23</v>
      </c>
    </row>
    <row r="285" spans="1:16">
      <c r="A285" s="87">
        <v>814</v>
      </c>
      <c r="B285" s="88">
        <v>40580</v>
      </c>
      <c r="C285" s="89">
        <v>1</v>
      </c>
      <c r="D285" s="89">
        <v>0</v>
      </c>
      <c r="E285" s="89">
        <v>2</v>
      </c>
      <c r="F285" s="89">
        <v>8</v>
      </c>
      <c r="G285" s="89" t="b">
        <v>0</v>
      </c>
      <c r="H285" s="89">
        <v>0</v>
      </c>
      <c r="I285" s="89">
        <v>1</v>
      </c>
      <c r="J285" s="89">
        <v>0.24</v>
      </c>
      <c r="K285" s="89">
        <v>0.2576</v>
      </c>
      <c r="L285" s="89">
        <v>0.65</v>
      </c>
      <c r="M285" s="89">
        <v>0.1045</v>
      </c>
      <c r="N285" s="89">
        <v>2</v>
      </c>
      <c r="O285" s="89">
        <v>21</v>
      </c>
      <c r="P285" s="90">
        <v>23</v>
      </c>
    </row>
    <row r="286" spans="1:16">
      <c r="A286" s="87">
        <v>694</v>
      </c>
      <c r="B286" s="88">
        <v>40575</v>
      </c>
      <c r="C286" s="89">
        <v>1</v>
      </c>
      <c r="D286" s="89">
        <v>0</v>
      </c>
      <c r="E286" s="89">
        <v>2</v>
      </c>
      <c r="F286" s="89">
        <v>6</v>
      </c>
      <c r="G286" s="89" t="b">
        <v>0</v>
      </c>
      <c r="H286" s="89">
        <v>2</v>
      </c>
      <c r="I286" s="89">
        <v>3</v>
      </c>
      <c r="J286" s="89">
        <v>0.14000000000000001</v>
      </c>
      <c r="K286" s="89">
        <v>0.21210000000000001</v>
      </c>
      <c r="L286" s="89">
        <v>0.93</v>
      </c>
      <c r="M286" s="89">
        <v>0</v>
      </c>
      <c r="N286" s="89">
        <v>0</v>
      </c>
      <c r="O286" s="89">
        <v>22</v>
      </c>
      <c r="P286" s="90">
        <v>22</v>
      </c>
    </row>
    <row r="287" spans="1:16">
      <c r="A287" s="87">
        <v>663</v>
      </c>
      <c r="B287" s="88">
        <v>40573</v>
      </c>
      <c r="C287" s="89">
        <v>1</v>
      </c>
      <c r="D287" s="89">
        <v>0</v>
      </c>
      <c r="E287" s="89">
        <v>1</v>
      </c>
      <c r="F287" s="89">
        <v>22</v>
      </c>
      <c r="G287" s="89" t="b">
        <v>0</v>
      </c>
      <c r="H287" s="89">
        <v>0</v>
      </c>
      <c r="I287" s="89">
        <v>2</v>
      </c>
      <c r="J287" s="89">
        <v>0.24</v>
      </c>
      <c r="K287" s="89">
        <v>0.2273</v>
      </c>
      <c r="L287" s="89">
        <v>0.7</v>
      </c>
      <c r="M287" s="89">
        <v>0.19400000000000001</v>
      </c>
      <c r="N287" s="89">
        <v>2</v>
      </c>
      <c r="O287" s="89">
        <v>19</v>
      </c>
      <c r="P287" s="90">
        <v>21</v>
      </c>
    </row>
    <row r="288" spans="1:16">
      <c r="A288" s="87">
        <v>664</v>
      </c>
      <c r="B288" s="88">
        <v>40573</v>
      </c>
      <c r="C288" s="89">
        <v>1</v>
      </c>
      <c r="D288" s="89">
        <v>0</v>
      </c>
      <c r="E288" s="89">
        <v>1</v>
      </c>
      <c r="F288" s="89">
        <v>23</v>
      </c>
      <c r="G288" s="89" t="b">
        <v>0</v>
      </c>
      <c r="H288" s="89">
        <v>0</v>
      </c>
      <c r="I288" s="89">
        <v>2</v>
      </c>
      <c r="J288" s="89">
        <v>0.24</v>
      </c>
      <c r="K288" s="89">
        <v>0.21210000000000001</v>
      </c>
      <c r="L288" s="89">
        <v>0.65</v>
      </c>
      <c r="M288" s="89">
        <v>0.28360000000000002</v>
      </c>
      <c r="N288" s="89">
        <v>5</v>
      </c>
      <c r="O288" s="89">
        <v>16</v>
      </c>
      <c r="P288" s="90">
        <v>21</v>
      </c>
    </row>
    <row r="289" spans="1:16">
      <c r="A289" s="87">
        <v>825</v>
      </c>
      <c r="B289" s="88">
        <v>40580</v>
      </c>
      <c r="C289" s="89">
        <v>1</v>
      </c>
      <c r="D289" s="89">
        <v>0</v>
      </c>
      <c r="E289" s="89">
        <v>2</v>
      </c>
      <c r="F289" s="89">
        <v>19</v>
      </c>
      <c r="G289" s="89" t="b">
        <v>0</v>
      </c>
      <c r="H289" s="89">
        <v>0</v>
      </c>
      <c r="I289" s="89">
        <v>1</v>
      </c>
      <c r="J289" s="89">
        <v>0.28000000000000003</v>
      </c>
      <c r="K289" s="89">
        <v>0.28789999999999999</v>
      </c>
      <c r="L289" s="89">
        <v>0.61</v>
      </c>
      <c r="M289" s="89">
        <v>0.1343</v>
      </c>
      <c r="N289" s="89">
        <v>1</v>
      </c>
      <c r="O289" s="89">
        <v>20</v>
      </c>
      <c r="P289" s="90">
        <v>21</v>
      </c>
    </row>
    <row r="290" spans="1:16">
      <c r="A290" s="87">
        <v>620</v>
      </c>
      <c r="B290" s="88">
        <v>40572</v>
      </c>
      <c r="C290" s="89">
        <v>1</v>
      </c>
      <c r="D290" s="89">
        <v>0</v>
      </c>
      <c r="E290" s="89">
        <v>1</v>
      </c>
      <c r="F290" s="89">
        <v>1</v>
      </c>
      <c r="G290" s="89" t="b">
        <v>0</v>
      </c>
      <c r="H290" s="89">
        <v>6</v>
      </c>
      <c r="I290" s="89">
        <v>1</v>
      </c>
      <c r="J290" s="89">
        <v>0.22</v>
      </c>
      <c r="K290" s="89">
        <v>0.2273</v>
      </c>
      <c r="L290" s="89">
        <v>0.64</v>
      </c>
      <c r="M290" s="89">
        <v>0.19400000000000001</v>
      </c>
      <c r="N290" s="89">
        <v>0</v>
      </c>
      <c r="O290" s="89">
        <v>20</v>
      </c>
      <c r="P290" s="90">
        <v>20</v>
      </c>
    </row>
    <row r="291" spans="1:16">
      <c r="A291" s="87">
        <v>791</v>
      </c>
      <c r="B291" s="88">
        <v>40579</v>
      </c>
      <c r="C291" s="89">
        <v>1</v>
      </c>
      <c r="D291" s="89">
        <v>0</v>
      </c>
      <c r="E291" s="89">
        <v>2</v>
      </c>
      <c r="F291" s="89">
        <v>9</v>
      </c>
      <c r="G291" s="89" t="b">
        <v>0</v>
      </c>
      <c r="H291" s="89">
        <v>6</v>
      </c>
      <c r="I291" s="89">
        <v>3</v>
      </c>
      <c r="J291" s="89">
        <v>0.2</v>
      </c>
      <c r="K291" s="89">
        <v>0.2273</v>
      </c>
      <c r="L291" s="89">
        <v>1</v>
      </c>
      <c r="M291" s="89">
        <v>8.9599999999999999E-2</v>
      </c>
      <c r="N291" s="89">
        <v>3</v>
      </c>
      <c r="O291" s="89">
        <v>17</v>
      </c>
      <c r="P291" s="90">
        <v>20</v>
      </c>
    </row>
    <row r="292" spans="1:16">
      <c r="A292" s="87">
        <v>808</v>
      </c>
      <c r="B292" s="88">
        <v>40580</v>
      </c>
      <c r="C292" s="89">
        <v>1</v>
      </c>
      <c r="D292" s="89">
        <v>0</v>
      </c>
      <c r="E292" s="89">
        <v>2</v>
      </c>
      <c r="F292" s="89">
        <v>2</v>
      </c>
      <c r="G292" s="89" t="b">
        <v>0</v>
      </c>
      <c r="H292" s="89">
        <v>0</v>
      </c>
      <c r="I292" s="89">
        <v>1</v>
      </c>
      <c r="J292" s="89">
        <v>0.26</v>
      </c>
      <c r="K292" s="89">
        <v>0.2273</v>
      </c>
      <c r="L292" s="89">
        <v>0.6</v>
      </c>
      <c r="M292" s="89">
        <v>0.32840000000000003</v>
      </c>
      <c r="N292" s="89">
        <v>0</v>
      </c>
      <c r="O292" s="89">
        <v>20</v>
      </c>
      <c r="P292" s="90">
        <v>20</v>
      </c>
    </row>
    <row r="293" spans="1:16">
      <c r="A293" s="87">
        <v>972</v>
      </c>
      <c r="B293" s="88">
        <v>40587</v>
      </c>
      <c r="C293" s="89">
        <v>1</v>
      </c>
      <c r="D293" s="89">
        <v>0</v>
      </c>
      <c r="E293" s="89">
        <v>2</v>
      </c>
      <c r="F293" s="89">
        <v>2</v>
      </c>
      <c r="G293" s="89" t="b">
        <v>0</v>
      </c>
      <c r="H293" s="89">
        <v>0</v>
      </c>
      <c r="I293" s="89">
        <v>2</v>
      </c>
      <c r="J293" s="89">
        <v>0.2</v>
      </c>
      <c r="K293" s="89">
        <v>0.2273</v>
      </c>
      <c r="L293" s="89">
        <v>0.75</v>
      </c>
      <c r="M293" s="89">
        <v>8.9599999999999999E-2</v>
      </c>
      <c r="N293" s="89">
        <v>1</v>
      </c>
      <c r="O293" s="89">
        <v>19</v>
      </c>
      <c r="P293" s="90">
        <v>20</v>
      </c>
    </row>
    <row r="294" spans="1:16">
      <c r="A294" s="87">
        <v>718</v>
      </c>
      <c r="B294" s="88">
        <v>40576</v>
      </c>
      <c r="C294" s="89">
        <v>1</v>
      </c>
      <c r="D294" s="89">
        <v>0</v>
      </c>
      <c r="E294" s="89">
        <v>2</v>
      </c>
      <c r="F294" s="89">
        <v>6</v>
      </c>
      <c r="G294" s="89" t="b">
        <v>0</v>
      </c>
      <c r="H294" s="89">
        <v>3</v>
      </c>
      <c r="I294" s="89">
        <v>3</v>
      </c>
      <c r="J294" s="89">
        <v>0.22</v>
      </c>
      <c r="K294" s="89">
        <v>0.2424</v>
      </c>
      <c r="L294" s="89">
        <v>0.93</v>
      </c>
      <c r="M294" s="89">
        <v>0.1045</v>
      </c>
      <c r="N294" s="89">
        <v>1</v>
      </c>
      <c r="O294" s="89">
        <v>17</v>
      </c>
      <c r="P294" s="90">
        <v>18</v>
      </c>
    </row>
    <row r="295" spans="1:16">
      <c r="A295" s="87">
        <v>783</v>
      </c>
      <c r="B295" s="88">
        <v>40579</v>
      </c>
      <c r="C295" s="89">
        <v>1</v>
      </c>
      <c r="D295" s="89">
        <v>0</v>
      </c>
      <c r="E295" s="89">
        <v>2</v>
      </c>
      <c r="F295" s="89">
        <v>1</v>
      </c>
      <c r="G295" s="89" t="b">
        <v>0</v>
      </c>
      <c r="H295" s="89">
        <v>6</v>
      </c>
      <c r="I295" s="89">
        <v>2</v>
      </c>
      <c r="J295" s="89">
        <v>0.24</v>
      </c>
      <c r="K295" s="89">
        <v>0.2424</v>
      </c>
      <c r="L295" s="89">
        <v>0.65</v>
      </c>
      <c r="M295" s="89">
        <v>0.16420000000000001</v>
      </c>
      <c r="N295" s="89">
        <v>1</v>
      </c>
      <c r="O295" s="89">
        <v>17</v>
      </c>
      <c r="P295" s="90">
        <v>18</v>
      </c>
    </row>
    <row r="296" spans="1:16">
      <c r="A296" s="87">
        <v>688</v>
      </c>
      <c r="B296" s="88">
        <v>40574</v>
      </c>
      <c r="C296" s="89">
        <v>1</v>
      </c>
      <c r="D296" s="89">
        <v>0</v>
      </c>
      <c r="E296" s="89">
        <v>1</v>
      </c>
      <c r="F296" s="89">
        <v>23</v>
      </c>
      <c r="G296" s="89" t="b">
        <v>0</v>
      </c>
      <c r="H296" s="89">
        <v>1</v>
      </c>
      <c r="I296" s="89">
        <v>2</v>
      </c>
      <c r="J296" s="89">
        <v>0.16</v>
      </c>
      <c r="K296" s="89">
        <v>0.19700000000000001</v>
      </c>
      <c r="L296" s="89">
        <v>0.64</v>
      </c>
      <c r="M296" s="89">
        <v>8.9599999999999999E-2</v>
      </c>
      <c r="N296" s="89">
        <v>2</v>
      </c>
      <c r="O296" s="89">
        <v>15</v>
      </c>
      <c r="P296" s="90">
        <v>17</v>
      </c>
    </row>
    <row r="297" spans="1:16">
      <c r="A297" s="87">
        <v>784</v>
      </c>
      <c r="B297" s="88">
        <v>40579</v>
      </c>
      <c r="C297" s="89">
        <v>1</v>
      </c>
      <c r="D297" s="89">
        <v>0</v>
      </c>
      <c r="E297" s="89">
        <v>2</v>
      </c>
      <c r="F297" s="89">
        <v>2</v>
      </c>
      <c r="G297" s="89" t="b">
        <v>0</v>
      </c>
      <c r="H297" s="89">
        <v>6</v>
      </c>
      <c r="I297" s="89">
        <v>2</v>
      </c>
      <c r="J297" s="89">
        <v>0.24</v>
      </c>
      <c r="K297" s="89">
        <v>0.2424</v>
      </c>
      <c r="L297" s="89">
        <v>0.75</v>
      </c>
      <c r="M297" s="89">
        <v>0.16420000000000001</v>
      </c>
      <c r="N297" s="89">
        <v>5</v>
      </c>
      <c r="O297" s="89">
        <v>12</v>
      </c>
      <c r="P297" s="90">
        <v>17</v>
      </c>
    </row>
    <row r="298" spans="1:16">
      <c r="A298" s="87">
        <v>878</v>
      </c>
      <c r="B298" s="88">
        <v>40583</v>
      </c>
      <c r="C298" s="89">
        <v>1</v>
      </c>
      <c r="D298" s="89">
        <v>0</v>
      </c>
      <c r="E298" s="89">
        <v>2</v>
      </c>
      <c r="F298" s="89">
        <v>0</v>
      </c>
      <c r="G298" s="89" t="b">
        <v>0</v>
      </c>
      <c r="H298" s="89">
        <v>3</v>
      </c>
      <c r="I298" s="89">
        <v>1</v>
      </c>
      <c r="J298" s="89">
        <v>0.1</v>
      </c>
      <c r="K298" s="89">
        <v>7.5800000000000006E-2</v>
      </c>
      <c r="L298" s="89">
        <v>0.36</v>
      </c>
      <c r="M298" s="89">
        <v>0.35820000000000002</v>
      </c>
      <c r="N298" s="89">
        <v>0</v>
      </c>
      <c r="O298" s="89">
        <v>17</v>
      </c>
      <c r="P298" s="90">
        <v>17</v>
      </c>
    </row>
    <row r="299" spans="1:16">
      <c r="A299" s="87">
        <v>711</v>
      </c>
      <c r="B299" s="88">
        <v>40575</v>
      </c>
      <c r="C299" s="89">
        <v>1</v>
      </c>
      <c r="D299" s="89">
        <v>0</v>
      </c>
      <c r="E299" s="89">
        <v>2</v>
      </c>
      <c r="F299" s="89">
        <v>23</v>
      </c>
      <c r="G299" s="89" t="b">
        <v>0</v>
      </c>
      <c r="H299" s="89">
        <v>2</v>
      </c>
      <c r="I299" s="89">
        <v>3</v>
      </c>
      <c r="J299" s="89">
        <v>0.2</v>
      </c>
      <c r="K299" s="89">
        <v>0.19700000000000001</v>
      </c>
      <c r="L299" s="89">
        <v>0.93</v>
      </c>
      <c r="M299" s="89">
        <v>0.19400000000000001</v>
      </c>
      <c r="N299" s="89">
        <v>1</v>
      </c>
      <c r="O299" s="89">
        <v>15</v>
      </c>
      <c r="P299" s="90">
        <v>16</v>
      </c>
    </row>
    <row r="300" spans="1:16">
      <c r="A300" s="87">
        <v>901</v>
      </c>
      <c r="B300" s="88">
        <v>40584</v>
      </c>
      <c r="C300" s="89">
        <v>1</v>
      </c>
      <c r="D300" s="89">
        <v>0</v>
      </c>
      <c r="E300" s="89">
        <v>2</v>
      </c>
      <c r="F300" s="89">
        <v>0</v>
      </c>
      <c r="G300" s="89" t="b">
        <v>0</v>
      </c>
      <c r="H300" s="89">
        <v>4</v>
      </c>
      <c r="I300" s="89">
        <v>3</v>
      </c>
      <c r="J300" s="89">
        <v>0.14000000000000001</v>
      </c>
      <c r="K300" s="89">
        <v>0.13639999999999999</v>
      </c>
      <c r="L300" s="89">
        <v>0.86</v>
      </c>
      <c r="M300" s="89">
        <v>0.19400000000000001</v>
      </c>
      <c r="N300" s="89">
        <v>0</v>
      </c>
      <c r="O300" s="89">
        <v>16</v>
      </c>
      <c r="P300" s="90">
        <v>16</v>
      </c>
    </row>
    <row r="301" spans="1:16">
      <c r="A301" s="87">
        <v>621</v>
      </c>
      <c r="B301" s="88">
        <v>40572</v>
      </c>
      <c r="C301" s="89">
        <v>1</v>
      </c>
      <c r="D301" s="89">
        <v>0</v>
      </c>
      <c r="E301" s="89">
        <v>1</v>
      </c>
      <c r="F301" s="89">
        <v>2</v>
      </c>
      <c r="G301" s="89" t="b">
        <v>0</v>
      </c>
      <c r="H301" s="89">
        <v>6</v>
      </c>
      <c r="I301" s="89">
        <v>1</v>
      </c>
      <c r="J301" s="89">
        <v>0.22</v>
      </c>
      <c r="K301" s="89">
        <v>0.2273</v>
      </c>
      <c r="L301" s="89">
        <v>0.64</v>
      </c>
      <c r="M301" s="89">
        <v>0.16420000000000001</v>
      </c>
      <c r="N301" s="89">
        <v>0</v>
      </c>
      <c r="O301" s="89">
        <v>15</v>
      </c>
      <c r="P301" s="90">
        <v>15</v>
      </c>
    </row>
    <row r="302" spans="1:16">
      <c r="A302" s="87">
        <v>830</v>
      </c>
      <c r="B302" s="88">
        <v>40581</v>
      </c>
      <c r="C302" s="89">
        <v>1</v>
      </c>
      <c r="D302" s="89">
        <v>0</v>
      </c>
      <c r="E302" s="89">
        <v>2</v>
      </c>
      <c r="F302" s="89">
        <v>0</v>
      </c>
      <c r="G302" s="89" t="b">
        <v>0</v>
      </c>
      <c r="H302" s="89">
        <v>1</v>
      </c>
      <c r="I302" s="89">
        <v>1</v>
      </c>
      <c r="J302" s="89">
        <v>0.24</v>
      </c>
      <c r="K302" s="89">
        <v>0.28789999999999999</v>
      </c>
      <c r="L302" s="89">
        <v>0.65</v>
      </c>
      <c r="M302" s="89">
        <v>0</v>
      </c>
      <c r="N302" s="89">
        <v>1</v>
      </c>
      <c r="O302" s="89">
        <v>14</v>
      </c>
      <c r="P302" s="90">
        <v>15</v>
      </c>
    </row>
    <row r="303" spans="1:16">
      <c r="A303" s="87">
        <v>948</v>
      </c>
      <c r="B303" s="88">
        <v>40586</v>
      </c>
      <c r="C303" s="89">
        <v>1</v>
      </c>
      <c r="D303" s="89">
        <v>0</v>
      </c>
      <c r="E303" s="89">
        <v>2</v>
      </c>
      <c r="F303" s="89">
        <v>2</v>
      </c>
      <c r="G303" s="89" t="b">
        <v>0</v>
      </c>
      <c r="H303" s="89">
        <v>6</v>
      </c>
      <c r="I303" s="89">
        <v>1</v>
      </c>
      <c r="J303" s="89">
        <v>0.14000000000000001</v>
      </c>
      <c r="K303" s="89">
        <v>0.21210000000000001</v>
      </c>
      <c r="L303" s="89">
        <v>0.8</v>
      </c>
      <c r="M303" s="89">
        <v>0</v>
      </c>
      <c r="N303" s="89">
        <v>2</v>
      </c>
      <c r="O303" s="89">
        <v>13</v>
      </c>
      <c r="P303" s="90">
        <v>15</v>
      </c>
    </row>
    <row r="304" spans="1:16">
      <c r="A304" s="87">
        <v>924</v>
      </c>
      <c r="B304" s="88">
        <v>40585</v>
      </c>
      <c r="C304" s="89">
        <v>1</v>
      </c>
      <c r="D304" s="89">
        <v>0</v>
      </c>
      <c r="E304" s="89">
        <v>2</v>
      </c>
      <c r="F304" s="89">
        <v>0</v>
      </c>
      <c r="G304" s="89" t="b">
        <v>0</v>
      </c>
      <c r="H304" s="89">
        <v>5</v>
      </c>
      <c r="I304" s="89">
        <v>1</v>
      </c>
      <c r="J304" s="89">
        <v>0.1</v>
      </c>
      <c r="K304" s="89">
        <v>0.13639999999999999</v>
      </c>
      <c r="L304" s="89">
        <v>0.49</v>
      </c>
      <c r="M304" s="89">
        <v>0.1045</v>
      </c>
      <c r="N304" s="89">
        <v>2</v>
      </c>
      <c r="O304" s="89">
        <v>12</v>
      </c>
      <c r="P304" s="90">
        <v>14</v>
      </c>
    </row>
    <row r="305" spans="1:16">
      <c r="A305" s="87">
        <v>759</v>
      </c>
      <c r="B305" s="88">
        <v>40578</v>
      </c>
      <c r="C305" s="89">
        <v>1</v>
      </c>
      <c r="D305" s="89">
        <v>0</v>
      </c>
      <c r="E305" s="89">
        <v>2</v>
      </c>
      <c r="F305" s="89">
        <v>0</v>
      </c>
      <c r="G305" s="89" t="b">
        <v>0</v>
      </c>
      <c r="H305" s="89">
        <v>5</v>
      </c>
      <c r="I305" s="89">
        <v>2</v>
      </c>
      <c r="J305" s="89">
        <v>0.2</v>
      </c>
      <c r="K305" s="89">
        <v>0.2576</v>
      </c>
      <c r="L305" s="89">
        <v>0.44</v>
      </c>
      <c r="M305" s="89">
        <v>0</v>
      </c>
      <c r="N305" s="89">
        <v>3</v>
      </c>
      <c r="O305" s="89">
        <v>10</v>
      </c>
      <c r="P305" s="90">
        <v>13</v>
      </c>
    </row>
    <row r="306" spans="1:16">
      <c r="A306" s="87">
        <v>809</v>
      </c>
      <c r="B306" s="88">
        <v>40580</v>
      </c>
      <c r="C306" s="89">
        <v>1</v>
      </c>
      <c r="D306" s="89">
        <v>0</v>
      </c>
      <c r="E306" s="89">
        <v>2</v>
      </c>
      <c r="F306" s="89">
        <v>3</v>
      </c>
      <c r="G306" s="89" t="b">
        <v>0</v>
      </c>
      <c r="H306" s="89">
        <v>0</v>
      </c>
      <c r="I306" s="89">
        <v>1</v>
      </c>
      <c r="J306" s="89">
        <v>0.26</v>
      </c>
      <c r="K306" s="89">
        <v>0.28789999999999999</v>
      </c>
      <c r="L306" s="89">
        <v>0.6</v>
      </c>
      <c r="M306" s="89">
        <v>8.9599999999999999E-2</v>
      </c>
      <c r="N306" s="89">
        <v>3</v>
      </c>
      <c r="O306" s="89">
        <v>10</v>
      </c>
      <c r="P306" s="90">
        <v>13</v>
      </c>
    </row>
    <row r="307" spans="1:16">
      <c r="A307" s="87">
        <v>649</v>
      </c>
      <c r="B307" s="88">
        <v>40573</v>
      </c>
      <c r="C307" s="89">
        <v>1</v>
      </c>
      <c r="D307" s="89">
        <v>0</v>
      </c>
      <c r="E307" s="89">
        <v>1</v>
      </c>
      <c r="F307" s="89">
        <v>8</v>
      </c>
      <c r="G307" s="89" t="b">
        <v>0</v>
      </c>
      <c r="H307" s="89">
        <v>0</v>
      </c>
      <c r="I307" s="89">
        <v>2</v>
      </c>
      <c r="J307" s="89">
        <v>0.14000000000000001</v>
      </c>
      <c r="K307" s="89">
        <v>0.21210000000000001</v>
      </c>
      <c r="L307" s="89">
        <v>0.86</v>
      </c>
      <c r="M307" s="89">
        <v>0</v>
      </c>
      <c r="N307" s="89">
        <v>1</v>
      </c>
      <c r="O307" s="89">
        <v>11</v>
      </c>
      <c r="P307" s="90">
        <v>12</v>
      </c>
    </row>
    <row r="308" spans="1:16">
      <c r="A308" s="87">
        <v>736</v>
      </c>
      <c r="B308" s="88">
        <v>40577</v>
      </c>
      <c r="C308" s="89">
        <v>1</v>
      </c>
      <c r="D308" s="89">
        <v>0</v>
      </c>
      <c r="E308" s="89">
        <v>2</v>
      </c>
      <c r="F308" s="89">
        <v>0</v>
      </c>
      <c r="G308" s="89" t="b">
        <v>0</v>
      </c>
      <c r="H308" s="89">
        <v>4</v>
      </c>
      <c r="I308" s="89">
        <v>1</v>
      </c>
      <c r="J308" s="89">
        <v>0.2</v>
      </c>
      <c r="K308" s="89">
        <v>0.16669999999999999</v>
      </c>
      <c r="L308" s="89">
        <v>0.4</v>
      </c>
      <c r="M308" s="89">
        <v>0.44779999999999998</v>
      </c>
      <c r="N308" s="89">
        <v>1</v>
      </c>
      <c r="O308" s="89">
        <v>11</v>
      </c>
      <c r="P308" s="90">
        <v>12</v>
      </c>
    </row>
    <row r="309" spans="1:16">
      <c r="A309" s="87">
        <v>877</v>
      </c>
      <c r="B309" s="88">
        <v>40582</v>
      </c>
      <c r="C309" s="89">
        <v>1</v>
      </c>
      <c r="D309" s="89">
        <v>0</v>
      </c>
      <c r="E309" s="89">
        <v>2</v>
      </c>
      <c r="F309" s="89">
        <v>23</v>
      </c>
      <c r="G309" s="89" t="b">
        <v>0</v>
      </c>
      <c r="H309" s="89">
        <v>2</v>
      </c>
      <c r="I309" s="89">
        <v>1</v>
      </c>
      <c r="J309" s="89">
        <v>0.12</v>
      </c>
      <c r="K309" s="89">
        <v>0.1061</v>
      </c>
      <c r="L309" s="89">
        <v>0.33</v>
      </c>
      <c r="M309" s="89">
        <v>0.32840000000000003</v>
      </c>
      <c r="N309" s="89">
        <v>3</v>
      </c>
      <c r="O309" s="89">
        <v>9</v>
      </c>
      <c r="P309" s="90">
        <v>12</v>
      </c>
    </row>
    <row r="310" spans="1:16">
      <c r="A310" s="87">
        <v>973</v>
      </c>
      <c r="B310" s="88">
        <v>40587</v>
      </c>
      <c r="C310" s="89">
        <v>1</v>
      </c>
      <c r="D310" s="89">
        <v>0</v>
      </c>
      <c r="E310" s="89">
        <v>2</v>
      </c>
      <c r="F310" s="89">
        <v>3</v>
      </c>
      <c r="G310" s="89" t="b">
        <v>0</v>
      </c>
      <c r="H310" s="89">
        <v>0</v>
      </c>
      <c r="I310" s="89">
        <v>2</v>
      </c>
      <c r="J310" s="89">
        <v>0.2</v>
      </c>
      <c r="K310" s="89">
        <v>0.2273</v>
      </c>
      <c r="L310" s="89">
        <v>0.69</v>
      </c>
      <c r="M310" s="89">
        <v>0.1045</v>
      </c>
      <c r="N310" s="89">
        <v>4</v>
      </c>
      <c r="O310" s="89">
        <v>8</v>
      </c>
      <c r="P310" s="90">
        <v>12</v>
      </c>
    </row>
    <row r="311" spans="1:16">
      <c r="A311" s="87">
        <v>977</v>
      </c>
      <c r="B311" s="88">
        <v>40587</v>
      </c>
      <c r="C311" s="89">
        <v>1</v>
      </c>
      <c r="D311" s="89">
        <v>0</v>
      </c>
      <c r="E311" s="89">
        <v>2</v>
      </c>
      <c r="F311" s="89">
        <v>8</v>
      </c>
      <c r="G311" s="89" t="b">
        <v>0</v>
      </c>
      <c r="H311" s="89">
        <v>0</v>
      </c>
      <c r="I311" s="89">
        <v>2</v>
      </c>
      <c r="J311" s="89">
        <v>0.22</v>
      </c>
      <c r="K311" s="89">
        <v>0.2273</v>
      </c>
      <c r="L311" s="89">
        <v>0.64</v>
      </c>
      <c r="M311" s="89">
        <v>0.19400000000000001</v>
      </c>
      <c r="N311" s="89">
        <v>1</v>
      </c>
      <c r="O311" s="89">
        <v>11</v>
      </c>
      <c r="P311" s="90">
        <v>12</v>
      </c>
    </row>
    <row r="312" spans="1:16">
      <c r="A312" s="87">
        <v>644</v>
      </c>
      <c r="B312" s="88">
        <v>40573</v>
      </c>
      <c r="C312" s="89">
        <v>1</v>
      </c>
      <c r="D312" s="89">
        <v>0</v>
      </c>
      <c r="E312" s="89">
        <v>1</v>
      </c>
      <c r="F312" s="89">
        <v>2</v>
      </c>
      <c r="G312" s="89" t="b">
        <v>0</v>
      </c>
      <c r="H312" s="89">
        <v>0</v>
      </c>
      <c r="I312" s="89">
        <v>1</v>
      </c>
      <c r="J312" s="89">
        <v>0.16</v>
      </c>
      <c r="K312" s="89">
        <v>0.2273</v>
      </c>
      <c r="L312" s="89">
        <v>0.8</v>
      </c>
      <c r="M312" s="89">
        <v>0</v>
      </c>
      <c r="N312" s="89">
        <v>1</v>
      </c>
      <c r="O312" s="89">
        <v>10</v>
      </c>
      <c r="P312" s="90">
        <v>11</v>
      </c>
    </row>
    <row r="313" spans="1:16">
      <c r="A313" s="87">
        <v>785</v>
      </c>
      <c r="B313" s="88">
        <v>40579</v>
      </c>
      <c r="C313" s="89">
        <v>1</v>
      </c>
      <c r="D313" s="89">
        <v>0</v>
      </c>
      <c r="E313" s="89">
        <v>2</v>
      </c>
      <c r="F313" s="89">
        <v>3</v>
      </c>
      <c r="G313" s="89" t="b">
        <v>0</v>
      </c>
      <c r="H313" s="89">
        <v>6</v>
      </c>
      <c r="I313" s="89">
        <v>2</v>
      </c>
      <c r="J313" s="89">
        <v>0.24</v>
      </c>
      <c r="K313" s="89">
        <v>0.2424</v>
      </c>
      <c r="L313" s="89">
        <v>0.75</v>
      </c>
      <c r="M313" s="89">
        <v>0.16420000000000001</v>
      </c>
      <c r="N313" s="89">
        <v>1</v>
      </c>
      <c r="O313" s="89">
        <v>10</v>
      </c>
      <c r="P313" s="90">
        <v>11</v>
      </c>
    </row>
    <row r="314" spans="1:16">
      <c r="A314" s="87">
        <v>953</v>
      </c>
      <c r="B314" s="88">
        <v>40586</v>
      </c>
      <c r="C314" s="89">
        <v>1</v>
      </c>
      <c r="D314" s="89">
        <v>0</v>
      </c>
      <c r="E314" s="89">
        <v>2</v>
      </c>
      <c r="F314" s="89">
        <v>7</v>
      </c>
      <c r="G314" s="89" t="b">
        <v>0</v>
      </c>
      <c r="H314" s="89">
        <v>6</v>
      </c>
      <c r="I314" s="89">
        <v>1</v>
      </c>
      <c r="J314" s="89">
        <v>0.12</v>
      </c>
      <c r="K314" s="89">
        <v>0.1515</v>
      </c>
      <c r="L314" s="89">
        <v>0.8</v>
      </c>
      <c r="M314" s="89">
        <v>0.1045</v>
      </c>
      <c r="N314" s="89">
        <v>2</v>
      </c>
      <c r="O314" s="89">
        <v>9</v>
      </c>
      <c r="P314" s="90">
        <v>11</v>
      </c>
    </row>
    <row r="315" spans="1:16">
      <c r="A315" s="87">
        <v>993</v>
      </c>
      <c r="B315" s="88">
        <v>40588</v>
      </c>
      <c r="C315" s="89">
        <v>1</v>
      </c>
      <c r="D315" s="89">
        <v>0</v>
      </c>
      <c r="E315" s="89">
        <v>2</v>
      </c>
      <c r="F315" s="89">
        <v>0</v>
      </c>
      <c r="G315" s="89" t="b">
        <v>0</v>
      </c>
      <c r="H315" s="89">
        <v>1</v>
      </c>
      <c r="I315" s="89">
        <v>1</v>
      </c>
      <c r="J315" s="89">
        <v>0.38</v>
      </c>
      <c r="K315" s="89">
        <v>0.39389999999999997</v>
      </c>
      <c r="L315" s="89">
        <v>0.37</v>
      </c>
      <c r="M315" s="89">
        <v>0.35820000000000002</v>
      </c>
      <c r="N315" s="89">
        <v>3</v>
      </c>
      <c r="O315" s="89">
        <v>8</v>
      </c>
      <c r="P315" s="90">
        <v>11</v>
      </c>
    </row>
    <row r="316" spans="1:16">
      <c r="A316" s="87">
        <v>790</v>
      </c>
      <c r="B316" s="88">
        <v>40579</v>
      </c>
      <c r="C316" s="89">
        <v>1</v>
      </c>
      <c r="D316" s="89">
        <v>0</v>
      </c>
      <c r="E316" s="89">
        <v>2</v>
      </c>
      <c r="F316" s="89">
        <v>8</v>
      </c>
      <c r="G316" s="89" t="b">
        <v>0</v>
      </c>
      <c r="H316" s="89">
        <v>6</v>
      </c>
      <c r="I316" s="89">
        <v>3</v>
      </c>
      <c r="J316" s="89">
        <v>0.2</v>
      </c>
      <c r="K316" s="89">
        <v>0.2273</v>
      </c>
      <c r="L316" s="89">
        <v>1</v>
      </c>
      <c r="M316" s="89">
        <v>8.9599999999999999E-2</v>
      </c>
      <c r="N316" s="89">
        <v>0</v>
      </c>
      <c r="O316" s="89">
        <v>10</v>
      </c>
      <c r="P316" s="90">
        <v>10</v>
      </c>
    </row>
    <row r="317" spans="1:16">
      <c r="A317" s="87">
        <v>835</v>
      </c>
      <c r="B317" s="88">
        <v>40581</v>
      </c>
      <c r="C317" s="89">
        <v>1</v>
      </c>
      <c r="D317" s="89">
        <v>0</v>
      </c>
      <c r="E317" s="89">
        <v>2</v>
      </c>
      <c r="F317" s="89">
        <v>5</v>
      </c>
      <c r="G317" s="89" t="b">
        <v>0</v>
      </c>
      <c r="H317" s="89">
        <v>1</v>
      </c>
      <c r="I317" s="89">
        <v>1</v>
      </c>
      <c r="J317" s="89">
        <v>0.2</v>
      </c>
      <c r="K317" s="89">
        <v>0.2576</v>
      </c>
      <c r="L317" s="89">
        <v>0.86</v>
      </c>
      <c r="M317" s="89">
        <v>0</v>
      </c>
      <c r="N317" s="89">
        <v>1</v>
      </c>
      <c r="O317" s="89">
        <v>9</v>
      </c>
      <c r="P317" s="90">
        <v>10</v>
      </c>
    </row>
    <row r="318" spans="1:16">
      <c r="A318" s="87">
        <v>854</v>
      </c>
      <c r="B318" s="88">
        <v>40582</v>
      </c>
      <c r="C318" s="89">
        <v>1</v>
      </c>
      <c r="D318" s="89">
        <v>0</v>
      </c>
      <c r="E318" s="89">
        <v>2</v>
      </c>
      <c r="F318" s="89">
        <v>0</v>
      </c>
      <c r="G318" s="89" t="b">
        <v>0</v>
      </c>
      <c r="H318" s="89">
        <v>2</v>
      </c>
      <c r="I318" s="89">
        <v>2</v>
      </c>
      <c r="J318" s="89">
        <v>0.28000000000000003</v>
      </c>
      <c r="K318" s="89">
        <v>0.31819999999999998</v>
      </c>
      <c r="L318" s="89">
        <v>0.87</v>
      </c>
      <c r="M318" s="89">
        <v>0</v>
      </c>
      <c r="N318" s="89">
        <v>4</v>
      </c>
      <c r="O318" s="89">
        <v>6</v>
      </c>
      <c r="P318" s="90">
        <v>10</v>
      </c>
    </row>
    <row r="319" spans="1:16">
      <c r="A319" s="87">
        <v>949</v>
      </c>
      <c r="B319" s="88">
        <v>40586</v>
      </c>
      <c r="C319" s="89">
        <v>1</v>
      </c>
      <c r="D319" s="89">
        <v>0</v>
      </c>
      <c r="E319" s="89">
        <v>2</v>
      </c>
      <c r="F319" s="89">
        <v>3</v>
      </c>
      <c r="G319" s="89" t="b">
        <v>0</v>
      </c>
      <c r="H319" s="89">
        <v>6</v>
      </c>
      <c r="I319" s="89">
        <v>1</v>
      </c>
      <c r="J319" s="89">
        <v>0.12</v>
      </c>
      <c r="K319" s="89">
        <v>0.19700000000000001</v>
      </c>
      <c r="L319" s="89">
        <v>0.8</v>
      </c>
      <c r="M319" s="89">
        <v>0</v>
      </c>
      <c r="N319" s="89">
        <v>3</v>
      </c>
      <c r="O319" s="89">
        <v>7</v>
      </c>
      <c r="P319" s="90">
        <v>10</v>
      </c>
    </row>
    <row r="320" spans="1:16">
      <c r="A320" s="87">
        <v>787</v>
      </c>
      <c r="B320" s="88">
        <v>40579</v>
      </c>
      <c r="C320" s="89">
        <v>1</v>
      </c>
      <c r="D320" s="89">
        <v>0</v>
      </c>
      <c r="E320" s="89">
        <v>2</v>
      </c>
      <c r="F320" s="89">
        <v>5</v>
      </c>
      <c r="G320" s="89" t="b">
        <v>0</v>
      </c>
      <c r="H320" s="89">
        <v>6</v>
      </c>
      <c r="I320" s="89">
        <v>3</v>
      </c>
      <c r="J320" s="89">
        <v>0.2</v>
      </c>
      <c r="K320" s="89">
        <v>0.2273</v>
      </c>
      <c r="L320" s="89">
        <v>1</v>
      </c>
      <c r="M320" s="89">
        <v>8.9599999999999999E-2</v>
      </c>
      <c r="N320" s="89">
        <v>0</v>
      </c>
      <c r="O320" s="89">
        <v>9</v>
      </c>
      <c r="P320" s="90">
        <v>9</v>
      </c>
    </row>
    <row r="321" spans="1:16">
      <c r="A321" s="87">
        <v>622</v>
      </c>
      <c r="B321" s="88">
        <v>40572</v>
      </c>
      <c r="C321" s="89">
        <v>1</v>
      </c>
      <c r="D321" s="89">
        <v>0</v>
      </c>
      <c r="E321" s="89">
        <v>1</v>
      </c>
      <c r="F321" s="89">
        <v>3</v>
      </c>
      <c r="G321" s="89" t="b">
        <v>0</v>
      </c>
      <c r="H321" s="89">
        <v>6</v>
      </c>
      <c r="I321" s="89">
        <v>1</v>
      </c>
      <c r="J321" s="89">
        <v>0.2</v>
      </c>
      <c r="K321" s="89">
        <v>0.21210000000000001</v>
      </c>
      <c r="L321" s="89">
        <v>0.64</v>
      </c>
      <c r="M321" s="89">
        <v>0.1343</v>
      </c>
      <c r="N321" s="89">
        <v>3</v>
      </c>
      <c r="O321" s="89">
        <v>5</v>
      </c>
      <c r="P321" s="90">
        <v>8</v>
      </c>
    </row>
    <row r="322" spans="1:16">
      <c r="A322" s="87">
        <v>645</v>
      </c>
      <c r="B322" s="88">
        <v>40573</v>
      </c>
      <c r="C322" s="89">
        <v>1</v>
      </c>
      <c r="D322" s="89">
        <v>0</v>
      </c>
      <c r="E322" s="89">
        <v>1</v>
      </c>
      <c r="F322" s="89">
        <v>3</v>
      </c>
      <c r="G322" s="89" t="b">
        <v>0</v>
      </c>
      <c r="H322" s="89">
        <v>0</v>
      </c>
      <c r="I322" s="89">
        <v>1</v>
      </c>
      <c r="J322" s="89">
        <v>0.14000000000000001</v>
      </c>
      <c r="K322" s="89">
        <v>0.21210000000000001</v>
      </c>
      <c r="L322" s="89">
        <v>0.93</v>
      </c>
      <c r="M322" s="89">
        <v>0</v>
      </c>
      <c r="N322" s="89">
        <v>1</v>
      </c>
      <c r="O322" s="89">
        <v>7</v>
      </c>
      <c r="P322" s="90">
        <v>8</v>
      </c>
    </row>
    <row r="323" spans="1:16">
      <c r="A323" s="87">
        <v>670</v>
      </c>
      <c r="B323" s="88">
        <v>40574</v>
      </c>
      <c r="C323" s="89">
        <v>1</v>
      </c>
      <c r="D323" s="89">
        <v>0</v>
      </c>
      <c r="E323" s="89">
        <v>1</v>
      </c>
      <c r="F323" s="89">
        <v>5</v>
      </c>
      <c r="G323" s="89" t="b">
        <v>0</v>
      </c>
      <c r="H323" s="89">
        <v>1</v>
      </c>
      <c r="I323" s="89">
        <v>1</v>
      </c>
      <c r="J323" s="89">
        <v>0.18</v>
      </c>
      <c r="K323" s="89">
        <v>0.16669999999999999</v>
      </c>
      <c r="L323" s="89">
        <v>0.64</v>
      </c>
      <c r="M323" s="89">
        <v>0.28360000000000002</v>
      </c>
      <c r="N323" s="89">
        <v>0</v>
      </c>
      <c r="O323" s="89">
        <v>8</v>
      </c>
      <c r="P323" s="90">
        <v>8</v>
      </c>
    </row>
    <row r="324" spans="1:16">
      <c r="A324" s="87">
        <v>689</v>
      </c>
      <c r="B324" s="88">
        <v>40575</v>
      </c>
      <c r="C324" s="89">
        <v>1</v>
      </c>
      <c r="D324" s="89">
        <v>0</v>
      </c>
      <c r="E324" s="89">
        <v>2</v>
      </c>
      <c r="F324" s="89">
        <v>0</v>
      </c>
      <c r="G324" s="89" t="b">
        <v>0</v>
      </c>
      <c r="H324" s="89">
        <v>2</v>
      </c>
      <c r="I324" s="89">
        <v>2</v>
      </c>
      <c r="J324" s="89">
        <v>0.16</v>
      </c>
      <c r="K324" s="89">
        <v>0.18179999999999999</v>
      </c>
      <c r="L324" s="89">
        <v>0.64</v>
      </c>
      <c r="M324" s="89">
        <v>0.1045</v>
      </c>
      <c r="N324" s="89">
        <v>2</v>
      </c>
      <c r="O324" s="89">
        <v>6</v>
      </c>
      <c r="P324" s="90">
        <v>8</v>
      </c>
    </row>
    <row r="325" spans="1:16">
      <c r="A325" s="87">
        <v>786</v>
      </c>
      <c r="B325" s="88">
        <v>40579</v>
      </c>
      <c r="C325" s="89">
        <v>1</v>
      </c>
      <c r="D325" s="89">
        <v>0</v>
      </c>
      <c r="E325" s="89">
        <v>2</v>
      </c>
      <c r="F325" s="89">
        <v>4</v>
      </c>
      <c r="G325" s="89" t="b">
        <v>0</v>
      </c>
      <c r="H325" s="89">
        <v>6</v>
      </c>
      <c r="I325" s="89">
        <v>3</v>
      </c>
      <c r="J325" s="89">
        <v>0.22</v>
      </c>
      <c r="K325" s="89">
        <v>0.2273</v>
      </c>
      <c r="L325" s="89">
        <v>0.93</v>
      </c>
      <c r="M325" s="89">
        <v>0.1343</v>
      </c>
      <c r="N325" s="89">
        <v>0</v>
      </c>
      <c r="O325" s="89">
        <v>8</v>
      </c>
      <c r="P325" s="90">
        <v>8</v>
      </c>
    </row>
    <row r="326" spans="1:16">
      <c r="A326" s="87">
        <v>813</v>
      </c>
      <c r="B326" s="88">
        <v>40580</v>
      </c>
      <c r="C326" s="89">
        <v>1</v>
      </c>
      <c r="D326" s="89">
        <v>0</v>
      </c>
      <c r="E326" s="89">
        <v>2</v>
      </c>
      <c r="F326" s="89">
        <v>7</v>
      </c>
      <c r="G326" s="89" t="b">
        <v>0</v>
      </c>
      <c r="H326" s="89">
        <v>0</v>
      </c>
      <c r="I326" s="89">
        <v>1</v>
      </c>
      <c r="J326" s="89">
        <v>0.24</v>
      </c>
      <c r="K326" s="89">
        <v>0.2424</v>
      </c>
      <c r="L326" s="89">
        <v>0.65</v>
      </c>
      <c r="M326" s="89">
        <v>0.16420000000000001</v>
      </c>
      <c r="N326" s="89">
        <v>0</v>
      </c>
      <c r="O326" s="89">
        <v>8</v>
      </c>
      <c r="P326" s="90">
        <v>8</v>
      </c>
    </row>
    <row r="327" spans="1:16">
      <c r="A327" s="87">
        <v>665</v>
      </c>
      <c r="B327" s="88">
        <v>40574</v>
      </c>
      <c r="C327" s="89">
        <v>1</v>
      </c>
      <c r="D327" s="89">
        <v>0</v>
      </c>
      <c r="E327" s="89">
        <v>1</v>
      </c>
      <c r="F327" s="89">
        <v>0</v>
      </c>
      <c r="G327" s="89" t="b">
        <v>0</v>
      </c>
      <c r="H327" s="89">
        <v>1</v>
      </c>
      <c r="I327" s="89">
        <v>2</v>
      </c>
      <c r="J327" s="89">
        <v>0.24</v>
      </c>
      <c r="K327" s="89">
        <v>0.2273</v>
      </c>
      <c r="L327" s="89">
        <v>0.65</v>
      </c>
      <c r="M327" s="89">
        <v>0.22389999999999999</v>
      </c>
      <c r="N327" s="89">
        <v>1</v>
      </c>
      <c r="O327" s="89">
        <v>6</v>
      </c>
      <c r="P327" s="90">
        <v>7</v>
      </c>
    </row>
    <row r="328" spans="1:16">
      <c r="A328" s="87">
        <v>666</v>
      </c>
      <c r="B328" s="88">
        <v>40574</v>
      </c>
      <c r="C328" s="89">
        <v>1</v>
      </c>
      <c r="D328" s="89">
        <v>0</v>
      </c>
      <c r="E328" s="89">
        <v>1</v>
      </c>
      <c r="F328" s="89">
        <v>1</v>
      </c>
      <c r="G328" s="89" t="b">
        <v>0</v>
      </c>
      <c r="H328" s="89">
        <v>1</v>
      </c>
      <c r="I328" s="89">
        <v>1</v>
      </c>
      <c r="J328" s="89">
        <v>0.22</v>
      </c>
      <c r="K328" s="89">
        <v>0.21210000000000001</v>
      </c>
      <c r="L328" s="89">
        <v>0.64</v>
      </c>
      <c r="M328" s="89">
        <v>0.25369999999999998</v>
      </c>
      <c r="N328" s="89">
        <v>2</v>
      </c>
      <c r="O328" s="89">
        <v>5</v>
      </c>
      <c r="P328" s="90">
        <v>7</v>
      </c>
    </row>
    <row r="329" spans="1:16">
      <c r="A329" s="87">
        <v>760</v>
      </c>
      <c r="B329" s="88">
        <v>40578</v>
      </c>
      <c r="C329" s="89">
        <v>1</v>
      </c>
      <c r="D329" s="89">
        <v>0</v>
      </c>
      <c r="E329" s="89">
        <v>2</v>
      </c>
      <c r="F329" s="89">
        <v>1</v>
      </c>
      <c r="G329" s="89" t="b">
        <v>0</v>
      </c>
      <c r="H329" s="89">
        <v>5</v>
      </c>
      <c r="I329" s="89">
        <v>2</v>
      </c>
      <c r="J329" s="89">
        <v>0.16</v>
      </c>
      <c r="K329" s="89">
        <v>0.2273</v>
      </c>
      <c r="L329" s="89">
        <v>0.59</v>
      </c>
      <c r="M329" s="89">
        <v>0</v>
      </c>
      <c r="N329" s="89">
        <v>0</v>
      </c>
      <c r="O329" s="89">
        <v>7</v>
      </c>
      <c r="P329" s="90">
        <v>7</v>
      </c>
    </row>
    <row r="330" spans="1:16">
      <c r="A330" s="87">
        <v>763</v>
      </c>
      <c r="B330" s="88">
        <v>40578</v>
      </c>
      <c r="C330" s="89">
        <v>1</v>
      </c>
      <c r="D330" s="89">
        <v>0</v>
      </c>
      <c r="E330" s="89">
        <v>2</v>
      </c>
      <c r="F330" s="89">
        <v>5</v>
      </c>
      <c r="G330" s="89" t="b">
        <v>0</v>
      </c>
      <c r="H330" s="89">
        <v>5</v>
      </c>
      <c r="I330" s="89">
        <v>2</v>
      </c>
      <c r="J330" s="89">
        <v>0.14000000000000001</v>
      </c>
      <c r="K330" s="89">
        <v>0.1515</v>
      </c>
      <c r="L330" s="89">
        <v>0.63</v>
      </c>
      <c r="M330" s="89">
        <v>0.1343</v>
      </c>
      <c r="N330" s="89">
        <v>0</v>
      </c>
      <c r="O330" s="89">
        <v>7</v>
      </c>
      <c r="P330" s="90">
        <v>7</v>
      </c>
    </row>
    <row r="331" spans="1:16">
      <c r="A331" s="87">
        <v>879</v>
      </c>
      <c r="B331" s="88">
        <v>40583</v>
      </c>
      <c r="C331" s="89">
        <v>1</v>
      </c>
      <c r="D331" s="89">
        <v>0</v>
      </c>
      <c r="E331" s="89">
        <v>2</v>
      </c>
      <c r="F331" s="89">
        <v>1</v>
      </c>
      <c r="G331" s="89" t="b">
        <v>0</v>
      </c>
      <c r="H331" s="89">
        <v>3</v>
      </c>
      <c r="I331" s="89">
        <v>1</v>
      </c>
      <c r="J331" s="89">
        <v>0.1</v>
      </c>
      <c r="K331" s="89">
        <v>0.1061</v>
      </c>
      <c r="L331" s="89">
        <v>0.36</v>
      </c>
      <c r="M331" s="89">
        <v>0.22389999999999999</v>
      </c>
      <c r="N331" s="89">
        <v>0</v>
      </c>
      <c r="O331" s="89">
        <v>7</v>
      </c>
      <c r="P331" s="90">
        <v>7</v>
      </c>
    </row>
    <row r="332" spans="1:16">
      <c r="A332" s="87">
        <v>882</v>
      </c>
      <c r="B332" s="88">
        <v>40583</v>
      </c>
      <c r="C332" s="89">
        <v>1</v>
      </c>
      <c r="D332" s="89">
        <v>0</v>
      </c>
      <c r="E332" s="89">
        <v>2</v>
      </c>
      <c r="F332" s="89">
        <v>5</v>
      </c>
      <c r="G332" s="89" t="b">
        <v>0</v>
      </c>
      <c r="H332" s="89">
        <v>3</v>
      </c>
      <c r="I332" s="89">
        <v>1</v>
      </c>
      <c r="J332" s="89">
        <v>0.06</v>
      </c>
      <c r="K332" s="89">
        <v>0.1061</v>
      </c>
      <c r="L332" s="89">
        <v>0.45</v>
      </c>
      <c r="M332" s="89">
        <v>0.1045</v>
      </c>
      <c r="N332" s="89">
        <v>0</v>
      </c>
      <c r="O332" s="89">
        <v>7</v>
      </c>
      <c r="P332" s="90">
        <v>7</v>
      </c>
    </row>
    <row r="333" spans="1:16">
      <c r="A333" s="87">
        <v>902</v>
      </c>
      <c r="B333" s="88">
        <v>40584</v>
      </c>
      <c r="C333" s="89">
        <v>1</v>
      </c>
      <c r="D333" s="89">
        <v>0</v>
      </c>
      <c r="E333" s="89">
        <v>2</v>
      </c>
      <c r="F333" s="89">
        <v>1</v>
      </c>
      <c r="G333" s="89" t="b">
        <v>0</v>
      </c>
      <c r="H333" s="89">
        <v>4</v>
      </c>
      <c r="I333" s="89">
        <v>3</v>
      </c>
      <c r="J333" s="89">
        <v>0.14000000000000001</v>
      </c>
      <c r="K333" s="89">
        <v>0.1515</v>
      </c>
      <c r="L333" s="89">
        <v>0.8</v>
      </c>
      <c r="M333" s="89">
        <v>0.1343</v>
      </c>
      <c r="N333" s="89">
        <v>0</v>
      </c>
      <c r="O333" s="89">
        <v>7</v>
      </c>
      <c r="P333" s="90">
        <v>7</v>
      </c>
    </row>
    <row r="334" spans="1:16">
      <c r="A334" s="87">
        <v>925</v>
      </c>
      <c r="B334" s="88">
        <v>40585</v>
      </c>
      <c r="C334" s="89">
        <v>1</v>
      </c>
      <c r="D334" s="89">
        <v>0</v>
      </c>
      <c r="E334" s="89">
        <v>2</v>
      </c>
      <c r="F334" s="89">
        <v>1</v>
      </c>
      <c r="G334" s="89" t="b">
        <v>0</v>
      </c>
      <c r="H334" s="89">
        <v>5</v>
      </c>
      <c r="I334" s="89">
        <v>1</v>
      </c>
      <c r="J334" s="89">
        <v>0.1</v>
      </c>
      <c r="K334" s="89">
        <v>0.13639999999999999</v>
      </c>
      <c r="L334" s="89">
        <v>0.54</v>
      </c>
      <c r="M334" s="89">
        <v>8.9599999999999999E-2</v>
      </c>
      <c r="N334" s="89">
        <v>1</v>
      </c>
      <c r="O334" s="89">
        <v>6</v>
      </c>
      <c r="P334" s="90">
        <v>7</v>
      </c>
    </row>
    <row r="335" spans="1:16">
      <c r="A335" s="87">
        <v>994</v>
      </c>
      <c r="B335" s="88">
        <v>40588</v>
      </c>
      <c r="C335" s="89">
        <v>1</v>
      </c>
      <c r="D335" s="89">
        <v>0</v>
      </c>
      <c r="E335" s="89">
        <v>2</v>
      </c>
      <c r="F335" s="89">
        <v>1</v>
      </c>
      <c r="G335" s="89" t="b">
        <v>0</v>
      </c>
      <c r="H335" s="89">
        <v>1</v>
      </c>
      <c r="I335" s="89">
        <v>1</v>
      </c>
      <c r="J335" s="89">
        <v>0.38</v>
      </c>
      <c r="K335" s="89">
        <v>0.39389999999999997</v>
      </c>
      <c r="L335" s="89">
        <v>0.37</v>
      </c>
      <c r="M335" s="89">
        <v>0.35820000000000002</v>
      </c>
      <c r="N335" s="89">
        <v>1</v>
      </c>
      <c r="O335" s="89">
        <v>6</v>
      </c>
      <c r="P335" s="90">
        <v>7</v>
      </c>
    </row>
    <row r="336" spans="1:16">
      <c r="A336" s="87">
        <v>905</v>
      </c>
      <c r="B336" s="88">
        <v>40584</v>
      </c>
      <c r="C336" s="89">
        <v>1</v>
      </c>
      <c r="D336" s="89">
        <v>0</v>
      </c>
      <c r="E336" s="89">
        <v>2</v>
      </c>
      <c r="F336" s="89">
        <v>5</v>
      </c>
      <c r="G336" s="89" t="b">
        <v>0</v>
      </c>
      <c r="H336" s="89">
        <v>4</v>
      </c>
      <c r="I336" s="89">
        <v>2</v>
      </c>
      <c r="J336" s="89">
        <v>0.12</v>
      </c>
      <c r="K336" s="89">
        <v>0.1212</v>
      </c>
      <c r="L336" s="89">
        <v>0.5</v>
      </c>
      <c r="M336" s="89">
        <v>0.22389999999999999</v>
      </c>
      <c r="N336" s="89">
        <v>0</v>
      </c>
      <c r="O336" s="89">
        <v>6</v>
      </c>
      <c r="P336" s="90">
        <v>6</v>
      </c>
    </row>
    <row r="337" spans="1:16">
      <c r="A337" s="87">
        <v>625</v>
      </c>
      <c r="B337" s="88">
        <v>40572</v>
      </c>
      <c r="C337" s="89">
        <v>1</v>
      </c>
      <c r="D337" s="89">
        <v>0</v>
      </c>
      <c r="E337" s="89">
        <v>1</v>
      </c>
      <c r="F337" s="89">
        <v>7</v>
      </c>
      <c r="G337" s="89" t="b">
        <v>0</v>
      </c>
      <c r="H337" s="89">
        <v>6</v>
      </c>
      <c r="I337" s="89">
        <v>1</v>
      </c>
      <c r="J337" s="89">
        <v>0.16</v>
      </c>
      <c r="K337" s="89">
        <v>0.18179999999999999</v>
      </c>
      <c r="L337" s="89">
        <v>0.59</v>
      </c>
      <c r="M337" s="89">
        <v>0.1045</v>
      </c>
      <c r="N337" s="89">
        <v>1</v>
      </c>
      <c r="O337" s="89">
        <v>4</v>
      </c>
      <c r="P337" s="90">
        <v>5</v>
      </c>
    </row>
    <row r="338" spans="1:16">
      <c r="A338" s="87">
        <v>737</v>
      </c>
      <c r="B338" s="88">
        <v>40577</v>
      </c>
      <c r="C338" s="89">
        <v>1</v>
      </c>
      <c r="D338" s="89">
        <v>0</v>
      </c>
      <c r="E338" s="89">
        <v>2</v>
      </c>
      <c r="F338" s="89">
        <v>1</v>
      </c>
      <c r="G338" s="89" t="b">
        <v>0</v>
      </c>
      <c r="H338" s="89">
        <v>4</v>
      </c>
      <c r="I338" s="89">
        <v>1</v>
      </c>
      <c r="J338" s="89">
        <v>0.2</v>
      </c>
      <c r="K338" s="89">
        <v>0.1515</v>
      </c>
      <c r="L338" s="89">
        <v>0.44</v>
      </c>
      <c r="M338" s="89">
        <v>0.52239999999999998</v>
      </c>
      <c r="N338" s="89">
        <v>0</v>
      </c>
      <c r="O338" s="89">
        <v>5</v>
      </c>
      <c r="P338" s="90">
        <v>5</v>
      </c>
    </row>
    <row r="339" spans="1:16">
      <c r="A339" s="87">
        <v>831</v>
      </c>
      <c r="B339" s="88">
        <v>40581</v>
      </c>
      <c r="C339" s="89">
        <v>1</v>
      </c>
      <c r="D339" s="89">
        <v>0</v>
      </c>
      <c r="E339" s="89">
        <v>2</v>
      </c>
      <c r="F339" s="89">
        <v>1</v>
      </c>
      <c r="G339" s="89" t="b">
        <v>0</v>
      </c>
      <c r="H339" s="89">
        <v>1</v>
      </c>
      <c r="I339" s="89">
        <v>1</v>
      </c>
      <c r="J339" s="89">
        <v>0.22</v>
      </c>
      <c r="K339" s="89">
        <v>0.2727</v>
      </c>
      <c r="L339" s="89">
        <v>0.75</v>
      </c>
      <c r="M339" s="89">
        <v>0</v>
      </c>
      <c r="N339" s="89">
        <v>1</v>
      </c>
      <c r="O339" s="89">
        <v>4</v>
      </c>
      <c r="P339" s="90">
        <v>5</v>
      </c>
    </row>
    <row r="340" spans="1:16">
      <c r="A340" s="87">
        <v>975</v>
      </c>
      <c r="B340" s="88">
        <v>40587</v>
      </c>
      <c r="C340" s="89">
        <v>1</v>
      </c>
      <c r="D340" s="89">
        <v>0</v>
      </c>
      <c r="E340" s="89">
        <v>2</v>
      </c>
      <c r="F340" s="89">
        <v>6</v>
      </c>
      <c r="G340" s="89" t="b">
        <v>0</v>
      </c>
      <c r="H340" s="89">
        <v>0</v>
      </c>
      <c r="I340" s="89">
        <v>2</v>
      </c>
      <c r="J340" s="89">
        <v>0.2</v>
      </c>
      <c r="K340" s="89">
        <v>0.21210000000000001</v>
      </c>
      <c r="L340" s="89">
        <v>0.69</v>
      </c>
      <c r="M340" s="89">
        <v>0.1343</v>
      </c>
      <c r="N340" s="89">
        <v>2</v>
      </c>
      <c r="O340" s="89">
        <v>3</v>
      </c>
      <c r="P340" s="90">
        <v>5</v>
      </c>
    </row>
    <row r="341" spans="1:16">
      <c r="A341" s="87">
        <v>714</v>
      </c>
      <c r="B341" s="88">
        <v>40576</v>
      </c>
      <c r="C341" s="89">
        <v>1</v>
      </c>
      <c r="D341" s="89">
        <v>0</v>
      </c>
      <c r="E341" s="89">
        <v>2</v>
      </c>
      <c r="F341" s="89">
        <v>2</v>
      </c>
      <c r="G341" s="89" t="b">
        <v>0</v>
      </c>
      <c r="H341" s="89">
        <v>3</v>
      </c>
      <c r="I341" s="89">
        <v>3</v>
      </c>
      <c r="J341" s="89">
        <v>0.22</v>
      </c>
      <c r="K341" s="89">
        <v>0.2273</v>
      </c>
      <c r="L341" s="89">
        <v>0.93</v>
      </c>
      <c r="M341" s="89">
        <v>0.1343</v>
      </c>
      <c r="N341" s="89">
        <v>4</v>
      </c>
      <c r="O341" s="89">
        <v>0</v>
      </c>
      <c r="P341" s="90">
        <v>4</v>
      </c>
    </row>
    <row r="342" spans="1:16">
      <c r="A342" s="87">
        <v>788</v>
      </c>
      <c r="B342" s="88">
        <v>40579</v>
      </c>
      <c r="C342" s="89">
        <v>1</v>
      </c>
      <c r="D342" s="89">
        <v>0</v>
      </c>
      <c r="E342" s="89">
        <v>2</v>
      </c>
      <c r="F342" s="89">
        <v>6</v>
      </c>
      <c r="G342" s="89" t="b">
        <v>0</v>
      </c>
      <c r="H342" s="89">
        <v>6</v>
      </c>
      <c r="I342" s="89">
        <v>3</v>
      </c>
      <c r="J342" s="89">
        <v>0.2</v>
      </c>
      <c r="K342" s="89">
        <v>0.2576</v>
      </c>
      <c r="L342" s="89">
        <v>1</v>
      </c>
      <c r="M342" s="89">
        <v>0</v>
      </c>
      <c r="N342" s="89">
        <v>0</v>
      </c>
      <c r="O342" s="89">
        <v>4</v>
      </c>
      <c r="P342" s="90">
        <v>4</v>
      </c>
    </row>
    <row r="343" spans="1:16">
      <c r="A343" s="87">
        <v>789</v>
      </c>
      <c r="B343" s="88">
        <v>40579</v>
      </c>
      <c r="C343" s="89">
        <v>1</v>
      </c>
      <c r="D343" s="89">
        <v>0</v>
      </c>
      <c r="E343" s="89">
        <v>2</v>
      </c>
      <c r="F343" s="89">
        <v>7</v>
      </c>
      <c r="G343" s="89" t="b">
        <v>0</v>
      </c>
      <c r="H343" s="89">
        <v>6</v>
      </c>
      <c r="I343" s="89">
        <v>3</v>
      </c>
      <c r="J343" s="89">
        <v>0.22</v>
      </c>
      <c r="K343" s="89">
        <v>0.2576</v>
      </c>
      <c r="L343" s="89">
        <v>0.93</v>
      </c>
      <c r="M343" s="89">
        <v>8.9599999999999999E-2</v>
      </c>
      <c r="N343" s="89">
        <v>0</v>
      </c>
      <c r="O343" s="89">
        <v>4</v>
      </c>
      <c r="P343" s="90">
        <v>4</v>
      </c>
    </row>
    <row r="344" spans="1:16">
      <c r="A344" s="87">
        <v>855</v>
      </c>
      <c r="B344" s="88">
        <v>40582</v>
      </c>
      <c r="C344" s="89">
        <v>1</v>
      </c>
      <c r="D344" s="89">
        <v>0</v>
      </c>
      <c r="E344" s="89">
        <v>2</v>
      </c>
      <c r="F344" s="89">
        <v>1</v>
      </c>
      <c r="G344" s="89" t="b">
        <v>0</v>
      </c>
      <c r="H344" s="89">
        <v>2</v>
      </c>
      <c r="I344" s="89">
        <v>2</v>
      </c>
      <c r="J344" s="89">
        <v>0.28000000000000003</v>
      </c>
      <c r="K344" s="89">
        <v>0.31819999999999998</v>
      </c>
      <c r="L344" s="89">
        <v>0.87</v>
      </c>
      <c r="M344" s="89">
        <v>0</v>
      </c>
      <c r="N344" s="89">
        <v>0</v>
      </c>
      <c r="O344" s="89">
        <v>4</v>
      </c>
      <c r="P344" s="90">
        <v>4</v>
      </c>
    </row>
    <row r="345" spans="1:16">
      <c r="A345" s="87">
        <v>927</v>
      </c>
      <c r="B345" s="88">
        <v>40585</v>
      </c>
      <c r="C345" s="89">
        <v>1</v>
      </c>
      <c r="D345" s="89">
        <v>0</v>
      </c>
      <c r="E345" s="89">
        <v>2</v>
      </c>
      <c r="F345" s="89">
        <v>5</v>
      </c>
      <c r="G345" s="89" t="b">
        <v>0</v>
      </c>
      <c r="H345" s="89">
        <v>5</v>
      </c>
      <c r="I345" s="89">
        <v>1</v>
      </c>
      <c r="J345" s="89">
        <v>0.08</v>
      </c>
      <c r="K345" s="89">
        <v>0.1212</v>
      </c>
      <c r="L345" s="89">
        <v>0.63</v>
      </c>
      <c r="M345" s="89">
        <v>8.9599999999999999E-2</v>
      </c>
      <c r="N345" s="89">
        <v>0</v>
      </c>
      <c r="O345" s="89">
        <v>4</v>
      </c>
      <c r="P345" s="90">
        <v>4</v>
      </c>
    </row>
    <row r="346" spans="1:16">
      <c r="A346" s="87">
        <v>950</v>
      </c>
      <c r="B346" s="88">
        <v>40586</v>
      </c>
      <c r="C346" s="89">
        <v>1</v>
      </c>
      <c r="D346" s="89">
        <v>0</v>
      </c>
      <c r="E346" s="89">
        <v>2</v>
      </c>
      <c r="F346" s="89">
        <v>4</v>
      </c>
      <c r="G346" s="89" t="b">
        <v>0</v>
      </c>
      <c r="H346" s="89">
        <v>6</v>
      </c>
      <c r="I346" s="89">
        <v>1</v>
      </c>
      <c r="J346" s="89">
        <v>0.12</v>
      </c>
      <c r="K346" s="89">
        <v>0.16669999999999999</v>
      </c>
      <c r="L346" s="89">
        <v>0.74</v>
      </c>
      <c r="M346" s="89">
        <v>8.9599999999999999E-2</v>
      </c>
      <c r="N346" s="89">
        <v>0</v>
      </c>
      <c r="O346" s="89">
        <v>4</v>
      </c>
      <c r="P346" s="90">
        <v>4</v>
      </c>
    </row>
    <row r="347" spans="1:16">
      <c r="A347" s="87">
        <v>623</v>
      </c>
      <c r="B347" s="88">
        <v>40572</v>
      </c>
      <c r="C347" s="89">
        <v>1</v>
      </c>
      <c r="D347" s="89">
        <v>0</v>
      </c>
      <c r="E347" s="89">
        <v>1</v>
      </c>
      <c r="F347" s="89">
        <v>4</v>
      </c>
      <c r="G347" s="89" t="b">
        <v>0</v>
      </c>
      <c r="H347" s="89">
        <v>6</v>
      </c>
      <c r="I347" s="89">
        <v>1</v>
      </c>
      <c r="J347" s="89">
        <v>0.16</v>
      </c>
      <c r="K347" s="89">
        <v>0.18179999999999999</v>
      </c>
      <c r="L347" s="89">
        <v>0.69</v>
      </c>
      <c r="M347" s="89">
        <v>0.1045</v>
      </c>
      <c r="N347" s="89">
        <v>1</v>
      </c>
      <c r="O347" s="89">
        <v>2</v>
      </c>
      <c r="P347" s="90">
        <v>3</v>
      </c>
    </row>
    <row r="348" spans="1:16">
      <c r="A348" s="87">
        <v>647</v>
      </c>
      <c r="B348" s="88">
        <v>40573</v>
      </c>
      <c r="C348" s="89">
        <v>1</v>
      </c>
      <c r="D348" s="89">
        <v>0</v>
      </c>
      <c r="E348" s="89">
        <v>1</v>
      </c>
      <c r="F348" s="89">
        <v>5</v>
      </c>
      <c r="G348" s="89" t="b">
        <v>0</v>
      </c>
      <c r="H348" s="89">
        <v>0</v>
      </c>
      <c r="I348" s="89">
        <v>1</v>
      </c>
      <c r="J348" s="89">
        <v>0.14000000000000001</v>
      </c>
      <c r="K348" s="89">
        <v>0.21210000000000001</v>
      </c>
      <c r="L348" s="89">
        <v>0.86</v>
      </c>
      <c r="M348" s="89">
        <v>0</v>
      </c>
      <c r="N348" s="89">
        <v>0</v>
      </c>
      <c r="O348" s="89">
        <v>3</v>
      </c>
      <c r="P348" s="90">
        <v>3</v>
      </c>
    </row>
    <row r="349" spans="1:16">
      <c r="A349" s="87">
        <v>648</v>
      </c>
      <c r="B349" s="88">
        <v>40573</v>
      </c>
      <c r="C349" s="89">
        <v>1</v>
      </c>
      <c r="D349" s="89">
        <v>0</v>
      </c>
      <c r="E349" s="89">
        <v>1</v>
      </c>
      <c r="F349" s="89">
        <v>7</v>
      </c>
      <c r="G349" s="89" t="b">
        <v>0</v>
      </c>
      <c r="H349" s="89">
        <v>0</v>
      </c>
      <c r="I349" s="89">
        <v>1</v>
      </c>
      <c r="J349" s="89">
        <v>0.14000000000000001</v>
      </c>
      <c r="K349" s="89">
        <v>0.21210000000000001</v>
      </c>
      <c r="L349" s="89">
        <v>0.86</v>
      </c>
      <c r="M349" s="89">
        <v>0</v>
      </c>
      <c r="N349" s="89">
        <v>0</v>
      </c>
      <c r="O349" s="89">
        <v>3</v>
      </c>
      <c r="P349" s="90">
        <v>3</v>
      </c>
    </row>
    <row r="350" spans="1:16">
      <c r="A350" s="87">
        <v>690</v>
      </c>
      <c r="B350" s="88">
        <v>40575</v>
      </c>
      <c r="C350" s="89">
        <v>1</v>
      </c>
      <c r="D350" s="89">
        <v>0</v>
      </c>
      <c r="E350" s="89">
        <v>2</v>
      </c>
      <c r="F350" s="89">
        <v>1</v>
      </c>
      <c r="G350" s="89" t="b">
        <v>0</v>
      </c>
      <c r="H350" s="89">
        <v>2</v>
      </c>
      <c r="I350" s="89">
        <v>2</v>
      </c>
      <c r="J350" s="89">
        <v>0.16</v>
      </c>
      <c r="K350" s="89">
        <v>0.18179999999999999</v>
      </c>
      <c r="L350" s="89">
        <v>0.69</v>
      </c>
      <c r="M350" s="89">
        <v>0.1045</v>
      </c>
      <c r="N350" s="89">
        <v>0</v>
      </c>
      <c r="O350" s="89">
        <v>3</v>
      </c>
      <c r="P350" s="90">
        <v>3</v>
      </c>
    </row>
    <row r="351" spans="1:16">
      <c r="A351" s="87">
        <v>693</v>
      </c>
      <c r="B351" s="88">
        <v>40575</v>
      </c>
      <c r="C351" s="89">
        <v>1</v>
      </c>
      <c r="D351" s="89">
        <v>0</v>
      </c>
      <c r="E351" s="89">
        <v>2</v>
      </c>
      <c r="F351" s="89">
        <v>5</v>
      </c>
      <c r="G351" s="89" t="b">
        <v>0</v>
      </c>
      <c r="H351" s="89">
        <v>2</v>
      </c>
      <c r="I351" s="89">
        <v>3</v>
      </c>
      <c r="J351" s="89">
        <v>0.14000000000000001</v>
      </c>
      <c r="K351" s="89">
        <v>0.21210000000000001</v>
      </c>
      <c r="L351" s="89">
        <v>0.93</v>
      </c>
      <c r="M351" s="89">
        <v>0</v>
      </c>
      <c r="N351" s="89">
        <v>0</v>
      </c>
      <c r="O351" s="89">
        <v>3</v>
      </c>
      <c r="P351" s="90">
        <v>3</v>
      </c>
    </row>
    <row r="352" spans="1:16">
      <c r="A352" s="87">
        <v>713</v>
      </c>
      <c r="B352" s="88">
        <v>40576</v>
      </c>
      <c r="C352" s="89">
        <v>1</v>
      </c>
      <c r="D352" s="89">
        <v>0</v>
      </c>
      <c r="E352" s="89">
        <v>2</v>
      </c>
      <c r="F352" s="89">
        <v>1</v>
      </c>
      <c r="G352" s="89" t="b">
        <v>0</v>
      </c>
      <c r="H352" s="89">
        <v>3</v>
      </c>
      <c r="I352" s="89">
        <v>3</v>
      </c>
      <c r="J352" s="89">
        <v>0.22</v>
      </c>
      <c r="K352" s="89">
        <v>0.2273</v>
      </c>
      <c r="L352" s="89">
        <v>0.93</v>
      </c>
      <c r="M352" s="89">
        <v>0.19400000000000001</v>
      </c>
      <c r="N352" s="89">
        <v>0</v>
      </c>
      <c r="O352" s="89">
        <v>3</v>
      </c>
      <c r="P352" s="90">
        <v>3</v>
      </c>
    </row>
    <row r="353" spans="1:16">
      <c r="A353" s="87">
        <v>717</v>
      </c>
      <c r="B353" s="88">
        <v>40576</v>
      </c>
      <c r="C353" s="89">
        <v>1</v>
      </c>
      <c r="D353" s="89">
        <v>0</v>
      </c>
      <c r="E353" s="89">
        <v>2</v>
      </c>
      <c r="F353" s="89">
        <v>5</v>
      </c>
      <c r="G353" s="89" t="b">
        <v>0</v>
      </c>
      <c r="H353" s="89">
        <v>3</v>
      </c>
      <c r="I353" s="89">
        <v>3</v>
      </c>
      <c r="J353" s="89">
        <v>0.22</v>
      </c>
      <c r="K353" s="89">
        <v>0.2424</v>
      </c>
      <c r="L353" s="89">
        <v>0.93</v>
      </c>
      <c r="M353" s="89">
        <v>0.1045</v>
      </c>
      <c r="N353" s="89">
        <v>0</v>
      </c>
      <c r="O353" s="89">
        <v>3</v>
      </c>
      <c r="P353" s="90">
        <v>3</v>
      </c>
    </row>
    <row r="354" spans="1:16">
      <c r="A354" s="87">
        <v>832</v>
      </c>
      <c r="B354" s="88">
        <v>40581</v>
      </c>
      <c r="C354" s="89">
        <v>1</v>
      </c>
      <c r="D354" s="89">
        <v>0</v>
      </c>
      <c r="E354" s="89">
        <v>2</v>
      </c>
      <c r="F354" s="89">
        <v>2</v>
      </c>
      <c r="G354" s="89" t="b">
        <v>0</v>
      </c>
      <c r="H354" s="89">
        <v>1</v>
      </c>
      <c r="I354" s="89">
        <v>1</v>
      </c>
      <c r="J354" s="89">
        <v>0.2</v>
      </c>
      <c r="K354" s="89">
        <v>0.2576</v>
      </c>
      <c r="L354" s="89">
        <v>0.8</v>
      </c>
      <c r="M354" s="89">
        <v>0</v>
      </c>
      <c r="N354" s="89">
        <v>0</v>
      </c>
      <c r="O354" s="89">
        <v>3</v>
      </c>
      <c r="P354" s="90">
        <v>3</v>
      </c>
    </row>
    <row r="355" spans="1:16">
      <c r="A355" s="87">
        <v>858</v>
      </c>
      <c r="B355" s="88">
        <v>40582</v>
      </c>
      <c r="C355" s="89">
        <v>1</v>
      </c>
      <c r="D355" s="89">
        <v>0</v>
      </c>
      <c r="E355" s="89">
        <v>2</v>
      </c>
      <c r="F355" s="89">
        <v>4</v>
      </c>
      <c r="G355" s="89" t="b">
        <v>0</v>
      </c>
      <c r="H355" s="89">
        <v>2</v>
      </c>
      <c r="I355" s="89">
        <v>1</v>
      </c>
      <c r="J355" s="89">
        <v>0.26</v>
      </c>
      <c r="K355" s="89">
        <v>0.2576</v>
      </c>
      <c r="L355" s="89">
        <v>0.93</v>
      </c>
      <c r="M355" s="89">
        <v>0.16420000000000001</v>
      </c>
      <c r="N355" s="89">
        <v>0</v>
      </c>
      <c r="O355" s="89">
        <v>3</v>
      </c>
      <c r="P355" s="90">
        <v>3</v>
      </c>
    </row>
    <row r="356" spans="1:16">
      <c r="A356" s="87">
        <v>880</v>
      </c>
      <c r="B356" s="88">
        <v>40583</v>
      </c>
      <c r="C356" s="89">
        <v>1</v>
      </c>
      <c r="D356" s="89">
        <v>0</v>
      </c>
      <c r="E356" s="89">
        <v>2</v>
      </c>
      <c r="F356" s="89">
        <v>2</v>
      </c>
      <c r="G356" s="89" t="b">
        <v>0</v>
      </c>
      <c r="H356" s="89">
        <v>3</v>
      </c>
      <c r="I356" s="89">
        <v>1</v>
      </c>
      <c r="J356" s="89">
        <v>0.08</v>
      </c>
      <c r="K356" s="89">
        <v>7.5800000000000006E-2</v>
      </c>
      <c r="L356" s="89">
        <v>0.38</v>
      </c>
      <c r="M356" s="89">
        <v>0.28360000000000002</v>
      </c>
      <c r="N356" s="89">
        <v>1</v>
      </c>
      <c r="O356" s="89">
        <v>2</v>
      </c>
      <c r="P356" s="90">
        <v>3</v>
      </c>
    </row>
    <row r="357" spans="1:16">
      <c r="A357" s="87">
        <v>903</v>
      </c>
      <c r="B357" s="88">
        <v>40584</v>
      </c>
      <c r="C357" s="89">
        <v>1</v>
      </c>
      <c r="D357" s="89">
        <v>0</v>
      </c>
      <c r="E357" s="89">
        <v>2</v>
      </c>
      <c r="F357" s="89">
        <v>2</v>
      </c>
      <c r="G357" s="89" t="b">
        <v>0</v>
      </c>
      <c r="H357" s="89">
        <v>4</v>
      </c>
      <c r="I357" s="89">
        <v>3</v>
      </c>
      <c r="J357" s="89">
        <v>0.14000000000000001</v>
      </c>
      <c r="K357" s="89">
        <v>0.1515</v>
      </c>
      <c r="L357" s="89">
        <v>0.8</v>
      </c>
      <c r="M357" s="89">
        <v>0.1343</v>
      </c>
      <c r="N357" s="89">
        <v>0</v>
      </c>
      <c r="O357" s="89">
        <v>3</v>
      </c>
      <c r="P357" s="90">
        <v>3</v>
      </c>
    </row>
    <row r="358" spans="1:16">
      <c r="A358" s="87">
        <v>926</v>
      </c>
      <c r="B358" s="88">
        <v>40585</v>
      </c>
      <c r="C358" s="89">
        <v>1</v>
      </c>
      <c r="D358" s="89">
        <v>0</v>
      </c>
      <c r="E358" s="89">
        <v>2</v>
      </c>
      <c r="F358" s="89">
        <v>2</v>
      </c>
      <c r="G358" s="89" t="b">
        <v>0</v>
      </c>
      <c r="H358" s="89">
        <v>5</v>
      </c>
      <c r="I358" s="89">
        <v>1</v>
      </c>
      <c r="J358" s="89">
        <v>0.1</v>
      </c>
      <c r="K358" s="89">
        <v>0.13639999999999999</v>
      </c>
      <c r="L358" s="89">
        <v>0.54</v>
      </c>
      <c r="M358" s="89">
        <v>8.9599999999999999E-2</v>
      </c>
      <c r="N358" s="89">
        <v>0</v>
      </c>
      <c r="O358" s="89">
        <v>3</v>
      </c>
      <c r="P358" s="90">
        <v>3</v>
      </c>
    </row>
    <row r="359" spans="1:16">
      <c r="A359" s="87">
        <v>976</v>
      </c>
      <c r="B359" s="88">
        <v>40587</v>
      </c>
      <c r="C359" s="89">
        <v>1</v>
      </c>
      <c r="D359" s="89">
        <v>0</v>
      </c>
      <c r="E359" s="89">
        <v>2</v>
      </c>
      <c r="F359" s="89">
        <v>7</v>
      </c>
      <c r="G359" s="89" t="b">
        <v>0</v>
      </c>
      <c r="H359" s="89">
        <v>0</v>
      </c>
      <c r="I359" s="89">
        <v>2</v>
      </c>
      <c r="J359" s="89">
        <v>0.22</v>
      </c>
      <c r="K359" s="89">
        <v>0.2727</v>
      </c>
      <c r="L359" s="89">
        <v>0.55000000000000004</v>
      </c>
      <c r="M359" s="89">
        <v>0</v>
      </c>
      <c r="N359" s="89">
        <v>0</v>
      </c>
      <c r="O359" s="89">
        <v>3</v>
      </c>
      <c r="P359" s="90">
        <v>3</v>
      </c>
    </row>
    <row r="360" spans="1:16">
      <c r="A360" s="87">
        <v>998</v>
      </c>
      <c r="B360" s="88">
        <v>40588</v>
      </c>
      <c r="C360" s="89">
        <v>1</v>
      </c>
      <c r="D360" s="89">
        <v>0</v>
      </c>
      <c r="E360" s="89">
        <v>2</v>
      </c>
      <c r="F360" s="89">
        <v>5</v>
      </c>
      <c r="G360" s="89" t="b">
        <v>0</v>
      </c>
      <c r="H360" s="89">
        <v>1</v>
      </c>
      <c r="I360" s="89">
        <v>1</v>
      </c>
      <c r="J360" s="89">
        <v>0.32</v>
      </c>
      <c r="K360" s="89">
        <v>0.30299999999999999</v>
      </c>
      <c r="L360" s="89">
        <v>0.53</v>
      </c>
      <c r="M360" s="89">
        <v>0.28360000000000002</v>
      </c>
      <c r="N360" s="89">
        <v>0</v>
      </c>
      <c r="O360" s="89">
        <v>3</v>
      </c>
      <c r="P360" s="90">
        <v>3</v>
      </c>
    </row>
    <row r="361" spans="1:16">
      <c r="A361" s="87">
        <v>624</v>
      </c>
      <c r="B361" s="88">
        <v>40572</v>
      </c>
      <c r="C361" s="89">
        <v>1</v>
      </c>
      <c r="D361" s="89">
        <v>0</v>
      </c>
      <c r="E361" s="89">
        <v>1</v>
      </c>
      <c r="F361" s="89">
        <v>6</v>
      </c>
      <c r="G361" s="89" t="b">
        <v>0</v>
      </c>
      <c r="H361" s="89">
        <v>6</v>
      </c>
      <c r="I361" s="89">
        <v>1</v>
      </c>
      <c r="J361" s="89">
        <v>0.16</v>
      </c>
      <c r="K361" s="89">
        <v>0.18179999999999999</v>
      </c>
      <c r="L361" s="89">
        <v>0.64</v>
      </c>
      <c r="M361" s="89">
        <v>0.1343</v>
      </c>
      <c r="N361" s="89">
        <v>0</v>
      </c>
      <c r="O361" s="89">
        <v>2</v>
      </c>
      <c r="P361" s="90">
        <v>2</v>
      </c>
    </row>
    <row r="362" spans="1:16">
      <c r="A362" s="87">
        <v>668</v>
      </c>
      <c r="B362" s="88">
        <v>40574</v>
      </c>
      <c r="C362" s="89">
        <v>1</v>
      </c>
      <c r="D362" s="89">
        <v>0</v>
      </c>
      <c r="E362" s="89">
        <v>1</v>
      </c>
      <c r="F362" s="89">
        <v>3</v>
      </c>
      <c r="G362" s="89" t="b">
        <v>0</v>
      </c>
      <c r="H362" s="89">
        <v>1</v>
      </c>
      <c r="I362" s="89">
        <v>1</v>
      </c>
      <c r="J362" s="89">
        <v>0.22</v>
      </c>
      <c r="K362" s="89">
        <v>0.2273</v>
      </c>
      <c r="L362" s="89">
        <v>0.64</v>
      </c>
      <c r="M362" s="89">
        <v>0.19400000000000001</v>
      </c>
      <c r="N362" s="89">
        <v>0</v>
      </c>
      <c r="O362" s="89">
        <v>2</v>
      </c>
      <c r="P362" s="90">
        <v>2</v>
      </c>
    </row>
    <row r="363" spans="1:16">
      <c r="A363" s="87">
        <v>669</v>
      </c>
      <c r="B363" s="88">
        <v>40574</v>
      </c>
      <c r="C363" s="89">
        <v>1</v>
      </c>
      <c r="D363" s="89">
        <v>0</v>
      </c>
      <c r="E363" s="89">
        <v>1</v>
      </c>
      <c r="F363" s="89">
        <v>4</v>
      </c>
      <c r="G363" s="89" t="b">
        <v>0</v>
      </c>
      <c r="H363" s="89">
        <v>1</v>
      </c>
      <c r="I363" s="89">
        <v>1</v>
      </c>
      <c r="J363" s="89">
        <v>0.2</v>
      </c>
      <c r="K363" s="89">
        <v>0.19700000000000001</v>
      </c>
      <c r="L363" s="89">
        <v>0.59</v>
      </c>
      <c r="M363" s="89">
        <v>0.22389999999999999</v>
      </c>
      <c r="N363" s="89">
        <v>0</v>
      </c>
      <c r="O363" s="89">
        <v>2</v>
      </c>
      <c r="P363" s="90">
        <v>2</v>
      </c>
    </row>
    <row r="364" spans="1:16">
      <c r="A364" s="87">
        <v>691</v>
      </c>
      <c r="B364" s="88">
        <v>40575</v>
      </c>
      <c r="C364" s="89">
        <v>1</v>
      </c>
      <c r="D364" s="89">
        <v>0</v>
      </c>
      <c r="E364" s="89">
        <v>2</v>
      </c>
      <c r="F364" s="89">
        <v>2</v>
      </c>
      <c r="G364" s="89" t="b">
        <v>0</v>
      </c>
      <c r="H364" s="89">
        <v>2</v>
      </c>
      <c r="I364" s="89">
        <v>2</v>
      </c>
      <c r="J364" s="89">
        <v>0.16</v>
      </c>
      <c r="K364" s="89">
        <v>0.2273</v>
      </c>
      <c r="L364" s="89">
        <v>0.69</v>
      </c>
      <c r="M364" s="89">
        <v>0</v>
      </c>
      <c r="N364" s="89">
        <v>0</v>
      </c>
      <c r="O364" s="89">
        <v>2</v>
      </c>
      <c r="P364" s="90">
        <v>2</v>
      </c>
    </row>
    <row r="365" spans="1:16">
      <c r="A365" s="87">
        <v>692</v>
      </c>
      <c r="B365" s="88">
        <v>40575</v>
      </c>
      <c r="C365" s="89">
        <v>1</v>
      </c>
      <c r="D365" s="89">
        <v>0</v>
      </c>
      <c r="E365" s="89">
        <v>2</v>
      </c>
      <c r="F365" s="89">
        <v>3</v>
      </c>
      <c r="G365" s="89" t="b">
        <v>0</v>
      </c>
      <c r="H365" s="89">
        <v>2</v>
      </c>
      <c r="I365" s="89">
        <v>2</v>
      </c>
      <c r="J365" s="89">
        <v>0.16</v>
      </c>
      <c r="K365" s="89">
        <v>0.2273</v>
      </c>
      <c r="L365" s="89">
        <v>0.69</v>
      </c>
      <c r="M365" s="89">
        <v>0</v>
      </c>
      <c r="N365" s="89">
        <v>0</v>
      </c>
      <c r="O365" s="89">
        <v>2</v>
      </c>
      <c r="P365" s="90">
        <v>2</v>
      </c>
    </row>
    <row r="366" spans="1:16">
      <c r="A366" s="87">
        <v>712</v>
      </c>
      <c r="B366" s="88">
        <v>40576</v>
      </c>
      <c r="C366" s="89">
        <v>1</v>
      </c>
      <c r="D366" s="89">
        <v>0</v>
      </c>
      <c r="E366" s="89">
        <v>2</v>
      </c>
      <c r="F366" s="89">
        <v>0</v>
      </c>
      <c r="G366" s="89" t="b">
        <v>0</v>
      </c>
      <c r="H366" s="89">
        <v>3</v>
      </c>
      <c r="I366" s="89">
        <v>3</v>
      </c>
      <c r="J366" s="89">
        <v>0.22</v>
      </c>
      <c r="K366" s="89">
        <v>0.2424</v>
      </c>
      <c r="L366" s="89">
        <v>0.93</v>
      </c>
      <c r="M366" s="89">
        <v>0.1045</v>
      </c>
      <c r="N366" s="89">
        <v>0</v>
      </c>
      <c r="O366" s="89">
        <v>2</v>
      </c>
      <c r="P366" s="90">
        <v>2</v>
      </c>
    </row>
    <row r="367" spans="1:16">
      <c r="A367" s="87">
        <v>738</v>
      </c>
      <c r="B367" s="88">
        <v>40577</v>
      </c>
      <c r="C367" s="89">
        <v>1</v>
      </c>
      <c r="D367" s="89">
        <v>0</v>
      </c>
      <c r="E367" s="89">
        <v>2</v>
      </c>
      <c r="F367" s="89">
        <v>2</v>
      </c>
      <c r="G367" s="89" t="b">
        <v>0</v>
      </c>
      <c r="H367" s="89">
        <v>4</v>
      </c>
      <c r="I367" s="89">
        <v>1</v>
      </c>
      <c r="J367" s="89">
        <v>0.18</v>
      </c>
      <c r="K367" s="89">
        <v>0.16669999999999999</v>
      </c>
      <c r="L367" s="89">
        <v>0.43</v>
      </c>
      <c r="M367" s="89">
        <v>0.25369999999999998</v>
      </c>
      <c r="N367" s="89">
        <v>0</v>
      </c>
      <c r="O367" s="89">
        <v>2</v>
      </c>
      <c r="P367" s="90">
        <v>2</v>
      </c>
    </row>
    <row r="368" spans="1:16">
      <c r="A368" s="87">
        <v>740</v>
      </c>
      <c r="B368" s="88">
        <v>40577</v>
      </c>
      <c r="C368" s="89">
        <v>1</v>
      </c>
      <c r="D368" s="89">
        <v>0</v>
      </c>
      <c r="E368" s="89">
        <v>2</v>
      </c>
      <c r="F368" s="89">
        <v>5</v>
      </c>
      <c r="G368" s="89" t="b">
        <v>0</v>
      </c>
      <c r="H368" s="89">
        <v>4</v>
      </c>
      <c r="I368" s="89">
        <v>1</v>
      </c>
      <c r="J368" s="89">
        <v>0.16</v>
      </c>
      <c r="K368" s="89">
        <v>0.13639999999999999</v>
      </c>
      <c r="L368" s="89">
        <v>0.5</v>
      </c>
      <c r="M368" s="89">
        <v>0.29849999999999999</v>
      </c>
      <c r="N368" s="89">
        <v>0</v>
      </c>
      <c r="O368" s="89">
        <v>2</v>
      </c>
      <c r="P368" s="90">
        <v>2</v>
      </c>
    </row>
    <row r="369" spans="1:16">
      <c r="A369" s="87">
        <v>810</v>
      </c>
      <c r="B369" s="88">
        <v>40580</v>
      </c>
      <c r="C369" s="89">
        <v>1</v>
      </c>
      <c r="D369" s="89">
        <v>0</v>
      </c>
      <c r="E369" s="89">
        <v>2</v>
      </c>
      <c r="F369" s="89">
        <v>4</v>
      </c>
      <c r="G369" s="89" t="b">
        <v>0</v>
      </c>
      <c r="H369" s="89">
        <v>0</v>
      </c>
      <c r="I369" s="89">
        <v>1</v>
      </c>
      <c r="J369" s="89">
        <v>0.26</v>
      </c>
      <c r="K369" s="89">
        <v>0.2273</v>
      </c>
      <c r="L369" s="89">
        <v>0.6</v>
      </c>
      <c r="M369" s="89">
        <v>0.35820000000000002</v>
      </c>
      <c r="N369" s="89">
        <v>0</v>
      </c>
      <c r="O369" s="89">
        <v>2</v>
      </c>
      <c r="P369" s="90">
        <v>2</v>
      </c>
    </row>
    <row r="370" spans="1:16">
      <c r="A370" s="87">
        <v>834</v>
      </c>
      <c r="B370" s="88">
        <v>40581</v>
      </c>
      <c r="C370" s="89">
        <v>1</v>
      </c>
      <c r="D370" s="89">
        <v>0</v>
      </c>
      <c r="E370" s="89">
        <v>2</v>
      </c>
      <c r="F370" s="89">
        <v>4</v>
      </c>
      <c r="G370" s="89" t="b">
        <v>0</v>
      </c>
      <c r="H370" s="89">
        <v>1</v>
      </c>
      <c r="I370" s="89">
        <v>1</v>
      </c>
      <c r="J370" s="89">
        <v>0.2</v>
      </c>
      <c r="K370" s="89">
        <v>0.2576</v>
      </c>
      <c r="L370" s="89">
        <v>0.86</v>
      </c>
      <c r="M370" s="89">
        <v>0</v>
      </c>
      <c r="N370" s="89">
        <v>1</v>
      </c>
      <c r="O370" s="89">
        <v>1</v>
      </c>
      <c r="P370" s="90">
        <v>2</v>
      </c>
    </row>
    <row r="371" spans="1:16">
      <c r="A371" s="87">
        <v>856</v>
      </c>
      <c r="B371" s="88">
        <v>40582</v>
      </c>
      <c r="C371" s="89">
        <v>1</v>
      </c>
      <c r="D371" s="89">
        <v>0</v>
      </c>
      <c r="E371" s="89">
        <v>2</v>
      </c>
      <c r="F371" s="89">
        <v>2</v>
      </c>
      <c r="G371" s="89" t="b">
        <v>0</v>
      </c>
      <c r="H371" s="89">
        <v>2</v>
      </c>
      <c r="I371" s="89">
        <v>2</v>
      </c>
      <c r="J371" s="89">
        <v>0.26</v>
      </c>
      <c r="K371" s="89">
        <v>0.2727</v>
      </c>
      <c r="L371" s="89">
        <v>0.93</v>
      </c>
      <c r="M371" s="89">
        <v>0.1045</v>
      </c>
      <c r="N371" s="89">
        <v>1</v>
      </c>
      <c r="O371" s="89">
        <v>1</v>
      </c>
      <c r="P371" s="90">
        <v>2</v>
      </c>
    </row>
    <row r="372" spans="1:16">
      <c r="A372" s="87">
        <v>859</v>
      </c>
      <c r="B372" s="88">
        <v>40582</v>
      </c>
      <c r="C372" s="89">
        <v>1</v>
      </c>
      <c r="D372" s="89">
        <v>0</v>
      </c>
      <c r="E372" s="89">
        <v>2</v>
      </c>
      <c r="F372" s="89">
        <v>5</v>
      </c>
      <c r="G372" s="89" t="b">
        <v>0</v>
      </c>
      <c r="H372" s="89">
        <v>2</v>
      </c>
      <c r="I372" s="89">
        <v>1</v>
      </c>
      <c r="J372" s="89">
        <v>0.26</v>
      </c>
      <c r="K372" s="89">
        <v>0.2273</v>
      </c>
      <c r="L372" s="89">
        <v>0.81</v>
      </c>
      <c r="M372" s="89">
        <v>0.32840000000000003</v>
      </c>
      <c r="N372" s="89">
        <v>0</v>
      </c>
      <c r="O372" s="89">
        <v>2</v>
      </c>
      <c r="P372" s="90">
        <v>2</v>
      </c>
    </row>
    <row r="373" spans="1:16">
      <c r="A373" s="87">
        <v>881</v>
      </c>
      <c r="B373" s="88">
        <v>40583</v>
      </c>
      <c r="C373" s="89">
        <v>1</v>
      </c>
      <c r="D373" s="89">
        <v>0</v>
      </c>
      <c r="E373" s="89">
        <v>2</v>
      </c>
      <c r="F373" s="89">
        <v>3</v>
      </c>
      <c r="G373" s="89" t="b">
        <v>0</v>
      </c>
      <c r="H373" s="89">
        <v>3</v>
      </c>
      <c r="I373" s="89">
        <v>1</v>
      </c>
      <c r="J373" s="89">
        <v>0.06</v>
      </c>
      <c r="K373" s="89">
        <v>7.5800000000000006E-2</v>
      </c>
      <c r="L373" s="89">
        <v>0.45</v>
      </c>
      <c r="M373" s="89">
        <v>0.1343</v>
      </c>
      <c r="N373" s="89">
        <v>0</v>
      </c>
      <c r="O373" s="89">
        <v>2</v>
      </c>
      <c r="P373" s="90">
        <v>2</v>
      </c>
    </row>
    <row r="374" spans="1:16">
      <c r="A374" s="87">
        <v>952</v>
      </c>
      <c r="B374" s="88">
        <v>40586</v>
      </c>
      <c r="C374" s="89">
        <v>1</v>
      </c>
      <c r="D374" s="89">
        <v>0</v>
      </c>
      <c r="E374" s="89">
        <v>2</v>
      </c>
      <c r="F374" s="89">
        <v>6</v>
      </c>
      <c r="G374" s="89" t="b">
        <v>0</v>
      </c>
      <c r="H374" s="89">
        <v>6</v>
      </c>
      <c r="I374" s="89">
        <v>1</v>
      </c>
      <c r="J374" s="89">
        <v>0.12</v>
      </c>
      <c r="K374" s="89">
        <v>0.13639999999999999</v>
      </c>
      <c r="L374" s="89">
        <v>0.93</v>
      </c>
      <c r="M374" s="89">
        <v>0.19400000000000001</v>
      </c>
      <c r="N374" s="89">
        <v>1</v>
      </c>
      <c r="O374" s="89">
        <v>1</v>
      </c>
      <c r="P374" s="90">
        <v>2</v>
      </c>
    </row>
    <row r="375" spans="1:16">
      <c r="A375" s="87">
        <v>974</v>
      </c>
      <c r="B375" s="88">
        <v>40587</v>
      </c>
      <c r="C375" s="89">
        <v>1</v>
      </c>
      <c r="D375" s="89">
        <v>0</v>
      </c>
      <c r="E375" s="89">
        <v>2</v>
      </c>
      <c r="F375" s="89">
        <v>4</v>
      </c>
      <c r="G375" s="89" t="b">
        <v>0</v>
      </c>
      <c r="H375" s="89">
        <v>0</v>
      </c>
      <c r="I375" s="89">
        <v>2</v>
      </c>
      <c r="J375" s="89">
        <v>0.2</v>
      </c>
      <c r="K375" s="89">
        <v>0.21210000000000001</v>
      </c>
      <c r="L375" s="89">
        <v>0.69</v>
      </c>
      <c r="M375" s="89">
        <v>0.16420000000000001</v>
      </c>
      <c r="N375" s="89">
        <v>0</v>
      </c>
      <c r="O375" s="89">
        <v>2</v>
      </c>
      <c r="P375" s="90">
        <v>2</v>
      </c>
    </row>
    <row r="376" spans="1:16">
      <c r="A376" s="87">
        <v>995</v>
      </c>
      <c r="B376" s="88">
        <v>40588</v>
      </c>
      <c r="C376" s="89">
        <v>1</v>
      </c>
      <c r="D376" s="89">
        <v>0</v>
      </c>
      <c r="E376" s="89">
        <v>2</v>
      </c>
      <c r="F376" s="89">
        <v>2</v>
      </c>
      <c r="G376" s="89" t="b">
        <v>0</v>
      </c>
      <c r="H376" s="89">
        <v>1</v>
      </c>
      <c r="I376" s="89">
        <v>1</v>
      </c>
      <c r="J376" s="89">
        <v>0.36</v>
      </c>
      <c r="K376" s="89">
        <v>0.33329999999999999</v>
      </c>
      <c r="L376" s="89">
        <v>0.4</v>
      </c>
      <c r="M376" s="89">
        <v>0.29849999999999999</v>
      </c>
      <c r="N376" s="89">
        <v>0</v>
      </c>
      <c r="O376" s="89">
        <v>2</v>
      </c>
      <c r="P376" s="90">
        <v>2</v>
      </c>
    </row>
    <row r="377" spans="1:16">
      <c r="A377" s="87">
        <v>996</v>
      </c>
      <c r="B377" s="88">
        <v>40588</v>
      </c>
      <c r="C377" s="89">
        <v>1</v>
      </c>
      <c r="D377" s="89">
        <v>0</v>
      </c>
      <c r="E377" s="89">
        <v>2</v>
      </c>
      <c r="F377" s="89">
        <v>3</v>
      </c>
      <c r="G377" s="89" t="b">
        <v>0</v>
      </c>
      <c r="H377" s="89">
        <v>1</v>
      </c>
      <c r="I377" s="89">
        <v>1</v>
      </c>
      <c r="J377" s="89">
        <v>0.34</v>
      </c>
      <c r="K377" s="89">
        <v>0.31819999999999998</v>
      </c>
      <c r="L377" s="89">
        <v>0.46</v>
      </c>
      <c r="M377" s="89">
        <v>0.22389999999999999</v>
      </c>
      <c r="N377" s="89">
        <v>1</v>
      </c>
      <c r="O377" s="89">
        <v>1</v>
      </c>
      <c r="P377" s="90">
        <v>2</v>
      </c>
    </row>
    <row r="378" spans="1:16">
      <c r="A378" s="87">
        <v>997</v>
      </c>
      <c r="B378" s="88">
        <v>40588</v>
      </c>
      <c r="C378" s="89">
        <v>1</v>
      </c>
      <c r="D378" s="89">
        <v>0</v>
      </c>
      <c r="E378" s="89">
        <v>2</v>
      </c>
      <c r="F378" s="89">
        <v>4</v>
      </c>
      <c r="G378" s="89" t="b">
        <v>0</v>
      </c>
      <c r="H378" s="89">
        <v>1</v>
      </c>
      <c r="I378" s="89">
        <v>1</v>
      </c>
      <c r="J378" s="89">
        <v>0.32</v>
      </c>
      <c r="K378" s="89">
        <v>0.30299999999999999</v>
      </c>
      <c r="L378" s="89">
        <v>0.53</v>
      </c>
      <c r="M378" s="89">
        <v>0.28360000000000002</v>
      </c>
      <c r="N378" s="89">
        <v>0</v>
      </c>
      <c r="O378" s="89">
        <v>2</v>
      </c>
      <c r="P378" s="90">
        <v>2</v>
      </c>
    </row>
    <row r="379" spans="1:16">
      <c r="A379" s="87">
        <v>646</v>
      </c>
      <c r="B379" s="88">
        <v>40573</v>
      </c>
      <c r="C379" s="89">
        <v>1</v>
      </c>
      <c r="D379" s="89">
        <v>0</v>
      </c>
      <c r="E379" s="89">
        <v>1</v>
      </c>
      <c r="F379" s="89">
        <v>4</v>
      </c>
      <c r="G379" s="89" t="b">
        <v>0</v>
      </c>
      <c r="H379" s="89">
        <v>0</v>
      </c>
      <c r="I379" s="89">
        <v>1</v>
      </c>
      <c r="J379" s="89">
        <v>0.14000000000000001</v>
      </c>
      <c r="K379" s="89">
        <v>0.21210000000000001</v>
      </c>
      <c r="L379" s="89">
        <v>0.93</v>
      </c>
      <c r="M379" s="89">
        <v>0</v>
      </c>
      <c r="N379" s="89">
        <v>0</v>
      </c>
      <c r="O379" s="89">
        <v>1</v>
      </c>
      <c r="P379" s="90">
        <v>1</v>
      </c>
    </row>
    <row r="380" spans="1:16">
      <c r="A380" s="87">
        <v>667</v>
      </c>
      <c r="B380" s="88">
        <v>40574</v>
      </c>
      <c r="C380" s="89">
        <v>1</v>
      </c>
      <c r="D380" s="89">
        <v>0</v>
      </c>
      <c r="E380" s="89">
        <v>1</v>
      </c>
      <c r="F380" s="89">
        <v>2</v>
      </c>
      <c r="G380" s="89" t="b">
        <v>0</v>
      </c>
      <c r="H380" s="89">
        <v>1</v>
      </c>
      <c r="I380" s="89">
        <v>1</v>
      </c>
      <c r="J380" s="89">
        <v>0.22</v>
      </c>
      <c r="K380" s="89">
        <v>0.2273</v>
      </c>
      <c r="L380" s="89">
        <v>0.64</v>
      </c>
      <c r="M380" s="89">
        <v>0.19400000000000001</v>
      </c>
      <c r="N380" s="89">
        <v>0</v>
      </c>
      <c r="O380" s="89">
        <v>1</v>
      </c>
      <c r="P380" s="90">
        <v>1</v>
      </c>
    </row>
    <row r="381" spans="1:16">
      <c r="A381" s="87">
        <v>715</v>
      </c>
      <c r="B381" s="88">
        <v>40576</v>
      </c>
      <c r="C381" s="89">
        <v>1</v>
      </c>
      <c r="D381" s="89">
        <v>0</v>
      </c>
      <c r="E381" s="89">
        <v>2</v>
      </c>
      <c r="F381" s="89">
        <v>3</v>
      </c>
      <c r="G381" s="89" t="b">
        <v>0</v>
      </c>
      <c r="H381" s="89">
        <v>3</v>
      </c>
      <c r="I381" s="89">
        <v>3</v>
      </c>
      <c r="J381" s="89">
        <v>0.22</v>
      </c>
      <c r="K381" s="89">
        <v>0.2273</v>
      </c>
      <c r="L381" s="89">
        <v>0.93</v>
      </c>
      <c r="M381" s="89">
        <v>0.1343</v>
      </c>
      <c r="N381" s="89">
        <v>0</v>
      </c>
      <c r="O381" s="89">
        <v>1</v>
      </c>
      <c r="P381" s="90">
        <v>1</v>
      </c>
    </row>
    <row r="382" spans="1:16">
      <c r="A382" s="87">
        <v>716</v>
      </c>
      <c r="B382" s="88">
        <v>40576</v>
      </c>
      <c r="C382" s="89">
        <v>1</v>
      </c>
      <c r="D382" s="89">
        <v>0</v>
      </c>
      <c r="E382" s="89">
        <v>2</v>
      </c>
      <c r="F382" s="89">
        <v>4</v>
      </c>
      <c r="G382" s="89" t="b">
        <v>0</v>
      </c>
      <c r="H382" s="89">
        <v>3</v>
      </c>
      <c r="I382" s="89">
        <v>3</v>
      </c>
      <c r="J382" s="89">
        <v>0.22</v>
      </c>
      <c r="K382" s="89">
        <v>0.21210000000000001</v>
      </c>
      <c r="L382" s="89">
        <v>0.93</v>
      </c>
      <c r="M382" s="89">
        <v>0.28360000000000002</v>
      </c>
      <c r="N382" s="89">
        <v>0</v>
      </c>
      <c r="O382" s="89">
        <v>1</v>
      </c>
      <c r="P382" s="90">
        <v>1</v>
      </c>
    </row>
    <row r="383" spans="1:16">
      <c r="A383" s="87">
        <v>739</v>
      </c>
      <c r="B383" s="88">
        <v>40577</v>
      </c>
      <c r="C383" s="89">
        <v>1</v>
      </c>
      <c r="D383" s="89">
        <v>0</v>
      </c>
      <c r="E383" s="89">
        <v>2</v>
      </c>
      <c r="F383" s="89">
        <v>3</v>
      </c>
      <c r="G383" s="89" t="b">
        <v>0</v>
      </c>
      <c r="H383" s="89">
        <v>4</v>
      </c>
      <c r="I383" s="89">
        <v>1</v>
      </c>
      <c r="J383" s="89">
        <v>0.18</v>
      </c>
      <c r="K383" s="89">
        <v>0.16669999999999999</v>
      </c>
      <c r="L383" s="89">
        <v>0.43</v>
      </c>
      <c r="M383" s="89">
        <v>0.25369999999999998</v>
      </c>
      <c r="N383" s="89">
        <v>0</v>
      </c>
      <c r="O383" s="89">
        <v>1</v>
      </c>
      <c r="P383" s="90">
        <v>1</v>
      </c>
    </row>
    <row r="384" spans="1:16">
      <c r="A384" s="87">
        <v>761</v>
      </c>
      <c r="B384" s="88">
        <v>40578</v>
      </c>
      <c r="C384" s="89">
        <v>1</v>
      </c>
      <c r="D384" s="89">
        <v>0</v>
      </c>
      <c r="E384" s="89">
        <v>2</v>
      </c>
      <c r="F384" s="89">
        <v>2</v>
      </c>
      <c r="G384" s="89" t="b">
        <v>0</v>
      </c>
      <c r="H384" s="89">
        <v>5</v>
      </c>
      <c r="I384" s="89">
        <v>2</v>
      </c>
      <c r="J384" s="89">
        <v>0.14000000000000001</v>
      </c>
      <c r="K384" s="89">
        <v>0.16669999999999999</v>
      </c>
      <c r="L384" s="89">
        <v>0.63</v>
      </c>
      <c r="M384" s="89">
        <v>0.1045</v>
      </c>
      <c r="N384" s="89">
        <v>0</v>
      </c>
      <c r="O384" s="89">
        <v>1</v>
      </c>
      <c r="P384" s="90">
        <v>1</v>
      </c>
    </row>
    <row r="385" spans="1:16">
      <c r="A385" s="87">
        <v>762</v>
      </c>
      <c r="B385" s="88">
        <v>40578</v>
      </c>
      <c r="C385" s="89">
        <v>1</v>
      </c>
      <c r="D385" s="89">
        <v>0</v>
      </c>
      <c r="E385" s="89">
        <v>2</v>
      </c>
      <c r="F385" s="89">
        <v>3</v>
      </c>
      <c r="G385" s="89" t="b">
        <v>0</v>
      </c>
      <c r="H385" s="89">
        <v>5</v>
      </c>
      <c r="I385" s="89">
        <v>2</v>
      </c>
      <c r="J385" s="89">
        <v>0.14000000000000001</v>
      </c>
      <c r="K385" s="89">
        <v>0.16669999999999999</v>
      </c>
      <c r="L385" s="89">
        <v>0.63</v>
      </c>
      <c r="M385" s="89">
        <v>0.1045</v>
      </c>
      <c r="N385" s="89">
        <v>0</v>
      </c>
      <c r="O385" s="89">
        <v>1</v>
      </c>
      <c r="P385" s="90">
        <v>1</v>
      </c>
    </row>
    <row r="386" spans="1:16">
      <c r="A386" s="87">
        <v>811</v>
      </c>
      <c r="B386" s="88">
        <v>40580</v>
      </c>
      <c r="C386" s="89">
        <v>1</v>
      </c>
      <c r="D386" s="89">
        <v>0</v>
      </c>
      <c r="E386" s="89">
        <v>2</v>
      </c>
      <c r="F386" s="89">
        <v>5</v>
      </c>
      <c r="G386" s="89" t="b">
        <v>0</v>
      </c>
      <c r="H386" s="89">
        <v>0</v>
      </c>
      <c r="I386" s="89">
        <v>1</v>
      </c>
      <c r="J386" s="89">
        <v>0.26</v>
      </c>
      <c r="K386" s="89">
        <v>0.2576</v>
      </c>
      <c r="L386" s="89">
        <v>0.6</v>
      </c>
      <c r="M386" s="89">
        <v>0.22389999999999999</v>
      </c>
      <c r="N386" s="89">
        <v>0</v>
      </c>
      <c r="O386" s="89">
        <v>1</v>
      </c>
      <c r="P386" s="90">
        <v>1</v>
      </c>
    </row>
    <row r="387" spans="1:16">
      <c r="A387" s="87">
        <v>812</v>
      </c>
      <c r="B387" s="88">
        <v>40580</v>
      </c>
      <c r="C387" s="89">
        <v>1</v>
      </c>
      <c r="D387" s="89">
        <v>0</v>
      </c>
      <c r="E387" s="89">
        <v>2</v>
      </c>
      <c r="F387" s="89">
        <v>6</v>
      </c>
      <c r="G387" s="89" t="b">
        <v>0</v>
      </c>
      <c r="H387" s="89">
        <v>0</v>
      </c>
      <c r="I387" s="89">
        <v>1</v>
      </c>
      <c r="J387" s="89">
        <v>0.26</v>
      </c>
      <c r="K387" s="89">
        <v>0.2576</v>
      </c>
      <c r="L387" s="89">
        <v>0.6</v>
      </c>
      <c r="M387" s="89">
        <v>0.22389999999999999</v>
      </c>
      <c r="N387" s="89">
        <v>0</v>
      </c>
      <c r="O387" s="89">
        <v>1</v>
      </c>
      <c r="P387" s="90">
        <v>1</v>
      </c>
    </row>
    <row r="388" spans="1:16">
      <c r="A388" s="87">
        <v>833</v>
      </c>
      <c r="B388" s="88">
        <v>40581</v>
      </c>
      <c r="C388" s="89">
        <v>1</v>
      </c>
      <c r="D388" s="89">
        <v>0</v>
      </c>
      <c r="E388" s="89">
        <v>2</v>
      </c>
      <c r="F388" s="89">
        <v>3</v>
      </c>
      <c r="G388" s="89" t="b">
        <v>0</v>
      </c>
      <c r="H388" s="89">
        <v>1</v>
      </c>
      <c r="I388" s="89">
        <v>1</v>
      </c>
      <c r="J388" s="89">
        <v>0.2</v>
      </c>
      <c r="K388" s="89">
        <v>0.2576</v>
      </c>
      <c r="L388" s="89">
        <v>0.86</v>
      </c>
      <c r="M388" s="89">
        <v>0</v>
      </c>
      <c r="N388" s="89">
        <v>0</v>
      </c>
      <c r="O388" s="89">
        <v>1</v>
      </c>
      <c r="P388" s="90">
        <v>1</v>
      </c>
    </row>
    <row r="389" spans="1:16">
      <c r="A389" s="87">
        <v>857</v>
      </c>
      <c r="B389" s="88">
        <v>40582</v>
      </c>
      <c r="C389" s="89">
        <v>1</v>
      </c>
      <c r="D389" s="89">
        <v>0</v>
      </c>
      <c r="E389" s="89">
        <v>2</v>
      </c>
      <c r="F389" s="89">
        <v>3</v>
      </c>
      <c r="G389" s="89" t="b">
        <v>0</v>
      </c>
      <c r="H389" s="89">
        <v>2</v>
      </c>
      <c r="I389" s="89">
        <v>3</v>
      </c>
      <c r="J389" s="89">
        <v>0.28000000000000003</v>
      </c>
      <c r="K389" s="89">
        <v>0.2727</v>
      </c>
      <c r="L389" s="89">
        <v>0.93</v>
      </c>
      <c r="M389" s="89">
        <v>0.16420000000000001</v>
      </c>
      <c r="N389" s="89">
        <v>0</v>
      </c>
      <c r="O389" s="89">
        <v>1</v>
      </c>
      <c r="P389" s="90">
        <v>1</v>
      </c>
    </row>
    <row r="390" spans="1:16">
      <c r="A390" s="87">
        <v>904</v>
      </c>
      <c r="B390" s="88">
        <v>40584</v>
      </c>
      <c r="C390" s="89">
        <v>1</v>
      </c>
      <c r="D390" s="89">
        <v>0</v>
      </c>
      <c r="E390" s="89">
        <v>2</v>
      </c>
      <c r="F390" s="89">
        <v>4</v>
      </c>
      <c r="G390" s="89" t="b">
        <v>0</v>
      </c>
      <c r="H390" s="89">
        <v>4</v>
      </c>
      <c r="I390" s="89">
        <v>2</v>
      </c>
      <c r="J390" s="89">
        <v>0.14000000000000001</v>
      </c>
      <c r="K390" s="89">
        <v>0.13639999999999999</v>
      </c>
      <c r="L390" s="89">
        <v>0.59</v>
      </c>
      <c r="M390" s="89">
        <v>0.22389999999999999</v>
      </c>
      <c r="N390" s="89">
        <v>0</v>
      </c>
      <c r="O390" s="89">
        <v>1</v>
      </c>
      <c r="P390" s="90">
        <v>1</v>
      </c>
    </row>
    <row r="391" spans="1:16">
      <c r="A391" s="97">
        <v>951</v>
      </c>
      <c r="B391" s="98">
        <v>40586</v>
      </c>
      <c r="C391" s="99">
        <v>1</v>
      </c>
      <c r="D391" s="99">
        <v>0</v>
      </c>
      <c r="E391" s="99">
        <v>2</v>
      </c>
      <c r="F391" s="99">
        <v>5</v>
      </c>
      <c r="G391" s="99" t="b">
        <v>0</v>
      </c>
      <c r="H391" s="99">
        <v>6</v>
      </c>
      <c r="I391" s="99">
        <v>1</v>
      </c>
      <c r="J391" s="99">
        <v>0.12</v>
      </c>
      <c r="K391" s="99">
        <v>0.16669999999999999</v>
      </c>
      <c r="L391" s="99">
        <v>0.74</v>
      </c>
      <c r="M391" s="99">
        <v>8.9599999999999999E-2</v>
      </c>
      <c r="N391" s="99">
        <v>0</v>
      </c>
      <c r="O391" s="99">
        <v>1</v>
      </c>
      <c r="P391" s="100">
        <v>1</v>
      </c>
    </row>
  </sheetData>
  <mergeCells count="13">
    <mergeCell ref="R16:S16"/>
    <mergeCell ref="R2:V2"/>
    <mergeCell ref="R9:S9"/>
    <mergeCell ref="R12:V12"/>
    <mergeCell ref="R14:S14"/>
    <mergeCell ref="R15:S15"/>
    <mergeCell ref="S24:V24"/>
    <mergeCell ref="S23:W23"/>
    <mergeCell ref="S22:V22"/>
    <mergeCell ref="S21:V21"/>
    <mergeCell ref="R17:T17"/>
    <mergeCell ref="R18:S18"/>
    <mergeCell ref="R20:V20"/>
  </mergeCells>
  <conditionalFormatting sqref="I1:I1048576">
    <cfRule type="colorScale" priority="1">
      <colorScale>
        <cfvo type="min"/>
        <cfvo type="percentile" val="50"/>
        <cfvo type="max"/>
        <color rgb="FF63BE7B"/>
        <color rgb="FFFFEB84"/>
        <color rgb="FFF8696B"/>
      </colorScale>
    </cfRule>
  </conditionalFormatting>
  <conditionalFormatting sqref="J2:J391">
    <cfRule type="colorScale" priority="9">
      <colorScale>
        <cfvo type="min"/>
        <cfvo type="percentile" val="50"/>
        <cfvo type="max"/>
        <color rgb="FFF8696B"/>
        <color rgb="FFFFEB84"/>
        <color rgb="FF63BE7B"/>
      </colorScale>
    </cfRule>
  </conditionalFormatting>
  <conditionalFormatting sqref="K1">
    <cfRule type="dataBar" priority="8">
      <dataBar>
        <cfvo type="min"/>
        <cfvo type="max"/>
        <color rgb="FF63C384"/>
      </dataBar>
      <extLst>
        <ext xmlns:x14="http://schemas.microsoft.com/office/spreadsheetml/2009/9/main" uri="{B025F937-C7B1-47D3-B67F-A62EFF666E3E}">
          <x14:id>{B751C606-9424-4F32-9D31-62F4E44C3AE8}</x14:id>
        </ext>
      </extLst>
    </cfRule>
  </conditionalFormatting>
  <conditionalFormatting sqref="K1:K1048576">
    <cfRule type="colorScale" priority="7">
      <colorScale>
        <cfvo type="min"/>
        <cfvo type="max"/>
        <color rgb="FFFCFCFF"/>
        <color rgb="FF63BE7B"/>
      </colorScale>
    </cfRule>
  </conditionalFormatting>
  <conditionalFormatting sqref="L1:L1048576">
    <cfRule type="dataBar" priority="6">
      <dataBar>
        <cfvo type="min"/>
        <cfvo type="max"/>
        <color rgb="FF008AEF"/>
      </dataBar>
      <extLst>
        <ext xmlns:x14="http://schemas.microsoft.com/office/spreadsheetml/2009/9/main" uri="{B025F937-C7B1-47D3-B67F-A62EFF666E3E}">
          <x14:id>{A44861A3-48E7-4765-847B-C9D60C847126}</x14:id>
        </ext>
      </extLst>
    </cfRule>
  </conditionalFormatting>
  <conditionalFormatting sqref="N1:N1048576">
    <cfRule type="top10" dxfId="28" priority="2" rank="15"/>
  </conditionalFormatting>
  <conditionalFormatting sqref="O1:O1048576">
    <cfRule type="top10" dxfId="27" priority="4" bottom="1" rank="15"/>
  </conditionalFormatting>
  <conditionalFormatting sqref="P1:P1048576">
    <cfRule type="iconSet" priority="3">
      <iconSet>
        <cfvo type="percent" val="0"/>
        <cfvo type="percent" val="33"/>
        <cfvo type="percent" val="67"/>
      </iconSet>
    </cfRule>
    <cfRule type="top10" dxfId="26" priority="5" rank="15"/>
  </conditionalFormatting>
  <pageMargins left="0.7" right="0.7" top="0.75" bottom="0.75" header="0.3" footer="0.3"/>
  <tableParts count="1">
    <tablePart r:id="rId1"/>
  </tableParts>
  <extLst>
    <ext xmlns:x14="http://schemas.microsoft.com/office/spreadsheetml/2009/9/main" uri="{78C0D931-6437-407d-A8EE-F0AAD7539E65}">
      <x14:conditionalFormattings>
        <x14:conditionalFormatting xmlns:xm="http://schemas.microsoft.com/office/excel/2006/main">
          <x14:cfRule type="dataBar" id="{B751C606-9424-4F32-9D31-62F4E44C3AE8}">
            <x14:dataBar minLength="0" maxLength="100" border="1" negativeBarBorderColorSameAsPositive="0">
              <x14:cfvo type="autoMin"/>
              <x14:cfvo type="autoMax"/>
              <x14:borderColor rgb="FF63C384"/>
              <x14:negativeFillColor rgb="FFFF0000"/>
              <x14:negativeBorderColor rgb="FFFF0000"/>
              <x14:axisColor rgb="FF000000"/>
            </x14:dataBar>
          </x14:cfRule>
          <xm:sqref>K1</xm:sqref>
        </x14:conditionalFormatting>
        <x14:conditionalFormatting xmlns:xm="http://schemas.microsoft.com/office/excel/2006/main">
          <x14:cfRule type="dataBar" id="{A44861A3-48E7-4765-847B-C9D60C847126}">
            <x14:dataBar minLength="0" maxLength="100" border="1" negativeBarBorderColorSameAsPositive="0">
              <x14:cfvo type="autoMin"/>
              <x14:cfvo type="autoMax"/>
              <x14:borderColor rgb="FF008AEF"/>
              <x14:negativeFillColor rgb="FFFF0000"/>
              <x14:negativeBorderColor rgb="FFFF0000"/>
              <x14:axisColor rgb="FF000000"/>
            </x14:dataBar>
          </x14:cfRule>
          <xm:sqref>L1:L1048576</xm:sqref>
        </x14:conditionalFormatting>
      </x14:conditionalFormatting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D28116-38D5-480F-B93D-7009D9A612F2}">
  <dimension ref="A1:W1001"/>
  <sheetViews>
    <sheetView zoomScaleNormal="100" workbookViewId="0">
      <selection activeCell="K5" sqref="K5"/>
    </sheetView>
  </sheetViews>
  <sheetFormatPr defaultRowHeight="12.75"/>
  <cols>
    <col min="1" max="1" width="8.85546875" style="2" customWidth="1"/>
    <col min="2" max="2" width="11.7109375" style="1" bestFit="1" customWidth="1"/>
    <col min="3" max="3" width="7.5703125" style="2" customWidth="1"/>
    <col min="4" max="4" width="7.42578125" style="2" bestFit="1" customWidth="1"/>
    <col min="5" max="5" width="9.85546875" style="2" customWidth="1"/>
    <col min="6" max="6" width="10.140625" style="2" customWidth="1"/>
    <col min="7" max="7" width="10.85546875" style="2" customWidth="1"/>
    <col min="8" max="8" width="10.140625" style="2" bestFit="1" customWidth="1"/>
    <col min="9" max="9" width="11.28515625" style="2" bestFit="1" customWidth="1"/>
    <col min="10" max="10" width="9.5703125" style="2" bestFit="1" customWidth="1"/>
    <col min="11" max="11" width="12.140625" style="2" customWidth="1"/>
    <col min="12" max="12" width="11.42578125" style="2" bestFit="1" customWidth="1"/>
    <col min="13" max="13" width="14.7109375" style="2" customWidth="1"/>
    <col min="14" max="14" width="8.28515625" style="2" bestFit="1" customWidth="1"/>
    <col min="15" max="15" width="25.5703125" style="2" customWidth="1"/>
    <col min="16" max="16" width="16.140625" style="2" customWidth="1"/>
    <col min="17" max="17" width="16.7109375" style="2" customWidth="1"/>
    <col min="18" max="18" width="14.140625" style="2" customWidth="1"/>
    <col min="19" max="19" width="8.7109375" style="2" customWidth="1"/>
    <col min="20" max="20" width="10.7109375" style="2" customWidth="1"/>
    <col min="21" max="21" width="12" style="2" customWidth="1"/>
    <col min="22" max="22" width="9.140625" style="2"/>
    <col min="23" max="23" width="14.28515625" style="2" customWidth="1"/>
    <col min="24" max="16384" width="9.140625" style="2"/>
  </cols>
  <sheetData>
    <row r="1" spans="1:23" ht="21.75" customHeight="1">
      <c r="A1" s="22" t="s">
        <v>0</v>
      </c>
      <c r="B1" s="23" t="s">
        <v>1</v>
      </c>
      <c r="C1" s="24" t="s">
        <v>4</v>
      </c>
      <c r="D1" s="24" t="s">
        <v>5</v>
      </c>
      <c r="E1" s="24" t="s">
        <v>6</v>
      </c>
      <c r="F1" s="24" t="s">
        <v>7</v>
      </c>
      <c r="G1" s="24" t="s">
        <v>8</v>
      </c>
      <c r="H1" s="24" t="s">
        <v>9</v>
      </c>
      <c r="I1" s="24" t="s">
        <v>11</v>
      </c>
      <c r="J1" s="24" t="s">
        <v>12</v>
      </c>
      <c r="K1" s="24" t="s">
        <v>13</v>
      </c>
      <c r="L1" s="24" t="s">
        <v>14</v>
      </c>
      <c r="M1" s="24" t="s">
        <v>15</v>
      </c>
      <c r="N1" s="24" t="s">
        <v>16</v>
      </c>
      <c r="O1" s="24" t="s">
        <v>18</v>
      </c>
      <c r="P1" s="25" t="s">
        <v>61</v>
      </c>
      <c r="Q1" s="25" t="s">
        <v>23</v>
      </c>
      <c r="R1" s="35" t="s">
        <v>17</v>
      </c>
      <c r="S1" s="11" t="s">
        <v>22</v>
      </c>
      <c r="T1" s="25" t="s">
        <v>57</v>
      </c>
      <c r="U1" s="24" t="s">
        <v>58</v>
      </c>
      <c r="V1" s="24" t="s">
        <v>59</v>
      </c>
      <c r="W1" s="25" t="s">
        <v>60</v>
      </c>
    </row>
    <row r="2" spans="1:23">
      <c r="A2" s="26">
        <v>1</v>
      </c>
      <c r="B2" s="27">
        <v>40544</v>
      </c>
      <c r="C2" s="12">
        <v>1</v>
      </c>
      <c r="D2" s="12">
        <v>0</v>
      </c>
      <c r="E2" s="12" t="b">
        <v>0</v>
      </c>
      <c r="F2" s="12">
        <v>6</v>
      </c>
      <c r="G2" s="12">
        <v>1</v>
      </c>
      <c r="H2" s="12">
        <v>0.24</v>
      </c>
      <c r="I2" s="12">
        <v>0.28789999999999999</v>
      </c>
      <c r="J2" s="12">
        <v>0.81</v>
      </c>
      <c r="K2" s="12">
        <v>0</v>
      </c>
      <c r="L2" s="12">
        <v>3</v>
      </c>
      <c r="M2" s="12">
        <v>13</v>
      </c>
      <c r="N2" s="12">
        <v>16</v>
      </c>
      <c r="O2" s="12" t="str">
        <f>VLOOKUP(G2,calculate_field!$B$2:$C$5,2,FALSE)</f>
        <v>Clear/Partly Cloudy</v>
      </c>
      <c r="P2" s="36" t="str">
        <f t="shared" ref="P2:P65" si="0">CHOOSE(F2+1,"Sunday","Monday","Tuesday","Wednesday","Thursday","Friday","Saturday")</f>
        <v>Saturday</v>
      </c>
      <c r="Q2" s="12" t="str">
        <f t="shared" ref="Q2:Q65" si="1">IF(OR(F2=0,F2=6),"Weekend","Weekday")</f>
        <v>Weekend</v>
      </c>
      <c r="R2" s="12" t="str">
        <f t="shared" ref="R2:R33" si="2">IF(D2&lt;6,"Night",IF(D2&lt;12,"Morning",IF(D2&lt;17,"Afternoon",IF(D2&lt;21,"Evening","Night"))))</f>
        <v>Night</v>
      </c>
      <c r="S2" s="28" t="str">
        <f>INDEX(calculate_field!$F$2:$F$4, MATCH(H2, calculate_field!$E$2:$E$4, 1))</f>
        <v>Mild</v>
      </c>
      <c r="T2" s="32">
        <f t="shared" ref="T2:T33" si="3">AVERAGE(N2:N25)</f>
        <v>41.041666666666664</v>
      </c>
      <c r="U2" s="32">
        <f t="shared" ref="U2:U65" si="4">_xlfn.STDEV.S(N2:N25)</f>
        <v>34.292196053109919</v>
      </c>
      <c r="V2" s="32">
        <f t="shared" ref="V2:V65" si="5">(N25-T25)/U25</f>
        <v>0.13725504535788605</v>
      </c>
      <c r="W2" s="24" t="b">
        <f t="shared" ref="W2:W65" si="6">IFERROR(ABS(V18)&gt;1.5,FALSE)</f>
        <v>0</v>
      </c>
    </row>
    <row r="3" spans="1:23">
      <c r="A3" s="26">
        <v>2</v>
      </c>
      <c r="B3" s="27">
        <v>40544</v>
      </c>
      <c r="C3" s="12">
        <v>1</v>
      </c>
      <c r="D3" s="12">
        <v>1</v>
      </c>
      <c r="E3" s="12" t="b">
        <v>0</v>
      </c>
      <c r="F3" s="12">
        <v>6</v>
      </c>
      <c r="G3" s="12">
        <v>1</v>
      </c>
      <c r="H3" s="12">
        <v>0.22</v>
      </c>
      <c r="I3" s="12">
        <v>0.2727</v>
      </c>
      <c r="J3" s="12">
        <v>0.8</v>
      </c>
      <c r="K3" s="12">
        <v>0</v>
      </c>
      <c r="L3" s="12">
        <v>8</v>
      </c>
      <c r="M3" s="12">
        <v>32</v>
      </c>
      <c r="N3" s="12">
        <v>40</v>
      </c>
      <c r="O3" s="12" t="str">
        <f>VLOOKUP(G3,calculate_field!$B$2:$C$5,2,FALSE)</f>
        <v>Clear/Partly Cloudy</v>
      </c>
      <c r="P3" s="12" t="str">
        <f t="shared" si="0"/>
        <v>Saturday</v>
      </c>
      <c r="Q3" s="12" t="str">
        <f t="shared" si="1"/>
        <v>Weekend</v>
      </c>
      <c r="R3" s="12" t="str">
        <f t="shared" si="2"/>
        <v>Night</v>
      </c>
      <c r="S3" s="28" t="str">
        <f>INDEX(calculate_field!$F$2:$F$4, MATCH(H3, calculate_field!$E$2:$E$4, 1))</f>
        <v>Mild</v>
      </c>
      <c r="T3" s="33">
        <f t="shared" si="3"/>
        <v>41.083333333333336</v>
      </c>
      <c r="U3" s="33">
        <f t="shared" si="4"/>
        <v>34.261039689123713</v>
      </c>
      <c r="V3" s="33">
        <f t="shared" si="5"/>
        <v>-0.5572396497385288</v>
      </c>
      <c r="W3" s="12" t="b">
        <f t="shared" si="6"/>
        <v>0</v>
      </c>
    </row>
    <row r="4" spans="1:23">
      <c r="A4" s="26">
        <v>3</v>
      </c>
      <c r="B4" s="27">
        <v>40544</v>
      </c>
      <c r="C4" s="12">
        <v>1</v>
      </c>
      <c r="D4" s="12">
        <v>2</v>
      </c>
      <c r="E4" s="12" t="b">
        <v>0</v>
      </c>
      <c r="F4" s="12">
        <v>6</v>
      </c>
      <c r="G4" s="12">
        <v>1</v>
      </c>
      <c r="H4" s="12">
        <v>0.22</v>
      </c>
      <c r="I4" s="12">
        <v>0.2727</v>
      </c>
      <c r="J4" s="12">
        <v>0.8</v>
      </c>
      <c r="K4" s="12">
        <v>0</v>
      </c>
      <c r="L4" s="12">
        <v>5</v>
      </c>
      <c r="M4" s="12">
        <v>27</v>
      </c>
      <c r="N4" s="12">
        <v>32</v>
      </c>
      <c r="O4" s="12" t="str">
        <f>VLOOKUP(G4,calculate_field!$B$2:$C$5,2,FALSE)</f>
        <v>Clear/Partly Cloudy</v>
      </c>
      <c r="P4" s="12" t="str">
        <f t="shared" si="0"/>
        <v>Saturday</v>
      </c>
      <c r="Q4" s="12" t="str">
        <f t="shared" si="1"/>
        <v>Weekend</v>
      </c>
      <c r="R4" s="12" t="str">
        <f t="shared" si="2"/>
        <v>Night</v>
      </c>
      <c r="S4" s="28" t="str">
        <f>INDEX(calculate_field!$F$2:$F$4, MATCH(H4, calculate_field!$E$2:$E$4, 1))</f>
        <v>Mild</v>
      </c>
      <c r="T4" s="33">
        <f t="shared" si="3"/>
        <v>40.125</v>
      </c>
      <c r="U4" s="33">
        <f t="shared" si="4"/>
        <v>34.612529146438341</v>
      </c>
      <c r="V4" s="33">
        <f t="shared" si="5"/>
        <v>-0.52709109014407285</v>
      </c>
      <c r="W4" s="12" t="b">
        <f t="shared" si="6"/>
        <v>0</v>
      </c>
    </row>
    <row r="5" spans="1:23">
      <c r="A5" s="26">
        <v>4</v>
      </c>
      <c r="B5" s="27">
        <v>40544</v>
      </c>
      <c r="C5" s="12">
        <v>1</v>
      </c>
      <c r="D5" s="12">
        <v>3</v>
      </c>
      <c r="E5" s="12" t="b">
        <v>0</v>
      </c>
      <c r="F5" s="12">
        <v>6</v>
      </c>
      <c r="G5" s="12">
        <v>1</v>
      </c>
      <c r="H5" s="12">
        <v>0.24</v>
      </c>
      <c r="I5" s="12">
        <v>0.28789999999999999</v>
      </c>
      <c r="J5" s="12">
        <v>0.75</v>
      </c>
      <c r="K5" s="12">
        <v>0</v>
      </c>
      <c r="L5" s="12">
        <v>3</v>
      </c>
      <c r="M5" s="12">
        <v>10</v>
      </c>
      <c r="N5" s="12">
        <v>13</v>
      </c>
      <c r="O5" s="12" t="str">
        <f>VLOOKUP(G5,calculate_field!$B$2:$C$5,2,FALSE)</f>
        <v>Clear/Partly Cloudy</v>
      </c>
      <c r="P5" s="12" t="str">
        <f t="shared" si="0"/>
        <v>Saturday</v>
      </c>
      <c r="Q5" s="12" t="str">
        <f t="shared" si="1"/>
        <v>Weekend</v>
      </c>
      <c r="R5" s="12" t="str">
        <f t="shared" si="2"/>
        <v>Night</v>
      </c>
      <c r="S5" s="28" t="str">
        <f>INDEX(calculate_field!$F$2:$F$4, MATCH(H5, calculate_field!$E$2:$E$4, 1))</f>
        <v>Mild</v>
      </c>
      <c r="T5" s="33">
        <f t="shared" si="3"/>
        <v>39.166666666666664</v>
      </c>
      <c r="U5" s="33">
        <f t="shared" si="4"/>
        <v>35.161325921809464</v>
      </c>
      <c r="V5" s="33">
        <f t="shared" si="5"/>
        <v>-0.75587246365049632</v>
      </c>
      <c r="W5" s="12" t="b">
        <f t="shared" si="6"/>
        <v>0</v>
      </c>
    </row>
    <row r="6" spans="1:23">
      <c r="A6" s="26">
        <v>5</v>
      </c>
      <c r="B6" s="27">
        <v>40544</v>
      </c>
      <c r="C6" s="12">
        <v>1</v>
      </c>
      <c r="D6" s="12">
        <v>4</v>
      </c>
      <c r="E6" s="12" t="b">
        <v>0</v>
      </c>
      <c r="F6" s="12">
        <v>6</v>
      </c>
      <c r="G6" s="12">
        <v>1</v>
      </c>
      <c r="H6" s="12">
        <v>0.24</v>
      </c>
      <c r="I6" s="12">
        <v>0.28789999999999999</v>
      </c>
      <c r="J6" s="12">
        <v>0.75</v>
      </c>
      <c r="K6" s="12">
        <v>0</v>
      </c>
      <c r="L6" s="12">
        <v>0</v>
      </c>
      <c r="M6" s="12">
        <v>1</v>
      </c>
      <c r="N6" s="12">
        <v>1</v>
      </c>
      <c r="O6" s="12" t="str">
        <f>VLOOKUP(G6,calculate_field!$B$2:$C$5,2,FALSE)</f>
        <v>Clear/Partly Cloudy</v>
      </c>
      <c r="P6" s="12" t="str">
        <f t="shared" si="0"/>
        <v>Saturday</v>
      </c>
      <c r="Q6" s="12" t="str">
        <f t="shared" si="1"/>
        <v>Weekend</v>
      </c>
      <c r="R6" s="12" t="str">
        <f t="shared" si="2"/>
        <v>Night</v>
      </c>
      <c r="S6" s="28" t="str">
        <f>INDEX(calculate_field!$F$2:$F$4, MATCH(H6, calculate_field!$E$2:$E$4, 1))</f>
        <v>Mild</v>
      </c>
      <c r="T6" s="33">
        <f t="shared" si="3"/>
        <v>38.875</v>
      </c>
      <c r="U6" s="33">
        <f t="shared" si="4"/>
        <v>35.415929233584436</v>
      </c>
      <c r="V6" s="33">
        <f t="shared" si="5"/>
        <v>-0.83910600348672093</v>
      </c>
      <c r="W6" s="12" t="b">
        <f t="shared" si="6"/>
        <v>0</v>
      </c>
    </row>
    <row r="7" spans="1:23">
      <c r="A7" s="26">
        <v>6</v>
      </c>
      <c r="B7" s="27">
        <v>40544</v>
      </c>
      <c r="C7" s="12">
        <v>1</v>
      </c>
      <c r="D7" s="12">
        <v>5</v>
      </c>
      <c r="E7" s="12" t="b">
        <v>0</v>
      </c>
      <c r="F7" s="12">
        <v>6</v>
      </c>
      <c r="G7" s="12">
        <v>2</v>
      </c>
      <c r="H7" s="12">
        <v>0.24</v>
      </c>
      <c r="I7" s="12">
        <v>0.2576</v>
      </c>
      <c r="J7" s="12">
        <v>0.75</v>
      </c>
      <c r="K7" s="12">
        <v>8.9599999999999999E-2</v>
      </c>
      <c r="L7" s="12">
        <v>0</v>
      </c>
      <c r="M7" s="12">
        <v>1</v>
      </c>
      <c r="N7" s="12">
        <v>1</v>
      </c>
      <c r="O7" s="12" t="str">
        <f>VLOOKUP(G7,calculate_field!$B$2:$C$5,2,FALSE)</f>
        <v xml:space="preserve">Mist / cloudy </v>
      </c>
      <c r="P7" s="12" t="str">
        <f t="shared" si="0"/>
        <v>Saturday</v>
      </c>
      <c r="Q7" s="12" t="str">
        <f t="shared" si="1"/>
        <v>Weekend</v>
      </c>
      <c r="R7" s="12" t="str">
        <f t="shared" si="2"/>
        <v>Night</v>
      </c>
      <c r="S7" s="28" t="str">
        <f>INDEX(calculate_field!$F$2:$F$4, MATCH(H7, calculate_field!$E$2:$E$4, 1))</f>
        <v>Mild</v>
      </c>
      <c r="T7" s="33">
        <f t="shared" si="3"/>
        <v>38.958333333333336</v>
      </c>
      <c r="U7" s="33">
        <f t="shared" si="4"/>
        <v>35.325171671531741</v>
      </c>
      <c r="V7" s="33">
        <f t="shared" si="5"/>
        <v>-0.98361264509970225</v>
      </c>
      <c r="W7" s="12" t="b">
        <f t="shared" si="6"/>
        <v>0</v>
      </c>
    </row>
    <row r="8" spans="1:23">
      <c r="A8" s="26">
        <v>7</v>
      </c>
      <c r="B8" s="27">
        <v>40544</v>
      </c>
      <c r="C8" s="12">
        <v>1</v>
      </c>
      <c r="D8" s="12">
        <v>6</v>
      </c>
      <c r="E8" s="12" t="b">
        <v>0</v>
      </c>
      <c r="F8" s="12">
        <v>6</v>
      </c>
      <c r="G8" s="12">
        <v>1</v>
      </c>
      <c r="H8" s="12">
        <v>0.22</v>
      </c>
      <c r="I8" s="12">
        <v>0.2727</v>
      </c>
      <c r="J8" s="12">
        <v>0.8</v>
      </c>
      <c r="K8" s="12">
        <v>0</v>
      </c>
      <c r="L8" s="12">
        <v>2</v>
      </c>
      <c r="M8" s="12">
        <v>0</v>
      </c>
      <c r="N8" s="12">
        <v>2</v>
      </c>
      <c r="O8" s="12" t="str">
        <f>VLOOKUP(G8,calculate_field!$B$2:$C$5,2,FALSE)</f>
        <v>Clear/Partly Cloudy</v>
      </c>
      <c r="P8" s="12" t="str">
        <f t="shared" si="0"/>
        <v>Saturday</v>
      </c>
      <c r="Q8" s="12" t="str">
        <f t="shared" si="1"/>
        <v>Weekend</v>
      </c>
      <c r="R8" s="12" t="str">
        <f t="shared" si="2"/>
        <v>Morning</v>
      </c>
      <c r="S8" s="28" t="str">
        <f>INDEX(calculate_field!$F$2:$F$4, MATCH(H8, calculate_field!$E$2:$E$4, 1))</f>
        <v>Mild</v>
      </c>
      <c r="T8" s="33">
        <f t="shared" si="3"/>
        <v>39</v>
      </c>
      <c r="U8" s="33">
        <f t="shared" si="4"/>
        <v>35.279012112758686</v>
      </c>
      <c r="V8" s="33">
        <f t="shared" si="5"/>
        <v>-1.1021214544777405</v>
      </c>
      <c r="W8" s="12" t="b">
        <f t="shared" si="6"/>
        <v>0</v>
      </c>
    </row>
    <row r="9" spans="1:23">
      <c r="A9" s="26">
        <v>8</v>
      </c>
      <c r="B9" s="27">
        <v>40544</v>
      </c>
      <c r="C9" s="12">
        <v>1</v>
      </c>
      <c r="D9" s="12">
        <v>7</v>
      </c>
      <c r="E9" s="12" t="b">
        <v>0</v>
      </c>
      <c r="F9" s="12">
        <v>6</v>
      </c>
      <c r="G9" s="12">
        <v>1</v>
      </c>
      <c r="H9" s="12">
        <v>0.2</v>
      </c>
      <c r="I9" s="12">
        <v>0.2576</v>
      </c>
      <c r="J9" s="12">
        <v>0.86</v>
      </c>
      <c r="K9" s="12">
        <v>0</v>
      </c>
      <c r="L9" s="12">
        <v>1</v>
      </c>
      <c r="M9" s="12">
        <v>2</v>
      </c>
      <c r="N9" s="12">
        <v>3</v>
      </c>
      <c r="O9" s="12" t="str">
        <f>VLOOKUP(G9,calculate_field!$B$2:$C$5,2,FALSE)</f>
        <v>Clear/Partly Cloudy</v>
      </c>
      <c r="P9" s="12" t="str">
        <f t="shared" si="0"/>
        <v>Saturday</v>
      </c>
      <c r="Q9" s="12" t="str">
        <f t="shared" si="1"/>
        <v>Weekend</v>
      </c>
      <c r="R9" s="12" t="str">
        <f t="shared" si="2"/>
        <v>Morning</v>
      </c>
      <c r="S9" s="28" t="str">
        <f>INDEX(calculate_field!$F$2:$F$4, MATCH(H9, calculate_field!$E$2:$E$4, 1))</f>
        <v>Mild</v>
      </c>
      <c r="T9" s="33">
        <f t="shared" si="3"/>
        <v>38.958333333333336</v>
      </c>
      <c r="U9" s="33">
        <f t="shared" si="4"/>
        <v>35.325171671531741</v>
      </c>
      <c r="V9" s="33">
        <f t="shared" si="5"/>
        <v>-1.0755272043905471</v>
      </c>
      <c r="W9" s="12" t="b">
        <f t="shared" si="6"/>
        <v>0</v>
      </c>
    </row>
    <row r="10" spans="1:23">
      <c r="A10" s="26">
        <v>9</v>
      </c>
      <c r="B10" s="27">
        <v>40544</v>
      </c>
      <c r="C10" s="12">
        <v>1</v>
      </c>
      <c r="D10" s="12">
        <v>8</v>
      </c>
      <c r="E10" s="12" t="b">
        <v>0</v>
      </c>
      <c r="F10" s="12">
        <v>6</v>
      </c>
      <c r="G10" s="12">
        <v>1</v>
      </c>
      <c r="H10" s="12">
        <v>0.24</v>
      </c>
      <c r="I10" s="12">
        <f>IF(I2="", _xlfn.MODE.SNGL($I$2:$I$1000), I2)</f>
        <v>0.28789999999999999</v>
      </c>
      <c r="J10" s="12">
        <v>0.75</v>
      </c>
      <c r="K10" s="12">
        <v>0</v>
      </c>
      <c r="L10" s="12">
        <v>1</v>
      </c>
      <c r="M10" s="12">
        <v>7</v>
      </c>
      <c r="N10" s="12">
        <v>8</v>
      </c>
      <c r="O10" s="12" t="str">
        <f>VLOOKUP(G10,calculate_field!$B$2:$C$5,2,FALSE)</f>
        <v>Clear/Partly Cloudy</v>
      </c>
      <c r="P10" s="12" t="str">
        <f t="shared" si="0"/>
        <v>Saturday</v>
      </c>
      <c r="Q10" s="12" t="str">
        <f t="shared" si="1"/>
        <v>Weekend</v>
      </c>
      <c r="R10" s="12" t="str">
        <f t="shared" si="2"/>
        <v>Morning</v>
      </c>
      <c r="S10" s="28" t="str">
        <f>INDEX(calculate_field!$F$2:$F$4, MATCH(H10, calculate_field!$E$2:$E$4, 1))</f>
        <v>Mild</v>
      </c>
      <c r="T10" s="33">
        <f t="shared" si="3"/>
        <v>39.166666666666664</v>
      </c>
      <c r="U10" s="33">
        <f t="shared" si="4"/>
        <v>35.118020478364677</v>
      </c>
      <c r="V10" s="33">
        <f t="shared" si="5"/>
        <v>-0.98483056895940579</v>
      </c>
      <c r="W10" s="12" t="b">
        <f t="shared" si="6"/>
        <v>0</v>
      </c>
    </row>
    <row r="11" spans="1:23">
      <c r="A11" s="26">
        <v>10</v>
      </c>
      <c r="B11" s="27">
        <v>40544</v>
      </c>
      <c r="C11" s="12">
        <v>1</v>
      </c>
      <c r="D11" s="12">
        <v>9</v>
      </c>
      <c r="E11" s="12" t="b">
        <v>0</v>
      </c>
      <c r="F11" s="12">
        <v>6</v>
      </c>
      <c r="G11" s="12">
        <v>1</v>
      </c>
      <c r="H11" s="12">
        <v>0.32</v>
      </c>
      <c r="I11" s="12">
        <v>0.34849999999999998</v>
      </c>
      <c r="J11" s="12">
        <v>0.76</v>
      </c>
      <c r="K11" s="12">
        <v>0</v>
      </c>
      <c r="L11" s="12">
        <v>8</v>
      </c>
      <c r="M11" s="12">
        <v>6</v>
      </c>
      <c r="N11" s="12">
        <v>14</v>
      </c>
      <c r="O11" s="12" t="str">
        <f>VLOOKUP(G11,calculate_field!$B$2:$C$5,2,FALSE)</f>
        <v>Clear/Partly Cloudy</v>
      </c>
      <c r="P11" s="12" t="str">
        <f t="shared" si="0"/>
        <v>Saturday</v>
      </c>
      <c r="Q11" s="12" t="str">
        <f t="shared" si="1"/>
        <v>Weekend</v>
      </c>
      <c r="R11" s="12" t="str">
        <f t="shared" si="2"/>
        <v>Morning</v>
      </c>
      <c r="S11" s="28" t="str">
        <f>INDEX(calculate_field!$F$2:$F$4, MATCH(H11, calculate_field!$E$2:$E$4, 1))</f>
        <v>Warm</v>
      </c>
      <c r="T11" s="33">
        <f t="shared" si="3"/>
        <v>39.666666666666664</v>
      </c>
      <c r="U11" s="33">
        <f t="shared" si="4"/>
        <v>34.738359535078885</v>
      </c>
      <c r="V11" s="33">
        <f t="shared" si="5"/>
        <v>-0.72541657850970842</v>
      </c>
      <c r="W11" s="12" t="b">
        <f t="shared" si="6"/>
        <v>0</v>
      </c>
    </row>
    <row r="12" spans="1:23">
      <c r="A12" s="26">
        <v>11</v>
      </c>
      <c r="B12" s="27">
        <v>40544</v>
      </c>
      <c r="C12" s="12">
        <v>1</v>
      </c>
      <c r="D12" s="12">
        <v>10</v>
      </c>
      <c r="E12" s="12" t="b">
        <v>0</v>
      </c>
      <c r="F12" s="12">
        <v>6</v>
      </c>
      <c r="G12" s="12">
        <v>1</v>
      </c>
      <c r="H12" s="12">
        <v>0.38</v>
      </c>
      <c r="I12" s="12">
        <v>0.39389999999999997</v>
      </c>
      <c r="J12" s="12">
        <v>0.76</v>
      </c>
      <c r="K12" s="12">
        <v>0.25369999999999998</v>
      </c>
      <c r="L12" s="12">
        <v>12</v>
      </c>
      <c r="M12" s="12">
        <v>24</v>
      </c>
      <c r="N12" s="12">
        <v>36</v>
      </c>
      <c r="O12" s="12" t="str">
        <f>VLOOKUP(G12,calculate_field!$B$2:$C$5,2,FALSE)</f>
        <v>Clear/Partly Cloudy</v>
      </c>
      <c r="P12" s="12" t="str">
        <f t="shared" si="0"/>
        <v>Saturday</v>
      </c>
      <c r="Q12" s="12" t="str">
        <f t="shared" si="1"/>
        <v>Weekend</v>
      </c>
      <c r="R12" s="12" t="str">
        <f t="shared" si="2"/>
        <v>Morning</v>
      </c>
      <c r="S12" s="28" t="str">
        <f>INDEX(calculate_field!$F$2:$F$4, MATCH(H12, calculate_field!$E$2:$E$4, 1))</f>
        <v>Warm</v>
      </c>
      <c r="T12" s="33">
        <f t="shared" si="3"/>
        <v>41.291666666666664</v>
      </c>
      <c r="U12" s="33">
        <f t="shared" si="4"/>
        <v>34.396004781479142</v>
      </c>
      <c r="V12" s="33">
        <f t="shared" si="5"/>
        <v>0.12669406942416278</v>
      </c>
      <c r="W12" s="12" t="b">
        <f t="shared" si="6"/>
        <v>0</v>
      </c>
    </row>
    <row r="13" spans="1:23">
      <c r="A13" s="26">
        <v>12</v>
      </c>
      <c r="B13" s="27">
        <v>40544</v>
      </c>
      <c r="C13" s="12">
        <v>1</v>
      </c>
      <c r="D13" s="12">
        <v>11</v>
      </c>
      <c r="E13" s="12" t="b">
        <v>0</v>
      </c>
      <c r="F13" s="12">
        <v>6</v>
      </c>
      <c r="G13" s="12">
        <v>1</v>
      </c>
      <c r="H13" s="12">
        <v>0.36</v>
      </c>
      <c r="I13" s="12">
        <v>0.33329999999999999</v>
      </c>
      <c r="J13" s="12">
        <v>0.81</v>
      </c>
      <c r="K13" s="12">
        <v>0.28360000000000002</v>
      </c>
      <c r="L13" s="12">
        <v>26</v>
      </c>
      <c r="M13" s="12">
        <v>30</v>
      </c>
      <c r="N13" s="12">
        <v>56</v>
      </c>
      <c r="O13" s="12" t="str">
        <f>VLOOKUP(G13,calculate_field!$B$2:$C$5,2,FALSE)</f>
        <v>Clear/Partly Cloudy</v>
      </c>
      <c r="P13" s="12" t="str">
        <f t="shared" si="0"/>
        <v>Saturday</v>
      </c>
      <c r="Q13" s="12" t="str">
        <f t="shared" si="1"/>
        <v>Weekend</v>
      </c>
      <c r="R13" s="12" t="str">
        <f t="shared" si="2"/>
        <v>Morning</v>
      </c>
      <c r="S13" s="28" t="str">
        <f>INDEX(calculate_field!$F$2:$F$4, MATCH(H13, calculate_field!$E$2:$E$4, 1))</f>
        <v>Warm</v>
      </c>
      <c r="T13" s="33">
        <f t="shared" si="3"/>
        <v>42.708333333333336</v>
      </c>
      <c r="U13" s="33">
        <f t="shared" si="4"/>
        <v>34.865554406290045</v>
      </c>
      <c r="V13" s="33">
        <f t="shared" si="5"/>
        <v>0.5779149150646159</v>
      </c>
      <c r="W13" s="12" t="b">
        <f t="shared" si="6"/>
        <v>0</v>
      </c>
    </row>
    <row r="14" spans="1:23">
      <c r="A14" s="26">
        <v>13</v>
      </c>
      <c r="B14" s="27">
        <v>40544</v>
      </c>
      <c r="C14" s="12">
        <v>1</v>
      </c>
      <c r="D14" s="12">
        <v>12</v>
      </c>
      <c r="E14" s="12" t="b">
        <v>0</v>
      </c>
      <c r="F14" s="12">
        <v>6</v>
      </c>
      <c r="G14" s="12">
        <v>1</v>
      </c>
      <c r="H14" s="12">
        <v>0.42</v>
      </c>
      <c r="I14" s="12">
        <v>0.42420000000000002</v>
      </c>
      <c r="J14" s="12">
        <v>0.77</v>
      </c>
      <c r="K14" s="12">
        <v>0.28360000000000002</v>
      </c>
      <c r="L14" s="12">
        <v>29</v>
      </c>
      <c r="M14" s="12">
        <v>55</v>
      </c>
      <c r="N14" s="12">
        <v>84</v>
      </c>
      <c r="O14" s="12" t="str">
        <f>VLOOKUP(G14,calculate_field!$B$2:$C$5,2,FALSE)</f>
        <v>Clear/Partly Cloudy</v>
      </c>
      <c r="P14" s="12" t="str">
        <f t="shared" si="0"/>
        <v>Saturday</v>
      </c>
      <c r="Q14" s="12" t="str">
        <f t="shared" si="1"/>
        <v>Weekend</v>
      </c>
      <c r="R14" s="12" t="str">
        <f t="shared" si="2"/>
        <v>Afternoon</v>
      </c>
      <c r="S14" s="28" t="str">
        <f>INDEX(calculate_field!$F$2:$F$4, MATCH(H14, calculate_field!$E$2:$E$4, 1))</f>
        <v>Warm</v>
      </c>
      <c r="T14" s="33">
        <f t="shared" si="3"/>
        <v>44.25</v>
      </c>
      <c r="U14" s="33">
        <f t="shared" si="4"/>
        <v>36.26862340202976</v>
      </c>
      <c r="V14" s="33">
        <f t="shared" si="5"/>
        <v>1.2171015484085497</v>
      </c>
      <c r="W14" s="12" t="b">
        <f t="shared" si="6"/>
        <v>0</v>
      </c>
    </row>
    <row r="15" spans="1:23">
      <c r="A15" s="26">
        <v>14</v>
      </c>
      <c r="B15" s="27">
        <v>40544</v>
      </c>
      <c r="C15" s="12">
        <v>1</v>
      </c>
      <c r="D15" s="12">
        <v>13</v>
      </c>
      <c r="E15" s="12" t="b">
        <v>0</v>
      </c>
      <c r="F15" s="12">
        <v>6</v>
      </c>
      <c r="G15" s="12">
        <v>2</v>
      </c>
      <c r="H15" s="12">
        <v>0.46</v>
      </c>
      <c r="I15" s="12">
        <v>0.45450000000000002</v>
      </c>
      <c r="J15" s="12">
        <v>0.72</v>
      </c>
      <c r="K15" s="12">
        <v>0.29849999999999999</v>
      </c>
      <c r="L15" s="12">
        <v>47</v>
      </c>
      <c r="M15" s="12">
        <v>47</v>
      </c>
      <c r="N15" s="12">
        <v>94</v>
      </c>
      <c r="O15" s="12" t="str">
        <f>VLOOKUP(G15,calculate_field!$B$2:$C$5,2,FALSE)</f>
        <v xml:space="preserve">Mist / cloudy </v>
      </c>
      <c r="P15" s="12" t="str">
        <f t="shared" si="0"/>
        <v>Saturday</v>
      </c>
      <c r="Q15" s="12" t="str">
        <f t="shared" si="1"/>
        <v>Weekend</v>
      </c>
      <c r="R15" s="12" t="str">
        <f t="shared" si="2"/>
        <v>Afternoon</v>
      </c>
      <c r="S15" s="28" t="str">
        <f>INDEX(calculate_field!$F$2:$F$4, MATCH(H15, calculate_field!$E$2:$E$4, 1))</f>
        <v>Warm</v>
      </c>
      <c r="T15" s="33">
        <f t="shared" si="3"/>
        <v>43.875</v>
      </c>
      <c r="U15" s="33">
        <f t="shared" si="4"/>
        <v>35.884249300021409</v>
      </c>
      <c r="V15" s="33">
        <f t="shared" si="5"/>
        <v>0.75988628502587752</v>
      </c>
      <c r="W15" s="12" t="b">
        <f t="shared" si="6"/>
        <v>0</v>
      </c>
    </row>
    <row r="16" spans="1:23">
      <c r="A16" s="26">
        <v>15</v>
      </c>
      <c r="B16" s="27">
        <v>40544</v>
      </c>
      <c r="C16" s="12">
        <v>1</v>
      </c>
      <c r="D16" s="12">
        <v>14</v>
      </c>
      <c r="E16" s="12" t="b">
        <v>0</v>
      </c>
      <c r="F16" s="12">
        <v>6</v>
      </c>
      <c r="G16" s="12">
        <v>2</v>
      </c>
      <c r="H16" s="12">
        <v>0.46</v>
      </c>
      <c r="I16" s="12">
        <v>0.45450000000000002</v>
      </c>
      <c r="J16" s="12">
        <v>0.72</v>
      </c>
      <c r="K16" s="12">
        <v>0.28360000000000002</v>
      </c>
      <c r="L16" s="12">
        <v>35</v>
      </c>
      <c r="M16" s="12">
        <v>71</v>
      </c>
      <c r="N16" s="12">
        <v>106</v>
      </c>
      <c r="O16" s="12" t="str">
        <f>VLOOKUP(G16,calculate_field!$B$2:$C$5,2,FALSE)</f>
        <v xml:space="preserve">Mist / cloudy </v>
      </c>
      <c r="P16" s="12" t="str">
        <f t="shared" si="0"/>
        <v>Saturday</v>
      </c>
      <c r="Q16" s="12" t="str">
        <f t="shared" si="1"/>
        <v>Weekend</v>
      </c>
      <c r="R16" s="12" t="str">
        <f t="shared" si="2"/>
        <v>Afternoon</v>
      </c>
      <c r="S16" s="28" t="str">
        <f>INDEX(calculate_field!$F$2:$F$4, MATCH(H16, calculate_field!$E$2:$E$4, 1))</f>
        <v>Warm</v>
      </c>
      <c r="T16" s="33">
        <f t="shared" si="3"/>
        <v>42.416666666666664</v>
      </c>
      <c r="U16" s="33">
        <f t="shared" si="4"/>
        <v>34.440770413372967</v>
      </c>
      <c r="V16" s="33">
        <f t="shared" si="5"/>
        <v>0.32005705610425195</v>
      </c>
      <c r="W16" s="12" t="b">
        <f t="shared" si="6"/>
        <v>1</v>
      </c>
    </row>
    <row r="17" spans="1:23">
      <c r="A17" s="26">
        <v>16</v>
      </c>
      <c r="B17" s="27">
        <v>40544</v>
      </c>
      <c r="C17" s="12">
        <v>1</v>
      </c>
      <c r="D17" s="12">
        <v>15</v>
      </c>
      <c r="E17" s="12" t="b">
        <v>0</v>
      </c>
      <c r="F17" s="12">
        <v>6</v>
      </c>
      <c r="G17" s="12">
        <v>2</v>
      </c>
      <c r="H17" s="12">
        <v>0.44</v>
      </c>
      <c r="I17" s="12">
        <v>0.43940000000000001</v>
      </c>
      <c r="J17" s="12">
        <v>0.77</v>
      </c>
      <c r="K17" s="12">
        <v>0.29849999999999999</v>
      </c>
      <c r="L17" s="12">
        <v>40</v>
      </c>
      <c r="M17" s="12">
        <v>70</v>
      </c>
      <c r="N17" s="12">
        <v>110</v>
      </c>
      <c r="O17" s="12" t="str">
        <f>VLOOKUP(G17,calculate_field!$B$2:$C$5,2,FALSE)</f>
        <v xml:space="preserve">Mist / cloudy </v>
      </c>
      <c r="P17" s="12" t="str">
        <f t="shared" si="0"/>
        <v>Saturday</v>
      </c>
      <c r="Q17" s="12" t="str">
        <f t="shared" si="1"/>
        <v>Weekend</v>
      </c>
      <c r="R17" s="12" t="str">
        <f t="shared" si="2"/>
        <v>Afternoon</v>
      </c>
      <c r="S17" s="28" t="str">
        <f>INDEX(calculate_field!$F$2:$F$4, MATCH(H17, calculate_field!$E$2:$E$4, 1))</f>
        <v>Warm</v>
      </c>
      <c r="T17" s="33">
        <f t="shared" si="3"/>
        <v>41.083333333333336</v>
      </c>
      <c r="U17" s="33">
        <f t="shared" si="4"/>
        <v>32.433097248049705</v>
      </c>
      <c r="V17" s="33">
        <f t="shared" si="5"/>
        <v>0.70986936681257506</v>
      </c>
      <c r="W17" s="12" t="b">
        <f t="shared" si="6"/>
        <v>0</v>
      </c>
    </row>
    <row r="18" spans="1:23">
      <c r="A18" s="26">
        <v>17</v>
      </c>
      <c r="B18" s="27">
        <v>40544</v>
      </c>
      <c r="C18" s="12">
        <v>1</v>
      </c>
      <c r="D18" s="12">
        <v>16</v>
      </c>
      <c r="E18" s="12" t="b">
        <v>0</v>
      </c>
      <c r="F18" s="12">
        <v>6</v>
      </c>
      <c r="G18" s="12">
        <v>2</v>
      </c>
      <c r="H18" s="12">
        <v>0.42</v>
      </c>
      <c r="I18" s="12">
        <v>0.42420000000000002</v>
      </c>
      <c r="J18" s="12">
        <v>0.82</v>
      </c>
      <c r="K18" s="12">
        <v>0.29849999999999999</v>
      </c>
      <c r="L18" s="12">
        <v>41</v>
      </c>
      <c r="M18" s="12">
        <v>52</v>
      </c>
      <c r="N18" s="12">
        <v>93</v>
      </c>
      <c r="O18" s="12" t="str">
        <f>VLOOKUP(G18,calculate_field!$B$2:$C$5,2,FALSE)</f>
        <v xml:space="preserve">Mist / cloudy </v>
      </c>
      <c r="P18" s="12" t="str">
        <f t="shared" si="0"/>
        <v>Saturday</v>
      </c>
      <c r="Q18" s="12" t="str">
        <f t="shared" si="1"/>
        <v>Weekend</v>
      </c>
      <c r="R18" s="12" t="str">
        <f t="shared" si="2"/>
        <v>Afternoon</v>
      </c>
      <c r="S18" s="28" t="str">
        <f>INDEX(calculate_field!$F$2:$F$4, MATCH(H18, calculate_field!$E$2:$E$4, 1))</f>
        <v>Warm</v>
      </c>
      <c r="T18" s="33">
        <f t="shared" si="3"/>
        <v>39.666666666666664</v>
      </c>
      <c r="U18" s="33">
        <f t="shared" si="4"/>
        <v>29.938584478557271</v>
      </c>
      <c r="V18" s="33">
        <f t="shared" si="5"/>
        <v>0.57461652909909389</v>
      </c>
      <c r="W18" s="12" t="b">
        <f t="shared" si="6"/>
        <v>0</v>
      </c>
    </row>
    <row r="19" spans="1:23">
      <c r="A19" s="26">
        <v>18</v>
      </c>
      <c r="B19" s="27">
        <v>40544</v>
      </c>
      <c r="C19" s="12">
        <v>1</v>
      </c>
      <c r="D19" s="12">
        <v>17</v>
      </c>
      <c r="E19" s="12" t="b">
        <v>0</v>
      </c>
      <c r="F19" s="12">
        <v>6</v>
      </c>
      <c r="G19" s="12">
        <v>2</v>
      </c>
      <c r="H19" s="12">
        <v>0.44</v>
      </c>
      <c r="I19" s="12">
        <f>IF(I2="", _xlfn.MODE.SNGL($I$2:$I$1000), I2)</f>
        <v>0.28789999999999999</v>
      </c>
      <c r="J19" s="12">
        <v>0.82</v>
      </c>
      <c r="K19" s="12">
        <v>0.28360000000000002</v>
      </c>
      <c r="L19" s="12">
        <v>15</v>
      </c>
      <c r="M19" s="12">
        <v>52</v>
      </c>
      <c r="N19" s="12">
        <v>67</v>
      </c>
      <c r="O19" s="12" t="str">
        <f>VLOOKUP(G19,calculate_field!$B$2:$C$5,2,FALSE)</f>
        <v xml:space="preserve">Mist / cloudy </v>
      </c>
      <c r="P19" s="12" t="str">
        <f t="shared" si="0"/>
        <v>Saturday</v>
      </c>
      <c r="Q19" s="12" t="str">
        <f t="shared" si="1"/>
        <v>Weekend</v>
      </c>
      <c r="R19" s="12" t="str">
        <f t="shared" si="2"/>
        <v>Evening</v>
      </c>
      <c r="S19" s="28" t="str">
        <f>INDEX(calculate_field!$F$2:$F$4, MATCH(H19, calculate_field!$E$2:$E$4, 1))</f>
        <v>Warm</v>
      </c>
      <c r="T19" s="33">
        <f t="shared" si="3"/>
        <v>38.5</v>
      </c>
      <c r="U19" s="33">
        <f t="shared" si="4"/>
        <v>28.268895181499555</v>
      </c>
      <c r="V19" s="33">
        <f t="shared" si="5"/>
        <v>0.21050023032653659</v>
      </c>
      <c r="W19" s="12" t="b">
        <f t="shared" si="6"/>
        <v>0</v>
      </c>
    </row>
    <row r="20" spans="1:23">
      <c r="A20" s="26">
        <v>19</v>
      </c>
      <c r="B20" s="27">
        <v>40544</v>
      </c>
      <c r="C20" s="12">
        <v>1</v>
      </c>
      <c r="D20" s="12">
        <v>18</v>
      </c>
      <c r="E20" s="12" t="b">
        <v>0</v>
      </c>
      <c r="F20" s="12">
        <v>6</v>
      </c>
      <c r="G20" s="12">
        <v>3</v>
      </c>
      <c r="H20" s="12">
        <v>0.42</v>
      </c>
      <c r="I20" s="12">
        <v>0.42420000000000002</v>
      </c>
      <c r="J20" s="12">
        <v>0.88</v>
      </c>
      <c r="K20" s="12">
        <v>0.25369999999999998</v>
      </c>
      <c r="L20" s="12">
        <v>9</v>
      </c>
      <c r="M20" s="12">
        <v>26</v>
      </c>
      <c r="N20" s="12">
        <v>35</v>
      </c>
      <c r="O20" s="12" t="str">
        <f>VLOOKUP(G20,calculate_field!$B$2:$C$5,2,FALSE)</f>
        <v xml:space="preserve">Light Snow / Rain </v>
      </c>
      <c r="P20" s="12" t="str">
        <f t="shared" si="0"/>
        <v>Saturday</v>
      </c>
      <c r="Q20" s="12" t="str">
        <f t="shared" si="1"/>
        <v>Weekend</v>
      </c>
      <c r="R20" s="12" t="str">
        <f t="shared" si="2"/>
        <v>Evening</v>
      </c>
      <c r="S20" s="28" t="str">
        <f>INDEX(calculate_field!$F$2:$F$4, MATCH(H20, calculate_field!$E$2:$E$4, 1))</f>
        <v>Warm</v>
      </c>
      <c r="T20" s="33">
        <f t="shared" si="3"/>
        <v>37.916666666666664</v>
      </c>
      <c r="U20" s="33">
        <f t="shared" si="4"/>
        <v>27.795709188206772</v>
      </c>
      <c r="V20" s="33">
        <f t="shared" si="5"/>
        <v>-8.0599676449082808E-2</v>
      </c>
      <c r="W20" s="12" t="b">
        <f t="shared" si="6"/>
        <v>0</v>
      </c>
    </row>
    <row r="21" spans="1:23">
      <c r="A21" s="26">
        <v>20</v>
      </c>
      <c r="B21" s="27">
        <v>40544</v>
      </c>
      <c r="C21" s="12">
        <v>1</v>
      </c>
      <c r="D21" s="12">
        <v>19</v>
      </c>
      <c r="E21" s="12" t="b">
        <v>0</v>
      </c>
      <c r="F21" s="12">
        <v>6</v>
      </c>
      <c r="G21" s="12">
        <v>3</v>
      </c>
      <c r="H21" s="12">
        <v>0.42</v>
      </c>
      <c r="I21" s="12">
        <v>0.42420000000000002</v>
      </c>
      <c r="J21" s="12">
        <v>0.88</v>
      </c>
      <c r="K21" s="12">
        <v>0.25369999999999998</v>
      </c>
      <c r="L21" s="12">
        <v>6</v>
      </c>
      <c r="M21" s="12">
        <v>31</v>
      </c>
      <c r="N21" s="12">
        <v>37</v>
      </c>
      <c r="O21" s="12" t="str">
        <f>VLOOKUP(G21,calculate_field!$B$2:$C$5,2,FALSE)</f>
        <v xml:space="preserve">Light Snow / Rain </v>
      </c>
      <c r="P21" s="12" t="str">
        <f t="shared" si="0"/>
        <v>Saturday</v>
      </c>
      <c r="Q21" s="12" t="str">
        <f t="shared" si="1"/>
        <v>Weekend</v>
      </c>
      <c r="R21" s="12" t="str">
        <f t="shared" si="2"/>
        <v>Evening</v>
      </c>
      <c r="S21" s="28" t="str">
        <f>INDEX(calculate_field!$F$2:$F$4, MATCH(H21, calculate_field!$E$2:$E$4, 1))</f>
        <v>Warm</v>
      </c>
      <c r="T21" s="33">
        <f t="shared" si="3"/>
        <v>37.708333333333336</v>
      </c>
      <c r="U21" s="33">
        <f t="shared" si="4"/>
        <v>27.837227446066862</v>
      </c>
      <c r="V21" s="33">
        <f t="shared" si="5"/>
        <v>-0.55300621456237631</v>
      </c>
      <c r="W21" s="12" t="b">
        <f t="shared" si="6"/>
        <v>0</v>
      </c>
    </row>
    <row r="22" spans="1:23">
      <c r="A22" s="26">
        <v>21</v>
      </c>
      <c r="B22" s="27">
        <v>40544</v>
      </c>
      <c r="C22" s="12">
        <v>1</v>
      </c>
      <c r="D22" s="12">
        <v>20</v>
      </c>
      <c r="E22" s="12" t="b">
        <v>0</v>
      </c>
      <c r="F22" s="12">
        <v>6</v>
      </c>
      <c r="G22" s="12">
        <v>2</v>
      </c>
      <c r="H22" s="12">
        <v>0.4</v>
      </c>
      <c r="I22" s="12">
        <v>0.40910000000000002</v>
      </c>
      <c r="J22" s="12">
        <v>0.87</v>
      </c>
      <c r="K22" s="12">
        <v>0.25369999999999998</v>
      </c>
      <c r="L22" s="12">
        <v>11</v>
      </c>
      <c r="M22" s="12">
        <v>25</v>
      </c>
      <c r="N22" s="12">
        <v>36</v>
      </c>
      <c r="O22" s="12" t="str">
        <f>VLOOKUP(G22,calculate_field!$B$2:$C$5,2,FALSE)</f>
        <v xml:space="preserve">Mist / cloudy </v>
      </c>
      <c r="P22" s="12" t="str">
        <f t="shared" si="0"/>
        <v>Saturday</v>
      </c>
      <c r="Q22" s="12" t="str">
        <f t="shared" si="1"/>
        <v>Weekend</v>
      </c>
      <c r="R22" s="12" t="str">
        <f t="shared" si="2"/>
        <v>Evening</v>
      </c>
      <c r="S22" s="28" t="str">
        <f>INDEX(calculate_field!$F$2:$F$4, MATCH(H22, calculate_field!$E$2:$E$4, 1))</f>
        <v>Warm</v>
      </c>
      <c r="T22" s="33">
        <f t="shared" si="3"/>
        <v>37.083333333333336</v>
      </c>
      <c r="U22" s="33">
        <f t="shared" si="4"/>
        <v>28.021601398341538</v>
      </c>
      <c r="V22" s="33">
        <f t="shared" si="5"/>
        <v>-0.74140500197267778</v>
      </c>
      <c r="W22" s="12" t="b">
        <f t="shared" si="6"/>
        <v>0</v>
      </c>
    </row>
    <row r="23" spans="1:23">
      <c r="A23" s="26">
        <v>22</v>
      </c>
      <c r="B23" s="27">
        <v>40544</v>
      </c>
      <c r="C23" s="12">
        <v>1</v>
      </c>
      <c r="D23" s="12">
        <v>21</v>
      </c>
      <c r="E23" s="12" t="b">
        <v>0</v>
      </c>
      <c r="F23" s="12">
        <v>6</v>
      </c>
      <c r="G23" s="12">
        <v>2</v>
      </c>
      <c r="H23" s="12">
        <v>0.4</v>
      </c>
      <c r="I23" s="12">
        <v>0.40910000000000002</v>
      </c>
      <c r="J23" s="12">
        <v>0.87</v>
      </c>
      <c r="K23" s="12">
        <v>0.19400000000000001</v>
      </c>
      <c r="L23" s="12">
        <v>3</v>
      </c>
      <c r="M23" s="12">
        <v>31</v>
      </c>
      <c r="N23" s="12">
        <v>34</v>
      </c>
      <c r="O23" s="12" t="str">
        <f>VLOOKUP(G23,calculate_field!$B$2:$C$5,2,FALSE)</f>
        <v xml:space="preserve">Mist / cloudy </v>
      </c>
      <c r="P23" s="12" t="str">
        <f t="shared" si="0"/>
        <v>Saturday</v>
      </c>
      <c r="Q23" s="12" t="str">
        <f t="shared" si="1"/>
        <v>Weekend</v>
      </c>
      <c r="R23" s="12" t="str">
        <f t="shared" si="2"/>
        <v>Night</v>
      </c>
      <c r="S23" s="28" t="str">
        <f>INDEX(calculate_field!$F$2:$F$4, MATCH(H23, calculate_field!$E$2:$E$4, 1))</f>
        <v>Warm</v>
      </c>
      <c r="T23" s="33">
        <f t="shared" si="3"/>
        <v>36.875</v>
      </c>
      <c r="U23" s="33">
        <f t="shared" si="4"/>
        <v>28.048579751690752</v>
      </c>
      <c r="V23" s="33">
        <f t="shared" si="5"/>
        <v>-0.55249160048864354</v>
      </c>
      <c r="W23" s="12" t="b">
        <f t="shared" si="6"/>
        <v>0</v>
      </c>
    </row>
    <row r="24" spans="1:23">
      <c r="A24" s="26">
        <v>23</v>
      </c>
      <c r="B24" s="27">
        <v>40544</v>
      </c>
      <c r="C24" s="12">
        <v>1</v>
      </c>
      <c r="D24" s="12">
        <v>22</v>
      </c>
      <c r="E24" s="12" t="b">
        <v>0</v>
      </c>
      <c r="F24" s="12">
        <v>6</v>
      </c>
      <c r="G24" s="12">
        <v>2</v>
      </c>
      <c r="H24" s="12">
        <v>0.4</v>
      </c>
      <c r="I24" s="12">
        <v>0.40910000000000002</v>
      </c>
      <c r="J24" s="12">
        <v>0.94</v>
      </c>
      <c r="K24" s="12">
        <v>0.22389999999999999</v>
      </c>
      <c r="L24" s="12">
        <v>11</v>
      </c>
      <c r="M24" s="12">
        <v>17</v>
      </c>
      <c r="N24" s="12">
        <v>28</v>
      </c>
      <c r="O24" s="12" t="str">
        <f>VLOOKUP(G24,calculate_field!$B$2:$C$5,2,FALSE)</f>
        <v xml:space="preserve">Mist / cloudy </v>
      </c>
      <c r="P24" s="12" t="str">
        <f t="shared" si="0"/>
        <v>Saturday</v>
      </c>
      <c r="Q24" s="12" t="str">
        <f t="shared" si="1"/>
        <v>Weekend</v>
      </c>
      <c r="R24" s="12" t="str">
        <f t="shared" si="2"/>
        <v>Night</v>
      </c>
      <c r="S24" s="28" t="str">
        <f>INDEX(calculate_field!$F$2:$F$4, MATCH(H24, calculate_field!$E$2:$E$4, 1))</f>
        <v>Warm</v>
      </c>
      <c r="T24" s="33">
        <f t="shared" si="3"/>
        <v>35.833333333333336</v>
      </c>
      <c r="U24" s="33">
        <f t="shared" si="4"/>
        <v>28.618429250285963</v>
      </c>
      <c r="V24" s="33">
        <f t="shared" si="5"/>
        <v>-0.97889467908563599</v>
      </c>
      <c r="W24" s="12" t="b">
        <f t="shared" si="6"/>
        <v>0</v>
      </c>
    </row>
    <row r="25" spans="1:23">
      <c r="A25" s="26">
        <v>24</v>
      </c>
      <c r="B25" s="27">
        <v>40544</v>
      </c>
      <c r="C25" s="12">
        <v>1</v>
      </c>
      <c r="D25" s="12">
        <v>23</v>
      </c>
      <c r="E25" s="12" t="b">
        <v>0</v>
      </c>
      <c r="F25" s="12">
        <v>6</v>
      </c>
      <c r="G25" s="12">
        <v>2</v>
      </c>
      <c r="H25" s="12">
        <v>0.46</v>
      </c>
      <c r="I25" s="12">
        <f>IF(I8="", _xlfn.MODE.SNGL($I$2:$I$1000), I8)</f>
        <v>0.2727</v>
      </c>
      <c r="J25" s="12">
        <v>0.88</v>
      </c>
      <c r="K25" s="12">
        <v>0.29849999999999999</v>
      </c>
      <c r="L25" s="12">
        <v>15</v>
      </c>
      <c r="M25" s="12">
        <v>24</v>
      </c>
      <c r="N25" s="12">
        <v>39</v>
      </c>
      <c r="O25" s="12" t="str">
        <f>VLOOKUP(G25,calculate_field!$B$2:$C$5,2,FALSE)</f>
        <v xml:space="preserve">Mist / cloudy </v>
      </c>
      <c r="P25" s="12" t="str">
        <f t="shared" si="0"/>
        <v>Saturday</v>
      </c>
      <c r="Q25" s="12" t="str">
        <f t="shared" si="1"/>
        <v>Weekend</v>
      </c>
      <c r="R25" s="12" t="str">
        <f t="shared" si="2"/>
        <v>Night</v>
      </c>
      <c r="S25" s="28" t="str">
        <f>INDEX(calculate_field!$F$2:$F$4, MATCH(H25, calculate_field!$E$2:$E$4, 1))</f>
        <v>Warm</v>
      </c>
      <c r="T25" s="33">
        <f t="shared" si="3"/>
        <v>35</v>
      </c>
      <c r="U25" s="33">
        <f t="shared" si="4"/>
        <v>29.142826695879844</v>
      </c>
      <c r="V25" s="33">
        <f t="shared" si="5"/>
        <v>-0.99233610339842293</v>
      </c>
      <c r="W25" s="12" t="b">
        <f t="shared" si="6"/>
        <v>0</v>
      </c>
    </row>
    <row r="26" spans="1:23">
      <c r="A26" s="26">
        <v>25</v>
      </c>
      <c r="B26" s="27">
        <v>40545</v>
      </c>
      <c r="C26" s="12">
        <v>1</v>
      </c>
      <c r="D26" s="12">
        <v>0</v>
      </c>
      <c r="E26" s="12" t="b">
        <v>0</v>
      </c>
      <c r="F26" s="12">
        <v>0</v>
      </c>
      <c r="G26" s="12">
        <v>2</v>
      </c>
      <c r="H26" s="12">
        <v>0.46</v>
      </c>
      <c r="I26" s="12">
        <v>0.45450000000000002</v>
      </c>
      <c r="J26" s="12">
        <v>0.88</v>
      </c>
      <c r="K26" s="12">
        <v>0.29849999999999999</v>
      </c>
      <c r="L26" s="12">
        <v>4</v>
      </c>
      <c r="M26" s="12">
        <v>13</v>
      </c>
      <c r="N26" s="12">
        <v>17</v>
      </c>
      <c r="O26" s="12" t="str">
        <f>VLOOKUP(G26,calculate_field!$B$2:$C$5,2,FALSE)</f>
        <v xml:space="preserve">Mist / cloudy </v>
      </c>
      <c r="P26" s="12" t="str">
        <f t="shared" si="0"/>
        <v>Sunday</v>
      </c>
      <c r="Q26" s="12" t="str">
        <f t="shared" si="1"/>
        <v>Weekend</v>
      </c>
      <c r="R26" s="12" t="str">
        <f t="shared" si="2"/>
        <v>Night</v>
      </c>
      <c r="S26" s="28" t="str">
        <f>INDEX(calculate_field!$F$2:$F$4, MATCH(H26, calculate_field!$E$2:$E$4, 1))</f>
        <v>Warm</v>
      </c>
      <c r="T26" s="33">
        <f t="shared" si="3"/>
        <v>33.583333333333336</v>
      </c>
      <c r="U26" s="33">
        <f t="shared" si="4"/>
        <v>29.759787088220772</v>
      </c>
      <c r="V26" s="33">
        <f t="shared" si="5"/>
        <v>-1.0425127217859353</v>
      </c>
      <c r="W26" s="12" t="b">
        <f t="shared" si="6"/>
        <v>0</v>
      </c>
    </row>
    <row r="27" spans="1:23">
      <c r="A27" s="26">
        <v>26</v>
      </c>
      <c r="B27" s="27">
        <v>40545</v>
      </c>
      <c r="C27" s="12">
        <v>1</v>
      </c>
      <c r="D27" s="12">
        <v>1</v>
      </c>
      <c r="E27" s="12" t="b">
        <v>0</v>
      </c>
      <c r="F27" s="12">
        <v>0</v>
      </c>
      <c r="G27" s="12">
        <v>2</v>
      </c>
      <c r="H27" s="12">
        <v>0.44</v>
      </c>
      <c r="I27" s="12">
        <v>0.43940000000000001</v>
      </c>
      <c r="J27" s="12">
        <v>0.94</v>
      </c>
      <c r="K27" s="12">
        <v>0.25369999999999998</v>
      </c>
      <c r="L27" s="12">
        <v>1</v>
      </c>
      <c r="M27" s="12">
        <v>16</v>
      </c>
      <c r="N27" s="12">
        <v>17</v>
      </c>
      <c r="O27" s="12" t="str">
        <f>VLOOKUP(G27,calculate_field!$B$2:$C$5,2,FALSE)</f>
        <v xml:space="preserve">Mist / cloudy </v>
      </c>
      <c r="P27" s="12" t="str">
        <f t="shared" si="0"/>
        <v>Sunday</v>
      </c>
      <c r="Q27" s="12" t="str">
        <f t="shared" si="1"/>
        <v>Weekend</v>
      </c>
      <c r="R27" s="12" t="str">
        <f t="shared" si="2"/>
        <v>Night</v>
      </c>
      <c r="S27" s="28" t="str">
        <f>INDEX(calculate_field!$F$2:$F$4, MATCH(H27, calculate_field!$E$2:$E$4, 1))</f>
        <v>Warm</v>
      </c>
      <c r="T27" s="33">
        <f t="shared" si="3"/>
        <v>32.958333333333336</v>
      </c>
      <c r="U27" s="33">
        <f t="shared" si="4"/>
        <v>30.276234282335057</v>
      </c>
      <c r="V27" s="33">
        <f t="shared" si="5"/>
        <v>-1.0957045988994405</v>
      </c>
      <c r="W27" s="12" t="b">
        <f t="shared" si="6"/>
        <v>0</v>
      </c>
    </row>
    <row r="28" spans="1:23">
      <c r="A28" s="26">
        <v>27</v>
      </c>
      <c r="B28" s="27">
        <v>40545</v>
      </c>
      <c r="C28" s="12">
        <v>1</v>
      </c>
      <c r="D28" s="12">
        <v>2</v>
      </c>
      <c r="E28" s="12" t="b">
        <v>0</v>
      </c>
      <c r="F28" s="12">
        <v>0</v>
      </c>
      <c r="G28" s="12">
        <v>2</v>
      </c>
      <c r="H28" s="12">
        <v>0.42</v>
      </c>
      <c r="I28" s="12">
        <v>0.42420000000000002</v>
      </c>
      <c r="J28" s="12">
        <v>1</v>
      </c>
      <c r="K28" s="12">
        <v>0.28360000000000002</v>
      </c>
      <c r="L28" s="12">
        <v>1</v>
      </c>
      <c r="M28" s="12">
        <v>8</v>
      </c>
      <c r="N28" s="12">
        <v>9</v>
      </c>
      <c r="O28" s="12" t="str">
        <f>VLOOKUP(G28,calculate_field!$B$2:$C$5,2,FALSE)</f>
        <v xml:space="preserve">Mist / cloudy </v>
      </c>
      <c r="P28" s="12" t="str">
        <f t="shared" si="0"/>
        <v>Sunday</v>
      </c>
      <c r="Q28" s="12" t="str">
        <f t="shared" si="1"/>
        <v>Weekend</v>
      </c>
      <c r="R28" s="12" t="str">
        <f t="shared" si="2"/>
        <v>Night</v>
      </c>
      <c r="S28" s="28" t="str">
        <f>INDEX(calculate_field!$F$2:$F$4, MATCH(H28, calculate_field!$E$2:$E$4, 1))</f>
        <v>Warm</v>
      </c>
      <c r="T28" s="33">
        <f t="shared" si="3"/>
        <v>32.291666666666664</v>
      </c>
      <c r="U28" s="33">
        <f t="shared" si="4"/>
        <v>30.814281226993302</v>
      </c>
      <c r="V28" s="33">
        <f t="shared" si="5"/>
        <v>-1.115870941210473</v>
      </c>
      <c r="W28" s="12" t="b">
        <f t="shared" si="6"/>
        <v>0</v>
      </c>
    </row>
    <row r="29" spans="1:23">
      <c r="A29" s="26">
        <v>28</v>
      </c>
      <c r="B29" s="27">
        <v>40545</v>
      </c>
      <c r="C29" s="12">
        <v>1</v>
      </c>
      <c r="D29" s="12">
        <v>3</v>
      </c>
      <c r="E29" s="12" t="b">
        <v>0</v>
      </c>
      <c r="F29" s="12">
        <v>0</v>
      </c>
      <c r="G29" s="12">
        <v>2</v>
      </c>
      <c r="H29" s="12">
        <v>0.46</v>
      </c>
      <c r="I29" s="12">
        <v>0.45450000000000002</v>
      </c>
      <c r="J29" s="12">
        <v>0.94</v>
      </c>
      <c r="K29" s="12">
        <v>0.19400000000000001</v>
      </c>
      <c r="L29" s="12">
        <v>2</v>
      </c>
      <c r="M29" s="12">
        <v>4</v>
      </c>
      <c r="N29" s="12">
        <v>6</v>
      </c>
      <c r="O29" s="12" t="str">
        <f>VLOOKUP(G29,calculate_field!$B$2:$C$5,2,FALSE)</f>
        <v xml:space="preserve">Mist / cloudy </v>
      </c>
      <c r="P29" s="12" t="str">
        <f t="shared" si="0"/>
        <v>Sunday</v>
      </c>
      <c r="Q29" s="12" t="str">
        <f t="shared" si="1"/>
        <v>Weekend</v>
      </c>
      <c r="R29" s="12" t="str">
        <f t="shared" si="2"/>
        <v>Night</v>
      </c>
      <c r="S29" s="28" t="str">
        <f>INDEX(calculate_field!$F$2:$F$4, MATCH(H29, calculate_field!$E$2:$E$4, 1))</f>
        <v>Warm</v>
      </c>
      <c r="T29" s="33">
        <f t="shared" si="3"/>
        <v>32.041666666666664</v>
      </c>
      <c r="U29" s="33">
        <f t="shared" si="4"/>
        <v>31.035014120333106</v>
      </c>
      <c r="V29" s="33">
        <f t="shared" si="5"/>
        <v>-1.0811544206753694</v>
      </c>
      <c r="W29" s="12" t="b">
        <f t="shared" si="6"/>
        <v>0</v>
      </c>
    </row>
    <row r="30" spans="1:23">
      <c r="A30" s="26">
        <v>29</v>
      </c>
      <c r="B30" s="27">
        <v>40545</v>
      </c>
      <c r="C30" s="12">
        <v>1</v>
      </c>
      <c r="D30" s="12">
        <v>4</v>
      </c>
      <c r="E30" s="12" t="b">
        <v>0</v>
      </c>
      <c r="F30" s="12">
        <v>0</v>
      </c>
      <c r="G30" s="12">
        <v>2</v>
      </c>
      <c r="H30" s="12">
        <v>0.46</v>
      </c>
      <c r="I30" s="12">
        <f>IF(I13="", _xlfn.MODE.SNGL($I$2:$I$1000), I13)</f>
        <v>0.33329999999999999</v>
      </c>
      <c r="J30" s="12">
        <v>0.94</v>
      </c>
      <c r="K30" s="12">
        <v>0.19400000000000001</v>
      </c>
      <c r="L30" s="12">
        <v>2</v>
      </c>
      <c r="M30" s="12">
        <v>1</v>
      </c>
      <c r="N30" s="12">
        <v>3</v>
      </c>
      <c r="O30" s="12" t="str">
        <f>VLOOKUP(G30,calculate_field!$B$2:$C$5,2,FALSE)</f>
        <v xml:space="preserve">Mist / cloudy </v>
      </c>
      <c r="P30" s="12" t="str">
        <f t="shared" si="0"/>
        <v>Sunday</v>
      </c>
      <c r="Q30" s="12" t="str">
        <f t="shared" si="1"/>
        <v>Weekend</v>
      </c>
      <c r="R30" s="12" t="str">
        <f t="shared" si="2"/>
        <v>Night</v>
      </c>
      <c r="S30" s="28" t="str">
        <f>INDEX(calculate_field!$F$2:$F$4, MATCH(H30, calculate_field!$E$2:$E$4, 1))</f>
        <v>Warm</v>
      </c>
      <c r="T30" s="33">
        <f t="shared" si="3"/>
        <v>33.041666666666664</v>
      </c>
      <c r="U30" s="33">
        <f t="shared" si="4"/>
        <v>30.542172079967049</v>
      </c>
      <c r="V30" s="33">
        <f t="shared" si="5"/>
        <v>-0.57577218134374486</v>
      </c>
      <c r="W30" s="12" t="b">
        <f t="shared" si="6"/>
        <v>0</v>
      </c>
    </row>
    <row r="31" spans="1:23">
      <c r="A31" s="26">
        <v>30</v>
      </c>
      <c r="B31" s="27">
        <v>40545</v>
      </c>
      <c r="C31" s="12">
        <v>1</v>
      </c>
      <c r="D31" s="12">
        <v>6</v>
      </c>
      <c r="E31" s="12" t="b">
        <v>0</v>
      </c>
      <c r="F31" s="12">
        <v>0</v>
      </c>
      <c r="G31" s="12">
        <v>3</v>
      </c>
      <c r="H31" s="12">
        <v>0.42</v>
      </c>
      <c r="I31" s="12">
        <v>0.42420000000000002</v>
      </c>
      <c r="J31" s="12">
        <v>0.77</v>
      </c>
      <c r="K31" s="12">
        <v>0.29849999999999999</v>
      </c>
      <c r="L31" s="12">
        <v>0</v>
      </c>
      <c r="M31" s="12">
        <v>2</v>
      </c>
      <c r="N31" s="12">
        <v>2</v>
      </c>
      <c r="O31" s="12" t="str">
        <f>VLOOKUP(G31,calculate_field!$B$2:$C$5,2,FALSE)</f>
        <v xml:space="preserve">Light Snow / Rain </v>
      </c>
      <c r="P31" s="12" t="str">
        <f t="shared" si="0"/>
        <v>Sunday</v>
      </c>
      <c r="Q31" s="12" t="str">
        <f t="shared" si="1"/>
        <v>Weekend</v>
      </c>
      <c r="R31" s="12" t="str">
        <f t="shared" si="2"/>
        <v>Morning</v>
      </c>
      <c r="S31" s="28" t="str">
        <f>INDEX(calculate_field!$F$2:$F$4, MATCH(H31, calculate_field!$E$2:$E$4, 1))</f>
        <v>Warm</v>
      </c>
      <c r="T31" s="33">
        <f t="shared" si="3"/>
        <v>35.583333333333336</v>
      </c>
      <c r="U31" s="33">
        <f t="shared" si="4"/>
        <v>30.471535779373234</v>
      </c>
      <c r="V31" s="33">
        <f t="shared" si="5"/>
        <v>7.2159446850210349E-2</v>
      </c>
      <c r="W31" s="12" t="b">
        <f t="shared" si="6"/>
        <v>0</v>
      </c>
    </row>
    <row r="32" spans="1:23">
      <c r="A32" s="26">
        <v>31</v>
      </c>
      <c r="B32" s="27">
        <v>40545</v>
      </c>
      <c r="C32" s="12">
        <v>1</v>
      </c>
      <c r="D32" s="12">
        <v>7</v>
      </c>
      <c r="E32" s="12" t="b">
        <v>0</v>
      </c>
      <c r="F32" s="12">
        <v>0</v>
      </c>
      <c r="G32" s="12">
        <v>2</v>
      </c>
      <c r="H32" s="12">
        <v>0.4</v>
      </c>
      <c r="I32" s="12">
        <v>0.40910000000000002</v>
      </c>
      <c r="J32" s="12">
        <v>0.76</v>
      </c>
      <c r="K32" s="12">
        <v>0.19400000000000001</v>
      </c>
      <c r="L32" s="12">
        <v>0</v>
      </c>
      <c r="M32" s="12">
        <v>1</v>
      </c>
      <c r="N32" s="12">
        <v>1</v>
      </c>
      <c r="O32" s="12" t="str">
        <f>VLOOKUP(G32,calculate_field!$B$2:$C$5,2,FALSE)</f>
        <v xml:space="preserve">Mist / cloudy </v>
      </c>
      <c r="P32" s="12" t="str">
        <f t="shared" si="0"/>
        <v>Sunday</v>
      </c>
      <c r="Q32" s="12" t="str">
        <f t="shared" si="1"/>
        <v>Weekend</v>
      </c>
      <c r="R32" s="12" t="str">
        <f t="shared" si="2"/>
        <v>Morning</v>
      </c>
      <c r="S32" s="28" t="str">
        <f>INDEX(calculate_field!$F$2:$F$4, MATCH(H32, calculate_field!$E$2:$E$4, 1))</f>
        <v>Warm</v>
      </c>
      <c r="T32" s="33">
        <f t="shared" si="3"/>
        <v>41.916666666666664</v>
      </c>
      <c r="U32" s="33">
        <f t="shared" si="4"/>
        <v>38.043358177864313</v>
      </c>
      <c r="V32" s="33">
        <f t="shared" si="5"/>
        <v>1.6364037313631317</v>
      </c>
      <c r="W32" s="12" t="b">
        <f t="shared" si="6"/>
        <v>0</v>
      </c>
    </row>
    <row r="33" spans="1:23">
      <c r="A33" s="26">
        <v>32</v>
      </c>
      <c r="B33" s="27">
        <v>40545</v>
      </c>
      <c r="C33" s="12">
        <v>1</v>
      </c>
      <c r="D33" s="12">
        <v>8</v>
      </c>
      <c r="E33" s="12" t="b">
        <v>0</v>
      </c>
      <c r="F33" s="12">
        <v>0</v>
      </c>
      <c r="G33" s="12">
        <v>3</v>
      </c>
      <c r="H33" s="12">
        <v>0.4</v>
      </c>
      <c r="I33" s="12">
        <v>0.40910000000000002</v>
      </c>
      <c r="J33" s="12">
        <v>0.71</v>
      </c>
      <c r="K33" s="12">
        <v>0.22389999999999999</v>
      </c>
      <c r="L33" s="12">
        <v>0</v>
      </c>
      <c r="M33" s="12">
        <v>8</v>
      </c>
      <c r="N33" s="12">
        <v>8</v>
      </c>
      <c r="O33" s="12" t="str">
        <f>VLOOKUP(G33,calculate_field!$B$2:$C$5,2,FALSE)</f>
        <v xml:space="preserve">Light Snow / Rain </v>
      </c>
      <c r="P33" s="12" t="str">
        <f t="shared" si="0"/>
        <v>Sunday</v>
      </c>
      <c r="Q33" s="12" t="str">
        <f t="shared" si="1"/>
        <v>Weekend</v>
      </c>
      <c r="R33" s="12" t="str">
        <f t="shared" si="2"/>
        <v>Morning</v>
      </c>
      <c r="S33" s="28" t="str">
        <f>INDEX(calculate_field!$F$2:$F$4, MATCH(H33, calculate_field!$E$2:$E$4, 1))</f>
        <v>Warm</v>
      </c>
      <c r="T33" s="33">
        <f t="shared" si="3"/>
        <v>45.541666666666664</v>
      </c>
      <c r="U33" s="33">
        <f t="shared" si="4"/>
        <v>38.119924228523935</v>
      </c>
      <c r="V33" s="33">
        <f t="shared" si="5"/>
        <v>0.48541941621227064</v>
      </c>
      <c r="W33" s="12" t="b">
        <f t="shared" si="6"/>
        <v>0</v>
      </c>
    </row>
    <row r="34" spans="1:23">
      <c r="A34" s="26">
        <v>33</v>
      </c>
      <c r="B34" s="27">
        <v>40545</v>
      </c>
      <c r="C34" s="12">
        <v>1</v>
      </c>
      <c r="D34" s="12">
        <v>9</v>
      </c>
      <c r="E34" s="12" t="b">
        <v>0</v>
      </c>
      <c r="F34" s="12">
        <v>0</v>
      </c>
      <c r="G34" s="12">
        <v>2</v>
      </c>
      <c r="H34" s="12">
        <v>0.38</v>
      </c>
      <c r="I34" s="12">
        <f>IF(I17="", _xlfn.MODE.SNGL($I$2:$I$1000), I17)</f>
        <v>0.43940000000000001</v>
      </c>
      <c r="J34" s="12">
        <v>0.76</v>
      </c>
      <c r="K34" s="12">
        <v>0.22389999999999999</v>
      </c>
      <c r="L34" s="12">
        <v>1</v>
      </c>
      <c r="M34" s="12">
        <v>19</v>
      </c>
      <c r="N34" s="12">
        <v>20</v>
      </c>
      <c r="O34" s="12" t="str">
        <f>VLOOKUP(G34,calculate_field!$B$2:$C$5,2,FALSE)</f>
        <v xml:space="preserve">Mist / cloudy </v>
      </c>
      <c r="P34" s="12" t="str">
        <f t="shared" si="0"/>
        <v>Sunday</v>
      </c>
      <c r="Q34" s="12" t="str">
        <f t="shared" si="1"/>
        <v>Weekend</v>
      </c>
      <c r="R34" s="12" t="str">
        <f t="shared" ref="R34:R64" si="7">IF(D34&lt;6,"Night",IF(D34&lt;12,"Morning",IF(D34&lt;17,"Afternoon",IF(D34&lt;21,"Evening","Night"))))</f>
        <v>Morning</v>
      </c>
      <c r="S34" s="28" t="str">
        <f>INDEX(calculate_field!$F$2:$F$4, MATCH(H34, calculate_field!$E$2:$E$4, 1))</f>
        <v>Warm</v>
      </c>
      <c r="T34" s="33">
        <f t="shared" ref="T34:T65" si="8">AVERAGE(N34:N57)</f>
        <v>47.041666666666664</v>
      </c>
      <c r="U34" s="33">
        <f t="shared" si="4"/>
        <v>37.277431296402</v>
      </c>
      <c r="V34" s="33">
        <f t="shared" si="5"/>
        <v>-0.3338047942995569</v>
      </c>
      <c r="W34" s="12" t="b">
        <f t="shared" si="6"/>
        <v>0</v>
      </c>
    </row>
    <row r="35" spans="1:23">
      <c r="A35" s="26">
        <v>34</v>
      </c>
      <c r="B35" s="27">
        <v>40545</v>
      </c>
      <c r="C35" s="12">
        <v>1</v>
      </c>
      <c r="D35" s="12">
        <v>10</v>
      </c>
      <c r="E35" s="12" t="b">
        <v>0</v>
      </c>
      <c r="F35" s="12">
        <v>0</v>
      </c>
      <c r="G35" s="12">
        <v>2</v>
      </c>
      <c r="H35" s="12">
        <v>0.36</v>
      </c>
      <c r="I35" s="12">
        <v>0.34849999999999998</v>
      </c>
      <c r="J35" s="12">
        <v>0.81</v>
      </c>
      <c r="K35" s="12">
        <v>0.22389999999999999</v>
      </c>
      <c r="L35" s="12">
        <v>7</v>
      </c>
      <c r="M35" s="12">
        <v>46</v>
      </c>
      <c r="N35" s="12">
        <v>53</v>
      </c>
      <c r="O35" s="12" t="str">
        <f>VLOOKUP(G35,calculate_field!$B$2:$C$5,2,FALSE)</f>
        <v xml:space="preserve">Mist / cloudy </v>
      </c>
      <c r="P35" s="12" t="str">
        <f t="shared" si="0"/>
        <v>Sunday</v>
      </c>
      <c r="Q35" s="12" t="str">
        <f t="shared" si="1"/>
        <v>Weekend</v>
      </c>
      <c r="R35" s="12" t="str">
        <f t="shared" si="7"/>
        <v>Morning</v>
      </c>
      <c r="S35" s="28" t="str">
        <f>INDEX(calculate_field!$F$2:$F$4, MATCH(H35, calculate_field!$E$2:$E$4, 1))</f>
        <v>Warm</v>
      </c>
      <c r="T35" s="33">
        <f t="shared" si="8"/>
        <v>48.333333333333336</v>
      </c>
      <c r="U35" s="33">
        <f t="shared" si="4"/>
        <v>36.834136655939233</v>
      </c>
      <c r="V35" s="33">
        <f t="shared" si="5"/>
        <v>-0.20840556448728467</v>
      </c>
      <c r="W35" s="12" t="b">
        <f t="shared" si="6"/>
        <v>0</v>
      </c>
    </row>
    <row r="36" spans="1:23">
      <c r="A36" s="26">
        <v>35</v>
      </c>
      <c r="B36" s="27">
        <v>40545</v>
      </c>
      <c r="C36" s="12">
        <v>1</v>
      </c>
      <c r="D36" s="12">
        <v>11</v>
      </c>
      <c r="E36" s="12" t="b">
        <v>0</v>
      </c>
      <c r="F36" s="12">
        <v>0</v>
      </c>
      <c r="G36" s="12">
        <v>2</v>
      </c>
      <c r="H36" s="12">
        <v>0.36</v>
      </c>
      <c r="I36" s="12">
        <v>0.33329999999999999</v>
      </c>
      <c r="J36" s="12">
        <v>0.71</v>
      </c>
      <c r="K36" s="12">
        <v>0.25369999999999998</v>
      </c>
      <c r="L36" s="12">
        <v>16</v>
      </c>
      <c r="M36" s="12">
        <v>54</v>
      </c>
      <c r="N36" s="12">
        <v>70</v>
      </c>
      <c r="O36" s="12" t="str">
        <f>VLOOKUP(G36,calculate_field!$B$2:$C$5,2,FALSE)</f>
        <v xml:space="preserve">Mist / cloudy </v>
      </c>
      <c r="P36" s="12" t="str">
        <f t="shared" si="0"/>
        <v>Sunday</v>
      </c>
      <c r="Q36" s="12" t="str">
        <f t="shared" si="1"/>
        <v>Weekend</v>
      </c>
      <c r="R36" s="12" t="str">
        <f t="shared" si="7"/>
        <v>Morning</v>
      </c>
      <c r="S36" s="28" t="str">
        <f>INDEX(calculate_field!$F$2:$F$4, MATCH(H36, calculate_field!$E$2:$E$4, 1))</f>
        <v>Warm</v>
      </c>
      <c r="T36" s="33">
        <f t="shared" si="8"/>
        <v>48.666666666666664</v>
      </c>
      <c r="U36" s="33">
        <f t="shared" si="4"/>
        <v>36.914315199752345</v>
      </c>
      <c r="V36" s="33">
        <f t="shared" si="5"/>
        <v>-3.4970054289326598E-2</v>
      </c>
      <c r="W36" s="12" t="b">
        <f t="shared" si="6"/>
        <v>0</v>
      </c>
    </row>
    <row r="37" spans="1:23">
      <c r="A37" s="26">
        <v>36</v>
      </c>
      <c r="B37" s="27">
        <v>40545</v>
      </c>
      <c r="C37" s="12">
        <v>1</v>
      </c>
      <c r="D37" s="12">
        <v>12</v>
      </c>
      <c r="E37" s="12" t="b">
        <v>0</v>
      </c>
      <c r="F37" s="12">
        <v>0</v>
      </c>
      <c r="G37" s="12">
        <v>2</v>
      </c>
      <c r="H37" s="12">
        <v>0.36</v>
      </c>
      <c r="I37" s="12">
        <v>0.33329999999999999</v>
      </c>
      <c r="J37" s="12">
        <v>0.66</v>
      </c>
      <c r="K37" s="12">
        <v>0.29849999999999999</v>
      </c>
      <c r="L37" s="12">
        <v>20</v>
      </c>
      <c r="M37" s="12">
        <v>73</v>
      </c>
      <c r="N37" s="12">
        <v>93</v>
      </c>
      <c r="O37" s="12" t="str">
        <f>VLOOKUP(G37,calculate_field!$B$2:$C$5,2,FALSE)</f>
        <v xml:space="preserve">Mist / cloudy </v>
      </c>
      <c r="P37" s="12" t="str">
        <f t="shared" si="0"/>
        <v>Sunday</v>
      </c>
      <c r="Q37" s="12" t="str">
        <f t="shared" si="1"/>
        <v>Weekend</v>
      </c>
      <c r="R37" s="12" t="str">
        <f t="shared" si="7"/>
        <v>Afternoon</v>
      </c>
      <c r="S37" s="28" t="str">
        <f>INDEX(calculate_field!$F$2:$F$4, MATCH(H37, calculate_field!$E$2:$E$4, 1))</f>
        <v>Warm</v>
      </c>
      <c r="T37" s="33">
        <f t="shared" si="8"/>
        <v>48.291666666666664</v>
      </c>
      <c r="U37" s="33">
        <f t="shared" si="4"/>
        <v>36.733445448157376</v>
      </c>
      <c r="V37" s="33">
        <f t="shared" si="5"/>
        <v>-6.3663170434079708E-2</v>
      </c>
      <c r="W37" s="12" t="b">
        <f t="shared" si="6"/>
        <v>0</v>
      </c>
    </row>
    <row r="38" spans="1:23">
      <c r="A38" s="26">
        <v>37</v>
      </c>
      <c r="B38" s="27">
        <v>40545</v>
      </c>
      <c r="C38" s="12">
        <v>1</v>
      </c>
      <c r="D38" s="12">
        <v>13</v>
      </c>
      <c r="E38" s="12" t="b">
        <v>0</v>
      </c>
      <c r="F38" s="12">
        <v>0</v>
      </c>
      <c r="G38" s="12">
        <v>2</v>
      </c>
      <c r="H38" s="12">
        <v>0.36</v>
      </c>
      <c r="I38" s="12">
        <v>0.34849999999999998</v>
      </c>
      <c r="J38" s="12">
        <v>0.66</v>
      </c>
      <c r="K38" s="12">
        <v>0.1343</v>
      </c>
      <c r="L38" s="12">
        <v>11</v>
      </c>
      <c r="M38" s="12">
        <v>64</v>
      </c>
      <c r="N38" s="12">
        <v>75</v>
      </c>
      <c r="O38" s="12" t="str">
        <f>VLOOKUP(G38,calculate_field!$B$2:$C$5,2,FALSE)</f>
        <v xml:space="preserve">Mist / cloudy </v>
      </c>
      <c r="P38" s="12" t="str">
        <f t="shared" si="0"/>
        <v>Sunday</v>
      </c>
      <c r="Q38" s="12" t="str">
        <f t="shared" si="1"/>
        <v>Weekend</v>
      </c>
      <c r="R38" s="12" t="str">
        <f t="shared" si="7"/>
        <v>Afternoon</v>
      </c>
      <c r="S38" s="28" t="str">
        <f>INDEX(calculate_field!$F$2:$F$4, MATCH(H38, calculate_field!$E$2:$E$4, 1))</f>
        <v>Warm</v>
      </c>
      <c r="T38" s="33">
        <f t="shared" si="8"/>
        <v>47.625</v>
      </c>
      <c r="U38" s="33">
        <f t="shared" si="4"/>
        <v>36.025127100521047</v>
      </c>
      <c r="V38" s="33">
        <f t="shared" si="5"/>
        <v>0.2441949981521537</v>
      </c>
      <c r="W38" s="12" t="b">
        <f t="shared" si="6"/>
        <v>0</v>
      </c>
    </row>
    <row r="39" spans="1:23">
      <c r="A39" s="26">
        <v>38</v>
      </c>
      <c r="B39" s="27">
        <v>40545</v>
      </c>
      <c r="C39" s="12">
        <v>1</v>
      </c>
      <c r="D39" s="12">
        <v>14</v>
      </c>
      <c r="E39" s="12" t="b">
        <v>0</v>
      </c>
      <c r="F39" s="12">
        <v>0</v>
      </c>
      <c r="G39" s="12">
        <v>3</v>
      </c>
      <c r="H39" s="12">
        <v>0.36</v>
      </c>
      <c r="I39" s="12">
        <f>IF(I22="", _xlfn.MODE.SNGL($I$2:$I$1000), I22)</f>
        <v>0.40910000000000002</v>
      </c>
      <c r="J39" s="12">
        <v>0.76</v>
      </c>
      <c r="K39" s="12">
        <v>0.19400000000000001</v>
      </c>
      <c r="L39" s="12">
        <v>4</v>
      </c>
      <c r="M39" s="12">
        <v>55</v>
      </c>
      <c r="N39" s="12">
        <v>59</v>
      </c>
      <c r="O39" s="12" t="str">
        <f>VLOOKUP(G39,calculate_field!$B$2:$C$5,2,FALSE)</f>
        <v xml:space="preserve">Light Snow / Rain </v>
      </c>
      <c r="P39" s="12" t="str">
        <f t="shared" si="0"/>
        <v>Sunday</v>
      </c>
      <c r="Q39" s="12" t="str">
        <f t="shared" si="1"/>
        <v>Weekend</v>
      </c>
      <c r="R39" s="12" t="str">
        <f t="shared" si="7"/>
        <v>Afternoon</v>
      </c>
      <c r="S39" s="28" t="str">
        <f>INDEX(calculate_field!$F$2:$F$4, MATCH(H39, calculate_field!$E$2:$E$4, 1))</f>
        <v>Warm</v>
      </c>
      <c r="T39" s="33">
        <f t="shared" si="8"/>
        <v>47.5</v>
      </c>
      <c r="U39" s="33">
        <f t="shared" si="4"/>
        <v>35.931093474327632</v>
      </c>
      <c r="V39" s="33">
        <f t="shared" si="5"/>
        <v>0.15736651697288739</v>
      </c>
      <c r="W39" s="12" t="b">
        <f t="shared" si="6"/>
        <v>1</v>
      </c>
    </row>
    <row r="40" spans="1:23">
      <c r="A40" s="26">
        <v>39</v>
      </c>
      <c r="B40" s="27">
        <v>40545</v>
      </c>
      <c r="C40" s="12">
        <v>1</v>
      </c>
      <c r="D40" s="12">
        <v>15</v>
      </c>
      <c r="E40" s="12" t="b">
        <v>0</v>
      </c>
      <c r="F40" s="12">
        <v>0</v>
      </c>
      <c r="G40" s="12">
        <v>3</v>
      </c>
      <c r="H40" s="12">
        <v>0.34</v>
      </c>
      <c r="I40" s="12">
        <v>0.33329999999999999</v>
      </c>
      <c r="J40" s="12">
        <v>0.81</v>
      </c>
      <c r="K40" s="12">
        <v>0.16420000000000001</v>
      </c>
      <c r="L40" s="12">
        <v>19</v>
      </c>
      <c r="M40" s="12">
        <v>55</v>
      </c>
      <c r="N40" s="12">
        <v>74</v>
      </c>
      <c r="O40" s="12" t="str">
        <f>VLOOKUP(G40,calculate_field!$B$2:$C$5,2,FALSE)</f>
        <v xml:space="preserve">Light Snow / Rain </v>
      </c>
      <c r="P40" s="12" t="str">
        <f t="shared" si="0"/>
        <v>Sunday</v>
      </c>
      <c r="Q40" s="12" t="str">
        <f t="shared" si="1"/>
        <v>Weekend</v>
      </c>
      <c r="R40" s="12" t="str">
        <f t="shared" si="7"/>
        <v>Afternoon</v>
      </c>
      <c r="S40" s="28" t="str">
        <f>INDEX(calculate_field!$F$2:$F$4, MATCH(H40, calculate_field!$E$2:$E$4, 1))</f>
        <v>Warm</v>
      </c>
      <c r="T40" s="33">
        <f t="shared" si="8"/>
        <v>48.208333333333336</v>
      </c>
      <c r="U40" s="33">
        <f t="shared" si="4"/>
        <v>36.332975998774671</v>
      </c>
      <c r="V40" s="33">
        <f t="shared" si="5"/>
        <v>0.2254210675750925</v>
      </c>
      <c r="W40" s="12" t="b">
        <f t="shared" si="6"/>
        <v>0</v>
      </c>
    </row>
    <row r="41" spans="1:23">
      <c r="A41" s="26">
        <v>40</v>
      </c>
      <c r="B41" s="27">
        <v>40545</v>
      </c>
      <c r="C41" s="12">
        <v>1</v>
      </c>
      <c r="D41" s="12">
        <v>16</v>
      </c>
      <c r="E41" s="12" t="b">
        <v>0</v>
      </c>
      <c r="F41" s="12">
        <v>0</v>
      </c>
      <c r="G41" s="12">
        <v>3</v>
      </c>
      <c r="H41" s="12">
        <v>0.34</v>
      </c>
      <c r="I41" s="12">
        <v>0.33329999999999999</v>
      </c>
      <c r="J41" s="12">
        <v>0.71</v>
      </c>
      <c r="K41" s="12">
        <v>0.16420000000000001</v>
      </c>
      <c r="L41" s="12">
        <v>9</v>
      </c>
      <c r="M41" s="12">
        <v>67</v>
      </c>
      <c r="N41" s="12">
        <v>76</v>
      </c>
      <c r="O41" s="12" t="str">
        <f>VLOOKUP(G41,calculate_field!$B$2:$C$5,2,FALSE)</f>
        <v xml:space="preserve">Light Snow / Rain </v>
      </c>
      <c r="P41" s="12" t="str">
        <f t="shared" si="0"/>
        <v>Sunday</v>
      </c>
      <c r="Q41" s="12" t="str">
        <f t="shared" si="1"/>
        <v>Weekend</v>
      </c>
      <c r="R41" s="12" t="str">
        <f t="shared" si="7"/>
        <v>Afternoon</v>
      </c>
      <c r="S41" s="28" t="str">
        <f>INDEX(calculate_field!$F$2:$F$4, MATCH(H41, calculate_field!$E$2:$E$4, 1))</f>
        <v>Warm</v>
      </c>
      <c r="T41" s="33">
        <f t="shared" si="8"/>
        <v>51.666666666666664</v>
      </c>
      <c r="U41" s="33">
        <f t="shared" si="4"/>
        <v>42.347082099228992</v>
      </c>
      <c r="V41" s="33">
        <f t="shared" si="5"/>
        <v>1.4525811511174775</v>
      </c>
      <c r="W41" s="12" t="b">
        <f t="shared" si="6"/>
        <v>0</v>
      </c>
    </row>
    <row r="42" spans="1:23">
      <c r="A42" s="26">
        <v>41</v>
      </c>
      <c r="B42" s="27">
        <v>40545</v>
      </c>
      <c r="C42" s="12">
        <v>1</v>
      </c>
      <c r="D42" s="12">
        <v>17</v>
      </c>
      <c r="E42" s="12" t="b">
        <v>0</v>
      </c>
      <c r="F42" s="12">
        <v>0</v>
      </c>
      <c r="G42" s="12">
        <v>1</v>
      </c>
      <c r="H42" s="12">
        <v>0.34</v>
      </c>
      <c r="I42" s="12">
        <v>0.33329999999999999</v>
      </c>
      <c r="J42" s="12">
        <v>0.56999999999999995</v>
      </c>
      <c r="K42" s="12">
        <v>0.19400000000000001</v>
      </c>
      <c r="L42" s="12">
        <v>7</v>
      </c>
      <c r="M42" s="12">
        <v>58</v>
      </c>
      <c r="N42" s="12">
        <v>65</v>
      </c>
      <c r="O42" s="12" t="str">
        <f>VLOOKUP(G42,calculate_field!$B$2:$C$5,2,FALSE)</f>
        <v>Clear/Partly Cloudy</v>
      </c>
      <c r="P42" s="12" t="str">
        <f t="shared" si="0"/>
        <v>Sunday</v>
      </c>
      <c r="Q42" s="12" t="str">
        <f t="shared" si="1"/>
        <v>Weekend</v>
      </c>
      <c r="R42" s="12" t="str">
        <f t="shared" si="7"/>
        <v>Evening</v>
      </c>
      <c r="S42" s="28" t="str">
        <f>INDEX(calculate_field!$F$2:$F$4, MATCH(H42, calculate_field!$E$2:$E$4, 1))</f>
        <v>Warm</v>
      </c>
      <c r="T42" s="33">
        <f t="shared" si="8"/>
        <v>55.041666666666664</v>
      </c>
      <c r="U42" s="33">
        <f t="shared" si="4"/>
        <v>47.30794506916007</v>
      </c>
      <c r="V42" s="33">
        <f t="shared" si="5"/>
        <v>1.3939900878543436</v>
      </c>
      <c r="W42" s="12" t="b">
        <f t="shared" si="6"/>
        <v>0</v>
      </c>
    </row>
    <row r="43" spans="1:23">
      <c r="A43" s="26">
        <v>42</v>
      </c>
      <c r="B43" s="27">
        <v>40545</v>
      </c>
      <c r="C43" s="12">
        <v>1</v>
      </c>
      <c r="D43" s="12">
        <v>18</v>
      </c>
      <c r="E43" s="12" t="b">
        <v>0</v>
      </c>
      <c r="F43" s="12">
        <v>0</v>
      </c>
      <c r="G43" s="12">
        <v>2</v>
      </c>
      <c r="H43" s="12">
        <v>0.36</v>
      </c>
      <c r="I43" s="12">
        <v>0.33329999999999999</v>
      </c>
      <c r="J43" s="12">
        <v>0.46</v>
      </c>
      <c r="K43" s="12">
        <v>0.32840000000000003</v>
      </c>
      <c r="L43" s="12">
        <v>10</v>
      </c>
      <c r="M43" s="12">
        <v>43</v>
      </c>
      <c r="N43" s="12">
        <v>53</v>
      </c>
      <c r="O43" s="12" t="str">
        <f>VLOOKUP(G43,calculate_field!$B$2:$C$5,2,FALSE)</f>
        <v xml:space="preserve">Mist / cloudy </v>
      </c>
      <c r="P43" s="12" t="str">
        <f t="shared" si="0"/>
        <v>Sunday</v>
      </c>
      <c r="Q43" s="12" t="str">
        <f t="shared" si="1"/>
        <v>Weekend</v>
      </c>
      <c r="R43" s="12" t="str">
        <f t="shared" si="7"/>
        <v>Evening</v>
      </c>
      <c r="S43" s="28" t="str">
        <f>INDEX(calculate_field!$F$2:$F$4, MATCH(H43, calculate_field!$E$2:$E$4, 1))</f>
        <v>Warm</v>
      </c>
      <c r="T43" s="33">
        <f t="shared" si="8"/>
        <v>56.916666666666664</v>
      </c>
      <c r="U43" s="33">
        <f t="shared" si="4"/>
        <v>48.594074309230486</v>
      </c>
      <c r="V43" s="33">
        <f t="shared" si="5"/>
        <v>0.68529227617618349</v>
      </c>
      <c r="W43" s="12" t="b">
        <f t="shared" si="6"/>
        <v>0</v>
      </c>
    </row>
    <row r="44" spans="1:23">
      <c r="A44" s="26">
        <v>43</v>
      </c>
      <c r="B44" s="27">
        <v>40545</v>
      </c>
      <c r="C44" s="12">
        <v>1</v>
      </c>
      <c r="D44" s="12">
        <v>19</v>
      </c>
      <c r="E44" s="12" t="b">
        <v>0</v>
      </c>
      <c r="F44" s="12">
        <v>0</v>
      </c>
      <c r="G44" s="12">
        <v>1</v>
      </c>
      <c r="H44" s="12">
        <v>0.32</v>
      </c>
      <c r="I44" s="12">
        <v>0.28789999999999999</v>
      </c>
      <c r="J44" s="12">
        <v>0.42</v>
      </c>
      <c r="K44" s="12">
        <v>0.44779999999999998</v>
      </c>
      <c r="L44" s="12">
        <v>1</v>
      </c>
      <c r="M44" s="12">
        <v>29</v>
      </c>
      <c r="N44" s="12">
        <v>30</v>
      </c>
      <c r="O44" s="12" t="str">
        <f>VLOOKUP(G44,calculate_field!$B$2:$C$5,2,FALSE)</f>
        <v>Clear/Partly Cloudy</v>
      </c>
      <c r="P44" s="12" t="str">
        <f t="shared" si="0"/>
        <v>Sunday</v>
      </c>
      <c r="Q44" s="12" t="str">
        <f t="shared" si="1"/>
        <v>Weekend</v>
      </c>
      <c r="R44" s="12" t="str">
        <f t="shared" si="7"/>
        <v>Evening</v>
      </c>
      <c r="S44" s="28" t="str">
        <f>INDEX(calculate_field!$F$2:$F$4, MATCH(H44, calculate_field!$E$2:$E$4, 1))</f>
        <v>Warm</v>
      </c>
      <c r="T44" s="33">
        <f t="shared" si="8"/>
        <v>56.875</v>
      </c>
      <c r="U44" s="33">
        <f t="shared" si="4"/>
        <v>48.598007205520538</v>
      </c>
      <c r="V44" s="33">
        <f t="shared" si="5"/>
        <v>-0.25136795526394878</v>
      </c>
      <c r="W44" s="12" t="b">
        <f t="shared" si="6"/>
        <v>0</v>
      </c>
    </row>
    <row r="45" spans="1:23">
      <c r="A45" s="26">
        <v>44</v>
      </c>
      <c r="B45" s="27">
        <v>40545</v>
      </c>
      <c r="C45" s="12">
        <v>1</v>
      </c>
      <c r="D45" s="12">
        <v>20</v>
      </c>
      <c r="E45" s="12" t="b">
        <v>0</v>
      </c>
      <c r="F45" s="12">
        <v>0</v>
      </c>
      <c r="G45" s="12">
        <v>1</v>
      </c>
      <c r="H45" s="12">
        <v>0.3</v>
      </c>
      <c r="I45" s="12">
        <f>IF(I28="", _xlfn.MODE.SNGL($I$2:$I$1000), I28)</f>
        <v>0.42420000000000002</v>
      </c>
      <c r="J45" s="12">
        <v>0.39</v>
      </c>
      <c r="K45" s="12">
        <v>0.35820000000000002</v>
      </c>
      <c r="L45" s="12">
        <v>5</v>
      </c>
      <c r="M45" s="12">
        <v>17</v>
      </c>
      <c r="N45" s="12">
        <v>22</v>
      </c>
      <c r="O45" s="12" t="str">
        <f>VLOOKUP(G45,calculate_field!$B$2:$C$5,2,FALSE)</f>
        <v>Clear/Partly Cloudy</v>
      </c>
      <c r="P45" s="12" t="str">
        <f t="shared" si="0"/>
        <v>Sunday</v>
      </c>
      <c r="Q45" s="12" t="str">
        <f t="shared" si="1"/>
        <v>Weekend</v>
      </c>
      <c r="R45" s="12" t="str">
        <f t="shared" si="7"/>
        <v>Evening</v>
      </c>
      <c r="S45" s="28" t="str">
        <f>INDEX(calculate_field!$F$2:$F$4, MATCH(H45, calculate_field!$E$2:$E$4, 1))</f>
        <v>Warm</v>
      </c>
      <c r="T45" s="33">
        <f t="shared" si="8"/>
        <v>57.791666666666664</v>
      </c>
      <c r="U45" s="33">
        <f t="shared" si="4"/>
        <v>48.275458853709836</v>
      </c>
      <c r="V45" s="33">
        <f t="shared" si="5"/>
        <v>-0.24833593886289543</v>
      </c>
      <c r="W45" s="12" t="b">
        <f t="shared" si="6"/>
        <v>0</v>
      </c>
    </row>
    <row r="46" spans="1:23">
      <c r="A46" s="26">
        <v>45</v>
      </c>
      <c r="B46" s="27">
        <v>40545</v>
      </c>
      <c r="C46" s="12">
        <v>1</v>
      </c>
      <c r="D46" s="12">
        <v>21</v>
      </c>
      <c r="E46" s="12" t="b">
        <v>0</v>
      </c>
      <c r="F46" s="12">
        <v>0</v>
      </c>
      <c r="G46" s="12">
        <v>1</v>
      </c>
      <c r="H46" s="12">
        <v>0.26</v>
      </c>
      <c r="I46" s="12">
        <v>0.2273</v>
      </c>
      <c r="J46" s="12">
        <v>0.44</v>
      </c>
      <c r="K46" s="12">
        <v>0.32840000000000003</v>
      </c>
      <c r="L46" s="12">
        <v>11</v>
      </c>
      <c r="M46" s="12">
        <v>20</v>
      </c>
      <c r="N46" s="12">
        <v>31</v>
      </c>
      <c r="O46" s="12" t="str">
        <f>VLOOKUP(G46,calculate_field!$B$2:$C$5,2,FALSE)</f>
        <v>Clear/Partly Cloudy</v>
      </c>
      <c r="P46" s="12" t="str">
        <f t="shared" si="0"/>
        <v>Sunday</v>
      </c>
      <c r="Q46" s="12" t="str">
        <f t="shared" si="1"/>
        <v>Weekend</v>
      </c>
      <c r="R46" s="12" t="str">
        <f t="shared" si="7"/>
        <v>Night</v>
      </c>
      <c r="S46" s="28" t="str">
        <f>INDEX(calculate_field!$F$2:$F$4, MATCH(H46, calculate_field!$E$2:$E$4, 1))</f>
        <v>Mild</v>
      </c>
      <c r="T46" s="33">
        <f t="shared" si="8"/>
        <v>57.708333333333336</v>
      </c>
      <c r="U46" s="33">
        <f t="shared" si="4"/>
        <v>48.341609736168877</v>
      </c>
      <c r="V46" s="33">
        <f t="shared" si="5"/>
        <v>-0.77443167938478596</v>
      </c>
      <c r="W46" s="12" t="b">
        <f t="shared" si="6"/>
        <v>0</v>
      </c>
    </row>
    <row r="47" spans="1:23">
      <c r="A47" s="26">
        <v>46</v>
      </c>
      <c r="B47" s="27">
        <v>40545</v>
      </c>
      <c r="C47" s="12">
        <v>1</v>
      </c>
      <c r="D47" s="12">
        <v>22</v>
      </c>
      <c r="E47" s="12" t="b">
        <v>0</v>
      </c>
      <c r="F47" s="12">
        <v>0</v>
      </c>
      <c r="G47" s="12">
        <v>1</v>
      </c>
      <c r="H47" s="12">
        <v>0.24</v>
      </c>
      <c r="I47" s="12">
        <v>0.21210000000000001</v>
      </c>
      <c r="J47" s="12">
        <v>0.44</v>
      </c>
      <c r="K47" s="12">
        <v>0.29849999999999999</v>
      </c>
      <c r="L47" s="12">
        <v>0</v>
      </c>
      <c r="M47" s="12">
        <v>9</v>
      </c>
      <c r="N47" s="12">
        <v>9</v>
      </c>
      <c r="O47" s="12" t="str">
        <f>VLOOKUP(G47,calculate_field!$B$2:$C$5,2,FALSE)</f>
        <v>Clear/Partly Cloudy</v>
      </c>
      <c r="P47" s="12" t="str">
        <f t="shared" si="0"/>
        <v>Sunday</v>
      </c>
      <c r="Q47" s="12" t="str">
        <f t="shared" si="1"/>
        <v>Weekend</v>
      </c>
      <c r="R47" s="12" t="str">
        <f t="shared" si="7"/>
        <v>Night</v>
      </c>
      <c r="S47" s="28" t="str">
        <f>INDEX(calculate_field!$F$2:$F$4, MATCH(H47, calculate_field!$E$2:$E$4, 1))</f>
        <v>Mild</v>
      </c>
      <c r="T47" s="33">
        <f t="shared" si="8"/>
        <v>56.916666666666664</v>
      </c>
      <c r="U47" s="33">
        <f t="shared" si="4"/>
        <v>48.949767212367085</v>
      </c>
      <c r="V47" s="33">
        <f t="shared" si="5"/>
        <v>-0.89791707075115079</v>
      </c>
      <c r="W47" s="12" t="b">
        <f t="shared" si="6"/>
        <v>0</v>
      </c>
    </row>
    <row r="48" spans="1:23">
      <c r="A48" s="26">
        <v>47</v>
      </c>
      <c r="B48" s="27">
        <v>40545</v>
      </c>
      <c r="C48" s="12">
        <v>1</v>
      </c>
      <c r="D48" s="12">
        <v>23</v>
      </c>
      <c r="E48" s="12" t="b">
        <v>0</v>
      </c>
      <c r="F48" s="12">
        <v>0</v>
      </c>
      <c r="G48" s="12">
        <v>1</v>
      </c>
      <c r="H48" s="12">
        <v>0.22</v>
      </c>
      <c r="I48" s="12">
        <v>0.2273</v>
      </c>
      <c r="J48" s="12">
        <v>0.47</v>
      </c>
      <c r="K48" s="12">
        <v>0.16420000000000001</v>
      </c>
      <c r="L48" s="12">
        <v>0</v>
      </c>
      <c r="M48" s="12">
        <v>8</v>
      </c>
      <c r="N48" s="12">
        <v>8</v>
      </c>
      <c r="O48" s="12" t="str">
        <f>VLOOKUP(G48,calculate_field!$B$2:$C$5,2,FALSE)</f>
        <v>Clear/Partly Cloudy</v>
      </c>
      <c r="P48" s="12" t="str">
        <f t="shared" si="0"/>
        <v>Sunday</v>
      </c>
      <c r="Q48" s="12" t="str">
        <f t="shared" si="1"/>
        <v>Weekend</v>
      </c>
      <c r="R48" s="12" t="str">
        <f t="shared" si="7"/>
        <v>Night</v>
      </c>
      <c r="S48" s="28" t="str">
        <f>INDEX(calculate_field!$F$2:$F$4, MATCH(H48, calculate_field!$E$2:$E$4, 1))</f>
        <v>Mild</v>
      </c>
      <c r="T48" s="33">
        <f t="shared" si="8"/>
        <v>56.75</v>
      </c>
      <c r="U48" s="33">
        <f t="shared" si="4"/>
        <v>49.126500419613251</v>
      </c>
      <c r="V48" s="33">
        <f t="shared" si="5"/>
        <v>-1.0068737855595855</v>
      </c>
      <c r="W48" s="12" t="b">
        <f t="shared" si="6"/>
        <v>1</v>
      </c>
    </row>
    <row r="49" spans="1:23">
      <c r="A49" s="26">
        <v>48</v>
      </c>
      <c r="B49" s="27">
        <v>40546</v>
      </c>
      <c r="C49" s="12">
        <v>1</v>
      </c>
      <c r="D49" s="12">
        <v>0</v>
      </c>
      <c r="E49" s="12" t="b">
        <v>0</v>
      </c>
      <c r="F49" s="12">
        <v>1</v>
      </c>
      <c r="G49" s="12">
        <v>1</v>
      </c>
      <c r="H49" s="12">
        <v>0.22</v>
      </c>
      <c r="I49" s="12">
        <v>0.19700000000000001</v>
      </c>
      <c r="J49" s="12">
        <v>0.44</v>
      </c>
      <c r="K49" s="12">
        <v>0.35820000000000002</v>
      </c>
      <c r="L49" s="12">
        <v>0</v>
      </c>
      <c r="M49" s="12">
        <v>5</v>
      </c>
      <c r="N49" s="12">
        <v>5</v>
      </c>
      <c r="O49" s="12" t="str">
        <f>VLOOKUP(G49,calculate_field!$B$2:$C$5,2,FALSE)</f>
        <v>Clear/Partly Cloudy</v>
      </c>
      <c r="P49" s="12" t="str">
        <f t="shared" si="0"/>
        <v>Monday</v>
      </c>
      <c r="Q49" s="12" t="str">
        <f t="shared" si="1"/>
        <v>Weekday</v>
      </c>
      <c r="R49" s="12" t="str">
        <f t="shared" si="7"/>
        <v>Night</v>
      </c>
      <c r="S49" s="28" t="str">
        <f>INDEX(calculate_field!$F$2:$F$4, MATCH(H49, calculate_field!$E$2:$E$4, 1))</f>
        <v>Mild</v>
      </c>
      <c r="T49" s="33">
        <f t="shared" si="8"/>
        <v>56.5</v>
      </c>
      <c r="U49" s="33">
        <f t="shared" si="4"/>
        <v>49.399876782102972</v>
      </c>
      <c r="V49" s="33">
        <f t="shared" si="5"/>
        <v>-1.0584020671163603</v>
      </c>
      <c r="W49" s="12" t="b">
        <f t="shared" si="6"/>
        <v>1</v>
      </c>
    </row>
    <row r="50" spans="1:23">
      <c r="A50" s="26">
        <v>49</v>
      </c>
      <c r="B50" s="27">
        <v>40546</v>
      </c>
      <c r="C50" s="12">
        <v>1</v>
      </c>
      <c r="D50" s="12">
        <v>1</v>
      </c>
      <c r="E50" s="12" t="b">
        <v>0</v>
      </c>
      <c r="F50" s="12">
        <v>1</v>
      </c>
      <c r="G50" s="12">
        <v>1</v>
      </c>
      <c r="H50" s="12">
        <v>0.2</v>
      </c>
      <c r="I50" s="12">
        <f>IF(I33="", _xlfn.MODE.SNGL($I$2:$I$1000), I33)</f>
        <v>0.40910000000000002</v>
      </c>
      <c r="J50" s="12">
        <v>0.44</v>
      </c>
      <c r="K50" s="12">
        <v>0.41789999999999999</v>
      </c>
      <c r="L50" s="12">
        <v>0</v>
      </c>
      <c r="M50" s="12">
        <v>2</v>
      </c>
      <c r="N50" s="12">
        <v>2</v>
      </c>
      <c r="O50" s="12" t="str">
        <f>VLOOKUP(G50,calculate_field!$B$2:$C$5,2,FALSE)</f>
        <v>Clear/Partly Cloudy</v>
      </c>
      <c r="P50" s="12" t="str">
        <f t="shared" si="0"/>
        <v>Monday</v>
      </c>
      <c r="Q50" s="12" t="str">
        <f t="shared" si="1"/>
        <v>Weekday</v>
      </c>
      <c r="R50" s="12" t="str">
        <f t="shared" si="7"/>
        <v>Night</v>
      </c>
      <c r="S50" s="28" t="str">
        <f>INDEX(calculate_field!$F$2:$F$4, MATCH(H50, calculate_field!$E$2:$E$4, 1))</f>
        <v>Mild</v>
      </c>
      <c r="T50" s="33">
        <f t="shared" si="8"/>
        <v>56.333333333333336</v>
      </c>
      <c r="U50" s="33">
        <f t="shared" si="4"/>
        <v>49.587574413676293</v>
      </c>
      <c r="V50" s="33">
        <f t="shared" si="5"/>
        <v>-1.0751026914495572</v>
      </c>
      <c r="W50" s="12" t="b">
        <f t="shared" si="6"/>
        <v>0</v>
      </c>
    </row>
    <row r="51" spans="1:23">
      <c r="A51" s="26">
        <v>50</v>
      </c>
      <c r="B51" s="27">
        <v>40546</v>
      </c>
      <c r="C51" s="12">
        <v>1</v>
      </c>
      <c r="D51" s="12">
        <v>4</v>
      </c>
      <c r="E51" s="12" t="b">
        <v>0</v>
      </c>
      <c r="F51" s="12">
        <v>1</v>
      </c>
      <c r="G51" s="12">
        <v>1</v>
      </c>
      <c r="H51" s="12">
        <v>0.16</v>
      </c>
      <c r="I51" s="12">
        <v>0.13639999999999999</v>
      </c>
      <c r="J51" s="12">
        <v>0.47</v>
      </c>
      <c r="K51" s="12">
        <v>0.3881</v>
      </c>
      <c r="L51" s="12">
        <v>0</v>
      </c>
      <c r="M51" s="12">
        <v>1</v>
      </c>
      <c r="N51" s="12">
        <v>1</v>
      </c>
      <c r="O51" s="12" t="str">
        <f>VLOOKUP(G51,calculate_field!$B$2:$C$5,2,FALSE)</f>
        <v>Clear/Partly Cloudy</v>
      </c>
      <c r="P51" s="12" t="str">
        <f t="shared" si="0"/>
        <v>Monday</v>
      </c>
      <c r="Q51" s="12" t="str">
        <f t="shared" si="1"/>
        <v>Weekday</v>
      </c>
      <c r="R51" s="12" t="str">
        <f t="shared" si="7"/>
        <v>Night</v>
      </c>
      <c r="S51" s="28" t="str">
        <f>INDEX(calculate_field!$F$2:$F$4, MATCH(H51, calculate_field!$E$2:$E$4, 1))</f>
        <v>Cold</v>
      </c>
      <c r="T51" s="33">
        <f t="shared" si="8"/>
        <v>56.333333333333336</v>
      </c>
      <c r="U51" s="33">
        <f t="shared" si="4"/>
        <v>49.587574413676293</v>
      </c>
      <c r="V51" s="33">
        <f t="shared" si="5"/>
        <v>-1.059919509292965</v>
      </c>
      <c r="W51" s="12" t="b">
        <f t="shared" si="6"/>
        <v>0</v>
      </c>
    </row>
    <row r="52" spans="1:23">
      <c r="A52" s="26">
        <v>51</v>
      </c>
      <c r="B52" s="27">
        <v>40546</v>
      </c>
      <c r="C52" s="12">
        <v>1</v>
      </c>
      <c r="D52" s="12">
        <v>5</v>
      </c>
      <c r="E52" s="12" t="b">
        <v>0</v>
      </c>
      <c r="F52" s="12">
        <v>1</v>
      </c>
      <c r="G52" s="12">
        <v>1</v>
      </c>
      <c r="H52" s="12">
        <v>0.16</v>
      </c>
      <c r="I52" s="12">
        <v>0.13639999999999999</v>
      </c>
      <c r="J52" s="12">
        <v>0.47</v>
      </c>
      <c r="K52" s="12">
        <v>0.28360000000000002</v>
      </c>
      <c r="L52" s="12">
        <v>0</v>
      </c>
      <c r="M52" s="12">
        <v>3</v>
      </c>
      <c r="N52" s="12">
        <v>3</v>
      </c>
      <c r="O52" s="12" t="str">
        <f>VLOOKUP(G52,calculate_field!$B$2:$C$5,2,FALSE)</f>
        <v>Clear/Partly Cloudy</v>
      </c>
      <c r="P52" s="12" t="str">
        <f t="shared" si="0"/>
        <v>Monday</v>
      </c>
      <c r="Q52" s="12" t="str">
        <f t="shared" si="1"/>
        <v>Weekday</v>
      </c>
      <c r="R52" s="12" t="str">
        <f t="shared" si="7"/>
        <v>Night</v>
      </c>
      <c r="S52" s="28" t="str">
        <f>INDEX(calculate_field!$F$2:$F$4, MATCH(H52, calculate_field!$E$2:$E$4, 1))</f>
        <v>Cold</v>
      </c>
      <c r="T52" s="33">
        <f t="shared" si="8"/>
        <v>56.458333333333336</v>
      </c>
      <c r="U52" s="33">
        <f t="shared" si="4"/>
        <v>49.445603986837781</v>
      </c>
      <c r="V52" s="33">
        <f t="shared" si="5"/>
        <v>-1.0279748335322709</v>
      </c>
      <c r="W52" s="12" t="b">
        <f t="shared" si="6"/>
        <v>0</v>
      </c>
    </row>
    <row r="53" spans="1:23">
      <c r="A53" s="26">
        <v>52</v>
      </c>
      <c r="B53" s="27">
        <v>40546</v>
      </c>
      <c r="C53" s="12">
        <v>1</v>
      </c>
      <c r="D53" s="12">
        <v>6</v>
      </c>
      <c r="E53" s="12" t="b">
        <v>0</v>
      </c>
      <c r="F53" s="12">
        <v>1</v>
      </c>
      <c r="G53" s="12">
        <v>1</v>
      </c>
      <c r="H53" s="12">
        <v>0.14000000000000001</v>
      </c>
      <c r="I53" s="12">
        <v>0.1061</v>
      </c>
      <c r="J53" s="12">
        <v>0.5</v>
      </c>
      <c r="K53" s="12">
        <v>0.3881</v>
      </c>
      <c r="L53" s="12">
        <v>0</v>
      </c>
      <c r="M53" s="12">
        <v>30</v>
      </c>
      <c r="N53" s="12">
        <v>30</v>
      </c>
      <c r="O53" s="12" t="str">
        <f>VLOOKUP(G53,calculate_field!$B$2:$C$5,2,FALSE)</f>
        <v>Clear/Partly Cloudy</v>
      </c>
      <c r="P53" s="12" t="str">
        <f t="shared" si="0"/>
        <v>Monday</v>
      </c>
      <c r="Q53" s="12" t="str">
        <f t="shared" si="1"/>
        <v>Weekday</v>
      </c>
      <c r="R53" s="12" t="str">
        <f t="shared" si="7"/>
        <v>Morning</v>
      </c>
      <c r="S53" s="28" t="str">
        <f>INDEX(calculate_field!$F$2:$F$4, MATCH(H53, calculate_field!$E$2:$E$4, 1))</f>
        <v>Cold</v>
      </c>
      <c r="T53" s="33">
        <f t="shared" si="8"/>
        <v>57.833333333333336</v>
      </c>
      <c r="U53" s="33">
        <f t="shared" si="4"/>
        <v>48.34087897122005</v>
      </c>
      <c r="V53" s="33">
        <f t="shared" si="5"/>
        <v>-0.52177094995444284</v>
      </c>
      <c r="W53" s="12" t="b">
        <f t="shared" si="6"/>
        <v>0</v>
      </c>
    </row>
    <row r="54" spans="1:23">
      <c r="A54" s="26">
        <v>53</v>
      </c>
      <c r="B54" s="27">
        <v>40546</v>
      </c>
      <c r="C54" s="12">
        <v>1</v>
      </c>
      <c r="D54" s="12">
        <v>7</v>
      </c>
      <c r="E54" s="12" t="b">
        <v>0</v>
      </c>
      <c r="F54" s="12">
        <v>1</v>
      </c>
      <c r="G54" s="12">
        <v>1</v>
      </c>
      <c r="H54" s="12">
        <v>0.14000000000000001</v>
      </c>
      <c r="I54" s="12">
        <v>0.13639999999999999</v>
      </c>
      <c r="J54" s="12">
        <v>0.5</v>
      </c>
      <c r="K54" s="12">
        <v>0.19400000000000001</v>
      </c>
      <c r="L54" s="12">
        <v>1</v>
      </c>
      <c r="M54" s="12">
        <v>63</v>
      </c>
      <c r="N54" s="12">
        <v>64</v>
      </c>
      <c r="O54" s="12" t="str">
        <f>VLOOKUP(G54,calculate_field!$B$2:$C$5,2,FALSE)</f>
        <v>Clear/Partly Cloudy</v>
      </c>
      <c r="P54" s="12" t="str">
        <f t="shared" si="0"/>
        <v>Monday</v>
      </c>
      <c r="Q54" s="12" t="str">
        <f t="shared" si="1"/>
        <v>Weekday</v>
      </c>
      <c r="R54" s="12" t="str">
        <f t="shared" si="7"/>
        <v>Morning</v>
      </c>
      <c r="S54" s="28" t="str">
        <f>INDEX(calculate_field!$F$2:$F$4, MATCH(H54, calculate_field!$E$2:$E$4, 1))</f>
        <v>Cold</v>
      </c>
      <c r="T54" s="33">
        <f t="shared" si="8"/>
        <v>60.5</v>
      </c>
      <c r="U54" s="33">
        <f t="shared" si="4"/>
        <v>48.503697752358775</v>
      </c>
      <c r="V54" s="33">
        <f t="shared" si="5"/>
        <v>0.42981303921060776</v>
      </c>
      <c r="W54" s="12" t="b">
        <f t="shared" si="6"/>
        <v>0</v>
      </c>
    </row>
    <row r="55" spans="1:23">
      <c r="A55" s="26">
        <v>54</v>
      </c>
      <c r="B55" s="27">
        <v>40546</v>
      </c>
      <c r="C55" s="12">
        <v>1</v>
      </c>
      <c r="D55" s="12">
        <v>8</v>
      </c>
      <c r="E55" s="12" t="b">
        <v>0</v>
      </c>
      <c r="F55" s="12">
        <v>1</v>
      </c>
      <c r="G55" s="12">
        <v>1</v>
      </c>
      <c r="H55" s="12">
        <v>0.14000000000000001</v>
      </c>
      <c r="I55" s="12">
        <v>0.1212</v>
      </c>
      <c r="J55" s="12">
        <v>0.5</v>
      </c>
      <c r="K55" s="12">
        <v>0.28360000000000002</v>
      </c>
      <c r="L55" s="12">
        <v>1</v>
      </c>
      <c r="M55" s="12">
        <v>153</v>
      </c>
      <c r="N55" s="12">
        <v>154</v>
      </c>
      <c r="O55" s="12" t="str">
        <f>VLOOKUP(G55,calculate_field!$B$2:$C$5,2,FALSE)</f>
        <v>Clear/Partly Cloudy</v>
      </c>
      <c r="P55" s="12" t="str">
        <f t="shared" si="0"/>
        <v>Monday</v>
      </c>
      <c r="Q55" s="12" t="str">
        <f t="shared" si="1"/>
        <v>Weekday</v>
      </c>
      <c r="R55" s="12" t="str">
        <f t="shared" si="7"/>
        <v>Morning</v>
      </c>
      <c r="S55" s="28" t="str">
        <f>INDEX(calculate_field!$F$2:$F$4, MATCH(H55, calculate_field!$E$2:$E$4, 1))</f>
        <v>Cold</v>
      </c>
      <c r="T55" s="33">
        <f t="shared" si="8"/>
        <v>65.291666666666671</v>
      </c>
      <c r="U55" s="33">
        <f t="shared" si="4"/>
        <v>54.209319884304399</v>
      </c>
      <c r="V55" s="33">
        <f t="shared" si="5"/>
        <v>1.6599660755043406</v>
      </c>
      <c r="W55" s="12" t="b">
        <f t="shared" si="6"/>
        <v>0</v>
      </c>
    </row>
    <row r="56" spans="1:23">
      <c r="A56" s="26">
        <v>55</v>
      </c>
      <c r="B56" s="27">
        <v>40546</v>
      </c>
      <c r="C56" s="12">
        <v>1</v>
      </c>
      <c r="D56" s="12">
        <v>9</v>
      </c>
      <c r="E56" s="12" t="b">
        <v>0</v>
      </c>
      <c r="F56" s="12">
        <v>1</v>
      </c>
      <c r="G56" s="12">
        <v>1</v>
      </c>
      <c r="H56" s="12">
        <v>0.16</v>
      </c>
      <c r="I56" s="12">
        <v>0.13639999999999999</v>
      </c>
      <c r="J56" s="12">
        <v>0.43</v>
      </c>
      <c r="K56" s="12">
        <v>0.3881</v>
      </c>
      <c r="L56" s="12">
        <v>7</v>
      </c>
      <c r="M56" s="12">
        <v>81</v>
      </c>
      <c r="N56" s="12">
        <v>88</v>
      </c>
      <c r="O56" s="12" t="str">
        <f>VLOOKUP(G56,calculate_field!$B$2:$C$5,2,FALSE)</f>
        <v>Clear/Partly Cloudy</v>
      </c>
      <c r="P56" s="12" t="str">
        <f t="shared" si="0"/>
        <v>Monday</v>
      </c>
      <c r="Q56" s="12" t="str">
        <f t="shared" si="1"/>
        <v>Weekday</v>
      </c>
      <c r="R56" s="12" t="str">
        <f t="shared" si="7"/>
        <v>Morning</v>
      </c>
      <c r="S56" s="28" t="str">
        <f>INDEX(calculate_field!$F$2:$F$4, MATCH(H56, calculate_field!$E$2:$E$4, 1))</f>
        <v>Cold</v>
      </c>
      <c r="T56" s="33">
        <f t="shared" si="8"/>
        <v>63.041666666666664</v>
      </c>
      <c r="U56" s="33">
        <f t="shared" si="4"/>
        <v>51.416017777128275</v>
      </c>
      <c r="V56" s="33">
        <f t="shared" si="5"/>
        <v>0.48999000904473167</v>
      </c>
      <c r="W56" s="12" t="b">
        <f t="shared" si="6"/>
        <v>0</v>
      </c>
    </row>
    <row r="57" spans="1:23">
      <c r="A57" s="26">
        <v>56</v>
      </c>
      <c r="B57" s="27">
        <v>40546</v>
      </c>
      <c r="C57" s="12">
        <v>1</v>
      </c>
      <c r="D57" s="12">
        <v>10</v>
      </c>
      <c r="E57" s="12" t="b">
        <v>0</v>
      </c>
      <c r="F57" s="12">
        <v>1</v>
      </c>
      <c r="G57" s="12">
        <v>1</v>
      </c>
      <c r="H57" s="12">
        <v>0.18</v>
      </c>
      <c r="I57" s="12">
        <v>0.16669999999999999</v>
      </c>
      <c r="J57" s="12">
        <v>0.43</v>
      </c>
      <c r="K57" s="12">
        <v>0.25369999999999998</v>
      </c>
      <c r="L57" s="12">
        <v>11</v>
      </c>
      <c r="M57" s="12">
        <v>33</v>
      </c>
      <c r="N57" s="12">
        <v>44</v>
      </c>
      <c r="O57" s="12" t="str">
        <f>VLOOKUP(G57,calculate_field!$B$2:$C$5,2,FALSE)</f>
        <v>Clear/Partly Cloudy</v>
      </c>
      <c r="P57" s="12" t="str">
        <f t="shared" si="0"/>
        <v>Monday</v>
      </c>
      <c r="Q57" s="12" t="str">
        <f t="shared" si="1"/>
        <v>Weekday</v>
      </c>
      <c r="R57" s="12" t="str">
        <f t="shared" si="7"/>
        <v>Morning</v>
      </c>
      <c r="S57" s="28" t="str">
        <f>INDEX(calculate_field!$F$2:$F$4, MATCH(H57, calculate_field!$E$2:$E$4, 1))</f>
        <v>Cold</v>
      </c>
      <c r="T57" s="33">
        <f t="shared" si="8"/>
        <v>61.125</v>
      </c>
      <c r="U57" s="33">
        <f t="shared" si="4"/>
        <v>51.302438708031261</v>
      </c>
      <c r="V57" s="33">
        <f t="shared" si="5"/>
        <v>-0.44172429755379822</v>
      </c>
      <c r="W57" s="12" t="b">
        <f t="shared" si="6"/>
        <v>0</v>
      </c>
    </row>
    <row r="58" spans="1:23">
      <c r="A58" s="26">
        <v>57</v>
      </c>
      <c r="B58" s="27">
        <v>40546</v>
      </c>
      <c r="C58" s="12">
        <v>1</v>
      </c>
      <c r="D58" s="12">
        <v>11</v>
      </c>
      <c r="E58" s="12" t="b">
        <v>0</v>
      </c>
      <c r="F58" s="12">
        <v>1</v>
      </c>
      <c r="G58" s="12">
        <v>1</v>
      </c>
      <c r="H58" s="12">
        <v>0.2</v>
      </c>
      <c r="I58" s="12">
        <v>0.18179999999999999</v>
      </c>
      <c r="J58" s="12">
        <v>0.4</v>
      </c>
      <c r="K58" s="12">
        <v>0.32840000000000003</v>
      </c>
      <c r="L58" s="12">
        <v>10</v>
      </c>
      <c r="M58" s="12">
        <v>41</v>
      </c>
      <c r="N58" s="12">
        <v>51</v>
      </c>
      <c r="O58" s="12" t="str">
        <f>VLOOKUP(G58,calculate_field!$B$2:$C$5,2,FALSE)</f>
        <v>Clear/Partly Cloudy</v>
      </c>
      <c r="P58" s="12" t="str">
        <f t="shared" si="0"/>
        <v>Monday</v>
      </c>
      <c r="Q58" s="12" t="str">
        <f t="shared" si="1"/>
        <v>Weekday</v>
      </c>
      <c r="R58" s="12" t="str">
        <f t="shared" si="7"/>
        <v>Morning</v>
      </c>
      <c r="S58" s="28" t="str">
        <f>INDEX(calculate_field!$F$2:$F$4, MATCH(H58, calculate_field!$E$2:$E$4, 1))</f>
        <v>Mild</v>
      </c>
      <c r="T58" s="33">
        <f t="shared" si="8"/>
        <v>61.666666666666664</v>
      </c>
      <c r="U58" s="33">
        <f t="shared" si="4"/>
        <v>51.182254624096004</v>
      </c>
      <c r="V58" s="33">
        <f t="shared" si="5"/>
        <v>-0.19547658359099887</v>
      </c>
      <c r="W58" s="12" t="b">
        <f t="shared" si="6"/>
        <v>0</v>
      </c>
    </row>
    <row r="59" spans="1:23">
      <c r="A59" s="26">
        <v>58</v>
      </c>
      <c r="B59" s="27">
        <v>40546</v>
      </c>
      <c r="C59" s="12">
        <v>1</v>
      </c>
      <c r="D59" s="12">
        <v>12</v>
      </c>
      <c r="E59" s="12" t="b">
        <v>0</v>
      </c>
      <c r="F59" s="12">
        <v>1</v>
      </c>
      <c r="G59" s="12">
        <v>1</v>
      </c>
      <c r="H59" s="12">
        <v>0.22</v>
      </c>
      <c r="I59" s="12">
        <v>0.21210000000000001</v>
      </c>
      <c r="J59" s="12">
        <v>0.35</v>
      </c>
      <c r="K59" s="12">
        <v>0.29849999999999999</v>
      </c>
      <c r="L59" s="12">
        <v>13</v>
      </c>
      <c r="M59" s="12">
        <v>48</v>
      </c>
      <c r="N59" s="12">
        <v>61</v>
      </c>
      <c r="O59" s="12" t="str">
        <f>VLOOKUP(G59,calculate_field!$B$2:$C$5,2,FALSE)</f>
        <v>Clear/Partly Cloudy</v>
      </c>
      <c r="P59" s="12" t="str">
        <f t="shared" si="0"/>
        <v>Monday</v>
      </c>
      <c r="Q59" s="12" t="str">
        <f t="shared" si="1"/>
        <v>Weekday</v>
      </c>
      <c r="R59" s="12" t="str">
        <f t="shared" si="7"/>
        <v>Afternoon</v>
      </c>
      <c r="S59" s="28" t="str">
        <f>INDEX(calculate_field!$F$2:$F$4, MATCH(H59, calculate_field!$E$2:$E$4, 1))</f>
        <v>Mild</v>
      </c>
      <c r="T59" s="33">
        <f t="shared" si="8"/>
        <v>62.791666666666664</v>
      </c>
      <c r="U59" s="33">
        <f t="shared" si="4"/>
        <v>51.234311844162868</v>
      </c>
      <c r="V59" s="33">
        <f t="shared" si="5"/>
        <v>0.13868024386507899</v>
      </c>
      <c r="W59" s="12" t="b">
        <f t="shared" si="6"/>
        <v>0</v>
      </c>
    </row>
    <row r="60" spans="1:23">
      <c r="A60" s="26">
        <v>59</v>
      </c>
      <c r="B60" s="27">
        <v>40546</v>
      </c>
      <c r="C60" s="12">
        <v>1</v>
      </c>
      <c r="D60" s="12">
        <v>13</v>
      </c>
      <c r="E60" s="12" t="b">
        <v>0</v>
      </c>
      <c r="F60" s="12">
        <v>1</v>
      </c>
      <c r="G60" s="12">
        <v>1</v>
      </c>
      <c r="H60" s="12">
        <v>0.24</v>
      </c>
      <c r="I60" s="12">
        <f>IF(I43="", _xlfn.MODE.SNGL($I$2:$I$1000), I43)</f>
        <v>0.33329999999999999</v>
      </c>
      <c r="J60" s="12">
        <v>0.35</v>
      </c>
      <c r="K60" s="12">
        <v>0.28360000000000002</v>
      </c>
      <c r="L60" s="12">
        <v>8</v>
      </c>
      <c r="M60" s="12">
        <v>53</v>
      </c>
      <c r="N60" s="12">
        <v>61</v>
      </c>
      <c r="O60" s="12" t="str">
        <f>VLOOKUP(G60,calculate_field!$B$2:$C$5,2,FALSE)</f>
        <v>Clear/Partly Cloudy</v>
      </c>
      <c r="P60" s="12" t="str">
        <f t="shared" si="0"/>
        <v>Monday</v>
      </c>
      <c r="Q60" s="12" t="str">
        <f t="shared" si="1"/>
        <v>Weekday</v>
      </c>
      <c r="R60" s="12" t="str">
        <f t="shared" si="7"/>
        <v>Afternoon</v>
      </c>
      <c r="S60" s="28" t="str">
        <f>INDEX(calculate_field!$F$2:$F$4, MATCH(H60, calculate_field!$E$2:$E$4, 1))</f>
        <v>Mild</v>
      </c>
      <c r="T60" s="33">
        <f t="shared" si="8"/>
        <v>64.291666666666671</v>
      </c>
      <c r="U60" s="33">
        <f t="shared" si="4"/>
        <v>51.704410010102173</v>
      </c>
      <c r="V60" s="33">
        <f t="shared" si="5"/>
        <v>0.45991806747168129</v>
      </c>
      <c r="W60" s="12" t="b">
        <f t="shared" si="6"/>
        <v>0</v>
      </c>
    </row>
    <row r="61" spans="1:23">
      <c r="A61" s="26">
        <v>60</v>
      </c>
      <c r="B61" s="27">
        <v>40546</v>
      </c>
      <c r="C61" s="12">
        <v>1</v>
      </c>
      <c r="D61" s="12">
        <v>14</v>
      </c>
      <c r="E61" s="12" t="b">
        <v>0</v>
      </c>
      <c r="F61" s="12">
        <v>1</v>
      </c>
      <c r="G61" s="12">
        <v>1</v>
      </c>
      <c r="H61" s="12">
        <v>0.26</v>
      </c>
      <c r="I61" s="12">
        <v>0.2424</v>
      </c>
      <c r="J61" s="12">
        <v>0.3</v>
      </c>
      <c r="K61" s="12">
        <v>0.28360000000000002</v>
      </c>
      <c r="L61" s="12">
        <v>11</v>
      </c>
      <c r="M61" s="12">
        <v>66</v>
      </c>
      <c r="N61" s="12">
        <v>77</v>
      </c>
      <c r="O61" s="12" t="str">
        <f>VLOOKUP(G61,calculate_field!$B$2:$C$5,2,FALSE)</f>
        <v>Clear/Partly Cloudy</v>
      </c>
      <c r="P61" s="12" t="str">
        <f t="shared" si="0"/>
        <v>Monday</v>
      </c>
      <c r="Q61" s="12" t="str">
        <f t="shared" si="1"/>
        <v>Weekday</v>
      </c>
      <c r="R61" s="12" t="str">
        <f t="shared" si="7"/>
        <v>Afternoon</v>
      </c>
      <c r="S61" s="28" t="str">
        <f>INDEX(calculate_field!$F$2:$F$4, MATCH(H61, calculate_field!$E$2:$E$4, 1))</f>
        <v>Mild</v>
      </c>
      <c r="T61" s="33">
        <f t="shared" si="8"/>
        <v>64.375</v>
      </c>
      <c r="U61" s="33">
        <f t="shared" si="4"/>
        <v>51.700485659143517</v>
      </c>
      <c r="V61" s="33">
        <f t="shared" si="5"/>
        <v>-8.223304794413315E-2</v>
      </c>
      <c r="W61" s="12" t="b">
        <f t="shared" si="6"/>
        <v>0</v>
      </c>
    </row>
    <row r="62" spans="1:23">
      <c r="A62" s="26">
        <v>61</v>
      </c>
      <c r="B62" s="27">
        <v>40546</v>
      </c>
      <c r="C62" s="12">
        <v>1</v>
      </c>
      <c r="D62" s="12">
        <v>15</v>
      </c>
      <c r="E62" s="12" t="b">
        <v>0</v>
      </c>
      <c r="F62" s="12">
        <v>1</v>
      </c>
      <c r="G62" s="12">
        <v>1</v>
      </c>
      <c r="H62" s="12">
        <v>0.26</v>
      </c>
      <c r="I62" s="12">
        <v>0.2424</v>
      </c>
      <c r="J62" s="12">
        <v>0.3</v>
      </c>
      <c r="K62" s="12">
        <v>0.25369999999999998</v>
      </c>
      <c r="L62" s="12">
        <v>14</v>
      </c>
      <c r="M62" s="12">
        <v>58</v>
      </c>
      <c r="N62" s="12">
        <v>72</v>
      </c>
      <c r="O62" s="12" t="str">
        <f>VLOOKUP(G62,calculate_field!$B$2:$C$5,2,FALSE)</f>
        <v>Clear/Partly Cloudy</v>
      </c>
      <c r="P62" s="12" t="str">
        <f t="shared" si="0"/>
        <v>Monday</v>
      </c>
      <c r="Q62" s="12" t="str">
        <f t="shared" si="1"/>
        <v>Weekday</v>
      </c>
      <c r="R62" s="12" t="str">
        <f t="shared" si="7"/>
        <v>Afternoon</v>
      </c>
      <c r="S62" s="28" t="str">
        <f>INDEX(calculate_field!$F$2:$F$4, MATCH(H62, calculate_field!$E$2:$E$4, 1))</f>
        <v>Mild</v>
      </c>
      <c r="T62" s="33">
        <f t="shared" si="8"/>
        <v>63.875</v>
      </c>
      <c r="U62" s="33">
        <f t="shared" si="4"/>
        <v>51.631059492788118</v>
      </c>
      <c r="V62" s="33">
        <f t="shared" si="5"/>
        <v>-4.8082270953038068E-2</v>
      </c>
      <c r="W62" s="12" t="b">
        <f t="shared" si="6"/>
        <v>1</v>
      </c>
    </row>
    <row r="63" spans="1:23">
      <c r="A63" s="26">
        <v>62</v>
      </c>
      <c r="B63" s="27">
        <v>40546</v>
      </c>
      <c r="C63" s="12">
        <v>1</v>
      </c>
      <c r="D63" s="12">
        <v>16</v>
      </c>
      <c r="E63" s="12" t="b">
        <v>0</v>
      </c>
      <c r="F63" s="12">
        <v>1</v>
      </c>
      <c r="G63" s="12">
        <v>1</v>
      </c>
      <c r="H63" s="12">
        <v>0.26</v>
      </c>
      <c r="I63" s="12">
        <v>0.2424</v>
      </c>
      <c r="J63" s="12">
        <v>0.3</v>
      </c>
      <c r="K63" s="12">
        <v>0.25369999999999998</v>
      </c>
      <c r="L63" s="12">
        <v>9</v>
      </c>
      <c r="M63" s="12">
        <v>67</v>
      </c>
      <c r="N63" s="12">
        <v>76</v>
      </c>
      <c r="O63" s="12" t="str">
        <f>VLOOKUP(G63,calculate_field!$B$2:$C$5,2,FALSE)</f>
        <v>Clear/Partly Cloudy</v>
      </c>
      <c r="P63" s="12" t="str">
        <f t="shared" si="0"/>
        <v>Monday</v>
      </c>
      <c r="Q63" s="12" t="str">
        <f t="shared" si="1"/>
        <v>Weekday</v>
      </c>
      <c r="R63" s="12" t="str">
        <f t="shared" si="7"/>
        <v>Afternoon</v>
      </c>
      <c r="S63" s="28" t="str">
        <f>INDEX(calculate_field!$F$2:$F$4, MATCH(H63, calculate_field!$E$2:$E$4, 1))</f>
        <v>Mild</v>
      </c>
      <c r="T63" s="33">
        <f t="shared" si="8"/>
        <v>64.333333333333329</v>
      </c>
      <c r="U63" s="33">
        <f t="shared" si="4"/>
        <v>51.754996958215806</v>
      </c>
      <c r="V63" s="33">
        <f t="shared" si="5"/>
        <v>0.23563785884211183</v>
      </c>
      <c r="W63" s="12" t="b">
        <f t="shared" si="6"/>
        <v>0</v>
      </c>
    </row>
    <row r="64" spans="1:23">
      <c r="A64" s="26">
        <v>63</v>
      </c>
      <c r="B64" s="27">
        <v>40546</v>
      </c>
      <c r="C64" s="12">
        <v>1</v>
      </c>
      <c r="D64" s="12">
        <v>17</v>
      </c>
      <c r="E64" s="12" t="b">
        <v>0</v>
      </c>
      <c r="F64" s="12">
        <v>1</v>
      </c>
      <c r="G64" s="12">
        <v>1</v>
      </c>
      <c r="H64" s="12">
        <v>0.24</v>
      </c>
      <c r="I64" s="12">
        <v>0.2273</v>
      </c>
      <c r="J64" s="12">
        <v>0.3</v>
      </c>
      <c r="K64" s="12">
        <v>0.22389999999999999</v>
      </c>
      <c r="L64" s="12">
        <v>11</v>
      </c>
      <c r="M64" s="12">
        <v>146</v>
      </c>
      <c r="N64" s="12">
        <v>157</v>
      </c>
      <c r="O64" s="12" t="str">
        <f>VLOOKUP(G64,calculate_field!$B$2:$C$5,2,FALSE)</f>
        <v>Clear/Partly Cloudy</v>
      </c>
      <c r="P64" s="12" t="str">
        <f t="shared" si="0"/>
        <v>Monday</v>
      </c>
      <c r="Q64" s="12" t="str">
        <f t="shared" si="1"/>
        <v>Weekday</v>
      </c>
      <c r="R64" s="12" t="str">
        <f t="shared" si="7"/>
        <v>Evening</v>
      </c>
      <c r="S64" s="28" t="str">
        <f>INDEX(calculate_field!$F$2:$F$4, MATCH(H64, calculate_field!$E$2:$E$4, 1))</f>
        <v>Mild</v>
      </c>
      <c r="T64" s="33">
        <f t="shared" si="8"/>
        <v>70</v>
      </c>
      <c r="U64" s="33">
        <f t="shared" si="4"/>
        <v>59.893383535281657</v>
      </c>
      <c r="V64" s="33">
        <f t="shared" si="5"/>
        <v>2.1392376392281216</v>
      </c>
      <c r="W64" s="12" t="b">
        <f t="shared" si="6"/>
        <v>0</v>
      </c>
    </row>
    <row r="65" spans="1:23">
      <c r="A65" s="26">
        <v>64</v>
      </c>
      <c r="B65" s="27">
        <v>40546</v>
      </c>
      <c r="C65" s="12">
        <v>1</v>
      </c>
      <c r="D65" s="12">
        <v>18</v>
      </c>
      <c r="E65" s="12" t="b">
        <v>0</v>
      </c>
      <c r="F65" s="12">
        <v>1</v>
      </c>
      <c r="G65" s="12">
        <v>1</v>
      </c>
      <c r="H65" s="12">
        <v>0.24</v>
      </c>
      <c r="I65" s="12">
        <v>0.2576</v>
      </c>
      <c r="J65" s="12">
        <v>0.32</v>
      </c>
      <c r="K65" s="12">
        <v>0.1045</v>
      </c>
      <c r="L65" s="12">
        <v>9</v>
      </c>
      <c r="M65" s="12">
        <v>148</v>
      </c>
      <c r="N65" s="12">
        <v>157</v>
      </c>
      <c r="O65" s="12" t="str">
        <f>VLOOKUP(G65,calculate_field!$B$2:$C$5,2,FALSE)</f>
        <v>Clear/Partly Cloudy</v>
      </c>
      <c r="P65" s="12" t="str">
        <f t="shared" si="0"/>
        <v>Monday</v>
      </c>
      <c r="Q65" s="12" t="str">
        <f t="shared" si="1"/>
        <v>Weekday</v>
      </c>
      <c r="R65" s="12" t="str">
        <f>IF(D65&lt;6,"Night",IF(D65&lt;12,"Morning",IF(D65&lt;17,"Afternoon",IF(D65&lt;=21,"Evening","Night"))))</f>
        <v>Evening</v>
      </c>
      <c r="S65" s="28" t="str">
        <f>INDEX(calculate_field!$F$2:$F$4, MATCH(H65, calculate_field!$E$2:$E$4, 1))</f>
        <v>Mild</v>
      </c>
      <c r="T65" s="33">
        <f t="shared" si="8"/>
        <v>71.041666666666671</v>
      </c>
      <c r="U65" s="33">
        <f t="shared" si="4"/>
        <v>61.663518329346267</v>
      </c>
      <c r="V65" s="33">
        <f t="shared" si="5"/>
        <v>1.8013147406208672</v>
      </c>
      <c r="W65" s="12" t="b">
        <f t="shared" si="6"/>
        <v>0</v>
      </c>
    </row>
    <row r="66" spans="1:23">
      <c r="A66" s="26">
        <v>65</v>
      </c>
      <c r="B66" s="27">
        <v>40546</v>
      </c>
      <c r="C66" s="12">
        <v>1</v>
      </c>
      <c r="D66" s="12">
        <v>19</v>
      </c>
      <c r="E66" s="12" t="b">
        <v>0</v>
      </c>
      <c r="F66" s="12">
        <v>1</v>
      </c>
      <c r="G66" s="12">
        <v>1</v>
      </c>
      <c r="H66" s="12">
        <v>0.2</v>
      </c>
      <c r="I66" s="12">
        <v>0.2576</v>
      </c>
      <c r="J66" s="12">
        <v>0.47</v>
      </c>
      <c r="K66" s="12">
        <v>0</v>
      </c>
      <c r="L66" s="12">
        <v>8</v>
      </c>
      <c r="M66" s="12">
        <v>102</v>
      </c>
      <c r="N66" s="12">
        <v>110</v>
      </c>
      <c r="O66" s="12" t="str">
        <f>VLOOKUP(G66,calculate_field!$B$2:$C$5,2,FALSE)</f>
        <v>Clear/Partly Cloudy</v>
      </c>
      <c r="P66" s="12" t="str">
        <f t="shared" ref="P66:P129" si="9">CHOOSE(F66+1,"Sunday","Monday","Tuesday","Wednesday","Thursday","Friday","Saturday")</f>
        <v>Monday</v>
      </c>
      <c r="Q66" s="12" t="str">
        <f t="shared" ref="Q66:Q129" si="10">IF(OR(F66=0,F66=6),"Weekend","Weekday")</f>
        <v>Weekday</v>
      </c>
      <c r="R66" s="12" t="str">
        <f t="shared" ref="R66:R129" si="11">IF(D66&lt;6,"Night",IF(D66&lt;12,"Morning",IF(D66&lt;17,"Afternoon",IF(D66&lt;21,"Evening","Night"))))</f>
        <v>Evening</v>
      </c>
      <c r="S66" s="28" t="str">
        <f>INDEX(calculate_field!$F$2:$F$4, MATCH(H66, calculate_field!$E$2:$E$4, 1))</f>
        <v>Mild</v>
      </c>
      <c r="T66" s="33">
        <f t="shared" ref="T66:T129" si="12">AVERAGE(N66:N89)</f>
        <v>69.166666666666671</v>
      </c>
      <c r="U66" s="33">
        <f t="shared" ref="U66:U129" si="13">_xlfn.STDEV.S(N66:N89)</f>
        <v>59.585281715382102</v>
      </c>
      <c r="V66" s="33">
        <f t="shared" ref="V66:V129" si="14">(N89-T89)/U89</f>
        <v>0.73128771872724208</v>
      </c>
      <c r="W66" s="12" t="b">
        <f t="shared" ref="W66:W129" si="15">IFERROR(ABS(V82)&gt;1.5,FALSE)</f>
        <v>0</v>
      </c>
    </row>
    <row r="67" spans="1:23">
      <c r="A67" s="26">
        <v>66</v>
      </c>
      <c r="B67" s="27">
        <v>40546</v>
      </c>
      <c r="C67" s="12">
        <v>1</v>
      </c>
      <c r="D67" s="12">
        <v>20</v>
      </c>
      <c r="E67" s="12" t="b">
        <v>0</v>
      </c>
      <c r="F67" s="12">
        <v>1</v>
      </c>
      <c r="G67" s="12">
        <v>1</v>
      </c>
      <c r="H67" s="12">
        <v>0.2</v>
      </c>
      <c r="I67" s="12">
        <f>IF(I50="", _xlfn.MODE.SNGL($I$2:$I$1000), I50)</f>
        <v>0.40910000000000002</v>
      </c>
      <c r="J67" s="12">
        <v>0.47</v>
      </c>
      <c r="K67" s="12">
        <v>0.1045</v>
      </c>
      <c r="L67" s="12">
        <v>3</v>
      </c>
      <c r="M67" s="12">
        <v>49</v>
      </c>
      <c r="N67" s="12">
        <v>52</v>
      </c>
      <c r="O67" s="12" t="str">
        <f>VLOOKUP(G67,calculate_field!$B$2:$C$5,2,FALSE)</f>
        <v>Clear/Partly Cloudy</v>
      </c>
      <c r="P67" s="12" t="str">
        <f t="shared" si="9"/>
        <v>Monday</v>
      </c>
      <c r="Q67" s="12" t="str">
        <f t="shared" si="10"/>
        <v>Weekday</v>
      </c>
      <c r="R67" s="12" t="str">
        <f t="shared" si="11"/>
        <v>Evening</v>
      </c>
      <c r="S67" s="28" t="str">
        <f>INDEX(calculate_field!$F$2:$F$4, MATCH(H67, calculate_field!$E$2:$E$4, 1))</f>
        <v>Mild</v>
      </c>
      <c r="T67" s="33">
        <f t="shared" si="12"/>
        <v>66.833333333333329</v>
      </c>
      <c r="U67" s="33">
        <f t="shared" si="13"/>
        <v>59.010438771949246</v>
      </c>
      <c r="V67" s="33">
        <f t="shared" si="14"/>
        <v>-0.25160834203746063</v>
      </c>
      <c r="W67" s="12" t="b">
        <f t="shared" si="15"/>
        <v>0</v>
      </c>
    </row>
    <row r="68" spans="1:23">
      <c r="A68" s="26">
        <v>67</v>
      </c>
      <c r="B68" s="27">
        <v>40546</v>
      </c>
      <c r="C68" s="12">
        <v>1</v>
      </c>
      <c r="D68" s="12">
        <v>21</v>
      </c>
      <c r="E68" s="12" t="b">
        <v>0</v>
      </c>
      <c r="F68" s="12">
        <v>1</v>
      </c>
      <c r="G68" s="12">
        <v>1</v>
      </c>
      <c r="H68" s="12">
        <v>0.18</v>
      </c>
      <c r="I68" s="12">
        <v>0.19700000000000001</v>
      </c>
      <c r="J68" s="12">
        <v>0.64</v>
      </c>
      <c r="K68" s="12">
        <v>0.1343</v>
      </c>
      <c r="L68" s="12">
        <v>3</v>
      </c>
      <c r="M68" s="12">
        <v>49</v>
      </c>
      <c r="N68" s="12">
        <v>52</v>
      </c>
      <c r="O68" s="12" t="str">
        <f>VLOOKUP(G68,calculate_field!$B$2:$C$5,2,FALSE)</f>
        <v>Clear/Partly Cloudy</v>
      </c>
      <c r="P68" s="12" t="str">
        <f t="shared" si="9"/>
        <v>Monday</v>
      </c>
      <c r="Q68" s="12" t="str">
        <f t="shared" si="10"/>
        <v>Weekday</v>
      </c>
      <c r="R68" s="12" t="str">
        <f t="shared" si="11"/>
        <v>Night</v>
      </c>
      <c r="S68" s="28" t="str">
        <f>INDEX(calculate_field!$F$2:$F$4, MATCH(H68, calculate_field!$E$2:$E$4, 1))</f>
        <v>Cold</v>
      </c>
      <c r="T68" s="33">
        <f t="shared" si="12"/>
        <v>66.666666666666671</v>
      </c>
      <c r="U68" s="33">
        <f t="shared" si="13"/>
        <v>59.059783025460675</v>
      </c>
      <c r="V68" s="33">
        <f t="shared" si="14"/>
        <v>-0.34678307427104071</v>
      </c>
      <c r="W68" s="12" t="b">
        <f t="shared" si="15"/>
        <v>0</v>
      </c>
    </row>
    <row r="69" spans="1:23">
      <c r="A69" s="26">
        <v>68</v>
      </c>
      <c r="B69" s="27">
        <v>40546</v>
      </c>
      <c r="C69" s="12">
        <v>1</v>
      </c>
      <c r="D69" s="12">
        <v>22</v>
      </c>
      <c r="E69" s="12" t="b">
        <v>0</v>
      </c>
      <c r="F69" s="12">
        <v>1</v>
      </c>
      <c r="G69" s="12">
        <v>1</v>
      </c>
      <c r="H69" s="12">
        <v>0.14000000000000001</v>
      </c>
      <c r="I69" s="12">
        <v>0.1515</v>
      </c>
      <c r="J69" s="12">
        <v>0.69</v>
      </c>
      <c r="K69" s="12">
        <v>0.1343</v>
      </c>
      <c r="L69" s="12">
        <v>0</v>
      </c>
      <c r="M69" s="12">
        <v>20</v>
      </c>
      <c r="N69" s="12">
        <v>20</v>
      </c>
      <c r="O69" s="12" t="str">
        <f>VLOOKUP(G69,calculate_field!$B$2:$C$5,2,FALSE)</f>
        <v>Clear/Partly Cloudy</v>
      </c>
      <c r="P69" s="12" t="str">
        <f t="shared" si="9"/>
        <v>Monday</v>
      </c>
      <c r="Q69" s="12" t="str">
        <f t="shared" si="10"/>
        <v>Weekday</v>
      </c>
      <c r="R69" s="12" t="str">
        <f t="shared" si="11"/>
        <v>Night</v>
      </c>
      <c r="S69" s="28" t="str">
        <f>INDEX(calculate_field!$F$2:$F$4, MATCH(H69, calculate_field!$E$2:$E$4, 1))</f>
        <v>Cold</v>
      </c>
      <c r="T69" s="33">
        <f t="shared" si="12"/>
        <v>65.958333333333329</v>
      </c>
      <c r="U69" s="33">
        <f t="shared" si="13"/>
        <v>59.344593663630803</v>
      </c>
      <c r="V69" s="33">
        <f t="shared" si="14"/>
        <v>-0.56638481734005486</v>
      </c>
      <c r="W69" s="12" t="b">
        <f t="shared" si="15"/>
        <v>0</v>
      </c>
    </row>
    <row r="70" spans="1:23">
      <c r="A70" s="26">
        <v>69</v>
      </c>
      <c r="B70" s="27">
        <v>40546</v>
      </c>
      <c r="C70" s="12">
        <v>1</v>
      </c>
      <c r="D70" s="12">
        <v>23</v>
      </c>
      <c r="E70" s="12" t="b">
        <v>0</v>
      </c>
      <c r="F70" s="12">
        <v>1</v>
      </c>
      <c r="G70" s="12">
        <v>1</v>
      </c>
      <c r="H70" s="12">
        <v>0.18</v>
      </c>
      <c r="I70" s="12">
        <v>0.21210000000000001</v>
      </c>
      <c r="J70" s="12">
        <v>0.55000000000000004</v>
      </c>
      <c r="K70" s="12">
        <v>0.1045</v>
      </c>
      <c r="L70" s="12">
        <v>1</v>
      </c>
      <c r="M70" s="12">
        <v>11</v>
      </c>
      <c r="N70" s="12">
        <v>12</v>
      </c>
      <c r="O70" s="12" t="str">
        <f>VLOOKUP(G70,calculate_field!$B$2:$C$5,2,FALSE)</f>
        <v>Clear/Partly Cloudy</v>
      </c>
      <c r="P70" s="12" t="str">
        <f t="shared" si="9"/>
        <v>Monday</v>
      </c>
      <c r="Q70" s="12" t="str">
        <f t="shared" si="10"/>
        <v>Weekday</v>
      </c>
      <c r="R70" s="12" t="str">
        <f t="shared" si="11"/>
        <v>Night</v>
      </c>
      <c r="S70" s="28" t="str">
        <f>INDEX(calculate_field!$F$2:$F$4, MATCH(H70, calculate_field!$E$2:$E$4, 1))</f>
        <v>Cold</v>
      </c>
      <c r="T70" s="33">
        <f t="shared" si="12"/>
        <v>65.583333333333329</v>
      </c>
      <c r="U70" s="33">
        <f t="shared" si="13"/>
        <v>59.675147158643831</v>
      </c>
      <c r="V70" s="33">
        <f t="shared" si="14"/>
        <v>-0.96136478215563159</v>
      </c>
      <c r="W70" s="12" t="b">
        <f t="shared" si="15"/>
        <v>0</v>
      </c>
    </row>
    <row r="71" spans="1:23">
      <c r="A71" s="26">
        <v>70</v>
      </c>
      <c r="B71" s="27">
        <v>40547</v>
      </c>
      <c r="C71" s="12">
        <v>1</v>
      </c>
      <c r="D71" s="12">
        <v>0</v>
      </c>
      <c r="E71" s="12" t="b">
        <v>0</v>
      </c>
      <c r="F71" s="12">
        <v>2</v>
      </c>
      <c r="G71" s="12">
        <v>1</v>
      </c>
      <c r="H71" s="12">
        <v>0.16</v>
      </c>
      <c r="I71" s="12">
        <f>IF(I54="", _xlfn.MODE.SNGL($I$2:$I$1000), I54)</f>
        <v>0.13639999999999999</v>
      </c>
      <c r="J71" s="12">
        <v>0.55000000000000004</v>
      </c>
      <c r="K71" s="12">
        <v>0.1045</v>
      </c>
      <c r="L71" s="12">
        <v>0</v>
      </c>
      <c r="M71" s="12">
        <v>5</v>
      </c>
      <c r="N71" s="12">
        <v>5</v>
      </c>
      <c r="O71" s="12" t="str">
        <f>VLOOKUP(G71,calculate_field!$B$2:$C$5,2,FALSE)</f>
        <v>Clear/Partly Cloudy</v>
      </c>
      <c r="P71" s="12" t="str">
        <f t="shared" si="9"/>
        <v>Tuesday</v>
      </c>
      <c r="Q71" s="12" t="str">
        <f t="shared" si="10"/>
        <v>Weekday</v>
      </c>
      <c r="R71" s="12" t="str">
        <f t="shared" si="11"/>
        <v>Night</v>
      </c>
      <c r="S71" s="28" t="str">
        <f>INDEX(calculate_field!$F$2:$F$4, MATCH(H71, calculate_field!$E$2:$E$4, 1))</f>
        <v>Cold</v>
      </c>
      <c r="T71" s="33">
        <f t="shared" si="12"/>
        <v>65.333333333333329</v>
      </c>
      <c r="U71" s="33">
        <f t="shared" si="13"/>
        <v>59.921446161995519</v>
      </c>
      <c r="V71" s="33">
        <f t="shared" si="14"/>
        <v>-1.0470097516127035</v>
      </c>
      <c r="W71" s="12" t="b">
        <f t="shared" si="15"/>
        <v>1</v>
      </c>
    </row>
    <row r="72" spans="1:23">
      <c r="A72" s="26">
        <v>71</v>
      </c>
      <c r="B72" s="27">
        <v>40547</v>
      </c>
      <c r="C72" s="12">
        <v>1</v>
      </c>
      <c r="D72" s="12">
        <v>1</v>
      </c>
      <c r="E72" s="12" t="b">
        <v>0</v>
      </c>
      <c r="F72" s="12">
        <v>2</v>
      </c>
      <c r="G72" s="12">
        <v>1</v>
      </c>
      <c r="H72" s="12">
        <v>0.16</v>
      </c>
      <c r="I72" s="12">
        <v>0.18179999999999999</v>
      </c>
      <c r="J72" s="12">
        <v>0.59</v>
      </c>
      <c r="K72" s="12">
        <v>0.1045</v>
      </c>
      <c r="L72" s="12">
        <v>0</v>
      </c>
      <c r="M72" s="12">
        <v>2</v>
      </c>
      <c r="N72" s="12">
        <v>2</v>
      </c>
      <c r="O72" s="12" t="str">
        <f>VLOOKUP(G72,calculate_field!$B$2:$C$5,2,FALSE)</f>
        <v>Clear/Partly Cloudy</v>
      </c>
      <c r="P72" s="12" t="str">
        <f t="shared" si="9"/>
        <v>Tuesday</v>
      </c>
      <c r="Q72" s="12" t="str">
        <f t="shared" si="10"/>
        <v>Weekday</v>
      </c>
      <c r="R72" s="12" t="str">
        <f t="shared" si="11"/>
        <v>Night</v>
      </c>
      <c r="S72" s="28" t="str">
        <f>INDEX(calculate_field!$F$2:$F$4, MATCH(H72, calculate_field!$E$2:$E$4, 1))</f>
        <v>Cold</v>
      </c>
      <c r="T72" s="33">
        <f t="shared" si="12"/>
        <v>65.375</v>
      </c>
      <c r="U72" s="33">
        <f t="shared" si="13"/>
        <v>59.878000968636222</v>
      </c>
      <c r="V72" s="33">
        <f t="shared" si="14"/>
        <v>-1.0439301120187663</v>
      </c>
      <c r="W72" s="12" t="b">
        <f t="shared" si="15"/>
        <v>1</v>
      </c>
    </row>
    <row r="73" spans="1:23">
      <c r="A73" s="26">
        <v>72</v>
      </c>
      <c r="B73" s="27">
        <v>40547</v>
      </c>
      <c r="C73" s="12">
        <v>1</v>
      </c>
      <c r="D73" s="12">
        <v>2</v>
      </c>
      <c r="E73" s="12" t="b">
        <v>0</v>
      </c>
      <c r="F73" s="12">
        <v>2</v>
      </c>
      <c r="G73" s="12">
        <v>1</v>
      </c>
      <c r="H73" s="12">
        <v>0.14000000000000001</v>
      </c>
      <c r="I73" s="12">
        <v>0.1515</v>
      </c>
      <c r="J73" s="12">
        <v>0.63</v>
      </c>
      <c r="K73" s="12">
        <v>0.1343</v>
      </c>
      <c r="L73" s="12">
        <v>0</v>
      </c>
      <c r="M73" s="12">
        <v>1</v>
      </c>
      <c r="N73" s="12">
        <v>1</v>
      </c>
      <c r="O73" s="12" t="str">
        <f>VLOOKUP(G73,calculate_field!$B$2:$C$5,2,FALSE)</f>
        <v>Clear/Partly Cloudy</v>
      </c>
      <c r="P73" s="12" t="str">
        <f t="shared" si="9"/>
        <v>Tuesday</v>
      </c>
      <c r="Q73" s="12" t="str">
        <f t="shared" si="10"/>
        <v>Weekday</v>
      </c>
      <c r="R73" s="12" t="str">
        <f t="shared" si="11"/>
        <v>Night</v>
      </c>
      <c r="S73" s="28" t="str">
        <f>INDEX(calculate_field!$F$2:$F$4, MATCH(H73, calculate_field!$E$2:$E$4, 1))</f>
        <v>Cold</v>
      </c>
      <c r="T73" s="33">
        <f t="shared" si="12"/>
        <v>65.375</v>
      </c>
      <c r="U73" s="33">
        <f t="shared" si="13"/>
        <v>59.878000968636222</v>
      </c>
      <c r="V73" s="33">
        <f t="shared" si="14"/>
        <v>-1.1059514527775274</v>
      </c>
      <c r="W73" s="12" t="b">
        <f t="shared" si="15"/>
        <v>0</v>
      </c>
    </row>
    <row r="74" spans="1:23">
      <c r="A74" s="26">
        <v>73</v>
      </c>
      <c r="B74" s="27">
        <v>40547</v>
      </c>
      <c r="C74" s="12">
        <v>1</v>
      </c>
      <c r="D74" s="12">
        <v>4</v>
      </c>
      <c r="E74" s="12" t="b">
        <v>0</v>
      </c>
      <c r="F74" s="12">
        <v>2</v>
      </c>
      <c r="G74" s="12">
        <v>1</v>
      </c>
      <c r="H74" s="12">
        <v>0.14000000000000001</v>
      </c>
      <c r="I74" s="12">
        <v>0.18179999999999999</v>
      </c>
      <c r="J74" s="12">
        <v>0.63</v>
      </c>
      <c r="K74" s="12">
        <v>8.9599999999999999E-2</v>
      </c>
      <c r="L74" s="12">
        <v>0</v>
      </c>
      <c r="M74" s="12">
        <v>2</v>
      </c>
      <c r="N74" s="12">
        <v>2</v>
      </c>
      <c r="O74" s="12" t="str">
        <f>VLOOKUP(G74,calculate_field!$B$2:$C$5,2,FALSE)</f>
        <v>Clear/Partly Cloudy</v>
      </c>
      <c r="P74" s="12" t="str">
        <f t="shared" si="9"/>
        <v>Tuesday</v>
      </c>
      <c r="Q74" s="12" t="str">
        <f t="shared" si="10"/>
        <v>Weekday</v>
      </c>
      <c r="R74" s="12" t="str">
        <f t="shared" si="11"/>
        <v>Night</v>
      </c>
      <c r="S74" s="28" t="str">
        <f>INDEX(calculate_field!$F$2:$F$4, MATCH(H74, calculate_field!$E$2:$E$4, 1))</f>
        <v>Cold</v>
      </c>
      <c r="T74" s="33">
        <f t="shared" si="12"/>
        <v>65.416666666666671</v>
      </c>
      <c r="U74" s="33">
        <f t="shared" si="13"/>
        <v>59.831587314559108</v>
      </c>
      <c r="V74" s="33">
        <f t="shared" si="14"/>
        <v>-1.1043295896978131</v>
      </c>
      <c r="W74" s="12" t="b">
        <f t="shared" si="15"/>
        <v>0</v>
      </c>
    </row>
    <row r="75" spans="1:23">
      <c r="A75" s="26">
        <v>74</v>
      </c>
      <c r="B75" s="27">
        <v>40547</v>
      </c>
      <c r="C75" s="12">
        <v>1</v>
      </c>
      <c r="D75" s="12">
        <v>5</v>
      </c>
      <c r="E75" s="12" t="b">
        <v>0</v>
      </c>
      <c r="F75" s="12">
        <v>2</v>
      </c>
      <c r="G75" s="12">
        <v>1</v>
      </c>
      <c r="H75" s="12">
        <v>0.12</v>
      </c>
      <c r="I75" s="12">
        <v>0.1515</v>
      </c>
      <c r="J75" s="12">
        <v>0.68</v>
      </c>
      <c r="K75" s="12">
        <v>0.1045</v>
      </c>
      <c r="L75" s="12">
        <v>0</v>
      </c>
      <c r="M75" s="12">
        <v>4</v>
      </c>
      <c r="N75" s="12">
        <v>4</v>
      </c>
      <c r="O75" s="12" t="str">
        <f>VLOOKUP(G75,calculate_field!$B$2:$C$5,2,FALSE)</f>
        <v>Clear/Partly Cloudy</v>
      </c>
      <c r="P75" s="12" t="str">
        <f t="shared" si="9"/>
        <v>Tuesday</v>
      </c>
      <c r="Q75" s="12" t="str">
        <f t="shared" si="10"/>
        <v>Weekday</v>
      </c>
      <c r="R75" s="12" t="str">
        <f t="shared" si="11"/>
        <v>Night</v>
      </c>
      <c r="S75" s="28" t="str">
        <f>INDEX(calculate_field!$F$2:$F$4, MATCH(H75, calculate_field!$E$2:$E$4, 1))</f>
        <v>Cold</v>
      </c>
      <c r="T75" s="33">
        <f t="shared" si="12"/>
        <v>65.458333333333329</v>
      </c>
      <c r="U75" s="33">
        <f t="shared" si="13"/>
        <v>59.785834563822505</v>
      </c>
      <c r="V75" s="33">
        <f t="shared" si="14"/>
        <v>-1.0904744070275108</v>
      </c>
      <c r="W75" s="12" t="b">
        <f t="shared" si="15"/>
        <v>0</v>
      </c>
    </row>
    <row r="76" spans="1:23">
      <c r="A76" s="26">
        <v>75</v>
      </c>
      <c r="B76" s="27">
        <v>40547</v>
      </c>
      <c r="C76" s="12">
        <v>1</v>
      </c>
      <c r="D76" s="12">
        <v>6</v>
      </c>
      <c r="E76" s="12" t="b">
        <v>0</v>
      </c>
      <c r="F76" s="12">
        <v>2</v>
      </c>
      <c r="G76" s="12">
        <v>1</v>
      </c>
      <c r="H76" s="12">
        <v>0.12</v>
      </c>
      <c r="I76" s="12">
        <v>0.1515</v>
      </c>
      <c r="J76" s="12">
        <v>0.74</v>
      </c>
      <c r="K76" s="12">
        <v>0.1045</v>
      </c>
      <c r="L76" s="12">
        <v>0</v>
      </c>
      <c r="M76" s="12">
        <v>36</v>
      </c>
      <c r="N76" s="12">
        <v>36</v>
      </c>
      <c r="O76" s="12" t="str">
        <f>VLOOKUP(G76,calculate_field!$B$2:$C$5,2,FALSE)</f>
        <v>Clear/Partly Cloudy</v>
      </c>
      <c r="P76" s="12" t="str">
        <f t="shared" si="9"/>
        <v>Tuesday</v>
      </c>
      <c r="Q76" s="12" t="str">
        <f t="shared" si="10"/>
        <v>Weekday</v>
      </c>
      <c r="R76" s="12" t="str">
        <f t="shared" si="11"/>
        <v>Morning</v>
      </c>
      <c r="S76" s="28" t="str">
        <f>INDEX(calculate_field!$F$2:$F$4, MATCH(H76, calculate_field!$E$2:$E$4, 1))</f>
        <v>Cold</v>
      </c>
      <c r="T76" s="33">
        <f t="shared" si="12"/>
        <v>66.666666666666671</v>
      </c>
      <c r="U76" s="33">
        <f t="shared" si="13"/>
        <v>58.774193291796436</v>
      </c>
      <c r="V76" s="33">
        <f t="shared" si="14"/>
        <v>-0.61458004407176137</v>
      </c>
      <c r="W76" s="12" t="b">
        <f t="shared" si="15"/>
        <v>0</v>
      </c>
    </row>
    <row r="77" spans="1:23">
      <c r="A77" s="26">
        <v>76</v>
      </c>
      <c r="B77" s="27">
        <v>40547</v>
      </c>
      <c r="C77" s="12">
        <v>1</v>
      </c>
      <c r="D77" s="12">
        <v>7</v>
      </c>
      <c r="E77" s="12" t="b">
        <v>0</v>
      </c>
      <c r="F77" s="12">
        <v>2</v>
      </c>
      <c r="G77" s="12">
        <v>1</v>
      </c>
      <c r="H77" s="12">
        <v>0.12</v>
      </c>
      <c r="I77" s="12">
        <v>0.1515</v>
      </c>
      <c r="J77" s="12">
        <v>0.74</v>
      </c>
      <c r="K77" s="12">
        <v>0.1343</v>
      </c>
      <c r="L77" s="12">
        <v>2</v>
      </c>
      <c r="M77" s="12">
        <v>92</v>
      </c>
      <c r="N77" s="12">
        <v>94</v>
      </c>
      <c r="O77" s="12" t="str">
        <f>VLOOKUP(G77,calculate_field!$B$2:$C$5,2,FALSE)</f>
        <v>Clear/Partly Cloudy</v>
      </c>
      <c r="P77" s="12" t="str">
        <f t="shared" si="9"/>
        <v>Tuesday</v>
      </c>
      <c r="Q77" s="12" t="str">
        <f t="shared" si="10"/>
        <v>Weekday</v>
      </c>
      <c r="R77" s="12" t="str">
        <f t="shared" si="11"/>
        <v>Morning</v>
      </c>
      <c r="S77" s="28" t="str">
        <f>INDEX(calculate_field!$F$2:$F$4, MATCH(H77, calculate_field!$E$2:$E$4, 1))</f>
        <v>Cold</v>
      </c>
      <c r="T77" s="33">
        <f t="shared" si="12"/>
        <v>68.833333333333329</v>
      </c>
      <c r="U77" s="33">
        <f t="shared" si="13"/>
        <v>58.552590011898268</v>
      </c>
      <c r="V77" s="33">
        <f t="shared" si="14"/>
        <v>0.29959061174029716</v>
      </c>
      <c r="W77" s="12" t="b">
        <f t="shared" si="15"/>
        <v>0</v>
      </c>
    </row>
    <row r="78" spans="1:23">
      <c r="A78" s="26">
        <v>77</v>
      </c>
      <c r="B78" s="27">
        <v>40547</v>
      </c>
      <c r="C78" s="12">
        <v>1</v>
      </c>
      <c r="D78" s="12">
        <v>8</v>
      </c>
      <c r="E78" s="12" t="b">
        <v>0</v>
      </c>
      <c r="F78" s="12">
        <v>2</v>
      </c>
      <c r="G78" s="12">
        <v>1</v>
      </c>
      <c r="H78" s="12">
        <v>0.14000000000000001</v>
      </c>
      <c r="I78" s="12">
        <v>0.1515</v>
      </c>
      <c r="J78" s="12">
        <v>0.69</v>
      </c>
      <c r="K78" s="12">
        <v>0.16420000000000001</v>
      </c>
      <c r="L78" s="12">
        <v>2</v>
      </c>
      <c r="M78" s="12">
        <v>177</v>
      </c>
      <c r="N78" s="12">
        <v>179</v>
      </c>
      <c r="O78" s="12" t="str">
        <f>VLOOKUP(G78,calculate_field!$B$2:$C$5,2,FALSE)</f>
        <v>Clear/Partly Cloudy</v>
      </c>
      <c r="P78" s="12" t="str">
        <f t="shared" si="9"/>
        <v>Tuesday</v>
      </c>
      <c r="Q78" s="12" t="str">
        <f t="shared" si="10"/>
        <v>Weekday</v>
      </c>
      <c r="R78" s="12" t="str">
        <f t="shared" si="11"/>
        <v>Morning</v>
      </c>
      <c r="S78" s="28" t="str">
        <f>INDEX(calculate_field!$F$2:$F$4, MATCH(H78, calculate_field!$E$2:$E$4, 1))</f>
        <v>Cold</v>
      </c>
      <c r="T78" s="33">
        <f t="shared" si="12"/>
        <v>73.041666666666671</v>
      </c>
      <c r="U78" s="33">
        <f t="shared" si="13"/>
        <v>63.83162577653308</v>
      </c>
      <c r="V78" s="33">
        <f t="shared" si="14"/>
        <v>1.8359828944690322</v>
      </c>
      <c r="W78" s="12" t="b">
        <f t="shared" si="15"/>
        <v>0</v>
      </c>
    </row>
    <row r="79" spans="1:23">
      <c r="A79" s="26">
        <v>78</v>
      </c>
      <c r="B79" s="27">
        <v>40547</v>
      </c>
      <c r="C79" s="12">
        <v>1</v>
      </c>
      <c r="D79" s="12">
        <v>9</v>
      </c>
      <c r="E79" s="12" t="b">
        <v>0</v>
      </c>
      <c r="F79" s="12">
        <v>2</v>
      </c>
      <c r="G79" s="12">
        <v>1</v>
      </c>
      <c r="H79" s="12">
        <v>0.16</v>
      </c>
      <c r="I79" s="12">
        <v>0.1515</v>
      </c>
      <c r="J79" s="12">
        <v>0.64</v>
      </c>
      <c r="K79" s="12">
        <v>0.22389999999999999</v>
      </c>
      <c r="L79" s="12">
        <v>2</v>
      </c>
      <c r="M79" s="12">
        <v>98</v>
      </c>
      <c r="N79" s="12">
        <v>100</v>
      </c>
      <c r="O79" s="12" t="str">
        <f>VLOOKUP(G79,calculate_field!$B$2:$C$5,2,FALSE)</f>
        <v>Clear/Partly Cloudy</v>
      </c>
      <c r="P79" s="12" t="str">
        <f t="shared" si="9"/>
        <v>Tuesday</v>
      </c>
      <c r="Q79" s="12" t="str">
        <f t="shared" si="10"/>
        <v>Weekday</v>
      </c>
      <c r="R79" s="12" t="str">
        <f t="shared" si="11"/>
        <v>Morning</v>
      </c>
      <c r="S79" s="28" t="str">
        <f>INDEX(calculate_field!$F$2:$F$4, MATCH(H79, calculate_field!$E$2:$E$4, 1))</f>
        <v>Cold</v>
      </c>
      <c r="T79" s="33">
        <f t="shared" si="12"/>
        <v>70.375</v>
      </c>
      <c r="U79" s="33">
        <f t="shared" si="13"/>
        <v>60.460416443502432</v>
      </c>
      <c r="V79" s="33">
        <f t="shared" si="14"/>
        <v>0.69071118056867509</v>
      </c>
      <c r="W79" s="12" t="b">
        <f t="shared" si="15"/>
        <v>0</v>
      </c>
    </row>
    <row r="80" spans="1:23">
      <c r="A80" s="26">
        <v>79</v>
      </c>
      <c r="B80" s="27">
        <v>40547</v>
      </c>
      <c r="C80" s="12">
        <v>1</v>
      </c>
      <c r="D80" s="12">
        <v>10</v>
      </c>
      <c r="E80" s="12" t="b">
        <v>0</v>
      </c>
      <c r="F80" s="12">
        <v>2</v>
      </c>
      <c r="G80" s="12">
        <v>2</v>
      </c>
      <c r="H80" s="12">
        <v>0.16</v>
      </c>
      <c r="I80" s="12">
        <v>0.13639999999999999</v>
      </c>
      <c r="J80" s="12">
        <v>0.69</v>
      </c>
      <c r="K80" s="12">
        <v>0.32840000000000003</v>
      </c>
      <c r="L80" s="12">
        <v>5</v>
      </c>
      <c r="M80" s="12">
        <v>37</v>
      </c>
      <c r="N80" s="12">
        <v>42</v>
      </c>
      <c r="O80" s="12" t="str">
        <f>VLOOKUP(G80,calculate_field!$B$2:$C$5,2,FALSE)</f>
        <v xml:space="preserve">Mist / cloudy </v>
      </c>
      <c r="P80" s="12" t="str">
        <f t="shared" si="9"/>
        <v>Tuesday</v>
      </c>
      <c r="Q80" s="12" t="str">
        <f t="shared" si="10"/>
        <v>Weekday</v>
      </c>
      <c r="R80" s="12" t="str">
        <f t="shared" si="11"/>
        <v>Morning</v>
      </c>
      <c r="S80" s="28" t="str">
        <f>INDEX(calculate_field!$F$2:$F$4, MATCH(H80, calculate_field!$E$2:$E$4, 1))</f>
        <v>Cold</v>
      </c>
      <c r="T80" s="33">
        <f t="shared" si="12"/>
        <v>68.583333333333329</v>
      </c>
      <c r="U80" s="33">
        <f t="shared" si="13"/>
        <v>60.180826548477803</v>
      </c>
      <c r="V80" s="33">
        <f t="shared" si="14"/>
        <v>-0.2230222433973062</v>
      </c>
      <c r="W80" s="12" t="b">
        <f t="shared" si="15"/>
        <v>0</v>
      </c>
    </row>
    <row r="81" spans="1:23">
      <c r="A81" s="26">
        <v>80</v>
      </c>
      <c r="B81" s="27">
        <v>40547</v>
      </c>
      <c r="C81" s="12">
        <v>1</v>
      </c>
      <c r="D81" s="12">
        <v>11</v>
      </c>
      <c r="E81" s="12" t="b">
        <v>0</v>
      </c>
      <c r="F81" s="12">
        <v>2</v>
      </c>
      <c r="G81" s="12">
        <v>1</v>
      </c>
      <c r="H81" s="12">
        <v>0.22</v>
      </c>
      <c r="I81" s="12">
        <v>0.21210000000000001</v>
      </c>
      <c r="J81" s="12">
        <v>0.51</v>
      </c>
      <c r="K81" s="12">
        <v>0.29849999999999999</v>
      </c>
      <c r="L81" s="12">
        <v>7</v>
      </c>
      <c r="M81" s="12">
        <v>50</v>
      </c>
      <c r="N81" s="12">
        <v>57</v>
      </c>
      <c r="O81" s="12" t="str">
        <f>VLOOKUP(G81,calculate_field!$B$2:$C$5,2,FALSE)</f>
        <v>Clear/Partly Cloudy</v>
      </c>
      <c r="P81" s="12" t="str">
        <f t="shared" si="9"/>
        <v>Tuesday</v>
      </c>
      <c r="Q81" s="12" t="str">
        <f t="shared" si="10"/>
        <v>Weekday</v>
      </c>
      <c r="R81" s="12" t="str">
        <f t="shared" si="11"/>
        <v>Morning</v>
      </c>
      <c r="S81" s="28" t="str">
        <f>INDEX(calculate_field!$F$2:$F$4, MATCH(H81, calculate_field!$E$2:$E$4, 1))</f>
        <v>Mild</v>
      </c>
      <c r="T81" s="33">
        <f t="shared" si="12"/>
        <v>68.75</v>
      </c>
      <c r="U81" s="33">
        <f t="shared" si="13"/>
        <v>60.109501527737223</v>
      </c>
      <c r="V81" s="33">
        <f t="shared" si="14"/>
        <v>-0.4079544406776146</v>
      </c>
      <c r="W81" s="12" t="b">
        <f t="shared" si="15"/>
        <v>0</v>
      </c>
    </row>
    <row r="82" spans="1:23">
      <c r="A82" s="26">
        <v>81</v>
      </c>
      <c r="B82" s="27">
        <v>40547</v>
      </c>
      <c r="C82" s="12">
        <v>1</v>
      </c>
      <c r="D82" s="12">
        <v>12</v>
      </c>
      <c r="E82" s="12" t="b">
        <v>0</v>
      </c>
      <c r="F82" s="12">
        <v>2</v>
      </c>
      <c r="G82" s="12">
        <v>1</v>
      </c>
      <c r="H82" s="12">
        <v>0.22</v>
      </c>
      <c r="I82" s="12">
        <v>0.2273</v>
      </c>
      <c r="J82" s="12">
        <v>0.51</v>
      </c>
      <c r="K82" s="12">
        <v>0.16420000000000001</v>
      </c>
      <c r="L82" s="12">
        <v>12</v>
      </c>
      <c r="M82" s="12">
        <v>66</v>
      </c>
      <c r="N82" s="12">
        <v>78</v>
      </c>
      <c r="O82" s="12" t="str">
        <f>VLOOKUP(G82,calculate_field!$B$2:$C$5,2,FALSE)</f>
        <v>Clear/Partly Cloudy</v>
      </c>
      <c r="P82" s="12" t="str">
        <f t="shared" si="9"/>
        <v>Tuesday</v>
      </c>
      <c r="Q82" s="12" t="str">
        <f t="shared" si="10"/>
        <v>Weekday</v>
      </c>
      <c r="R82" s="12" t="str">
        <f t="shared" si="11"/>
        <v>Afternoon</v>
      </c>
      <c r="S82" s="28" t="str">
        <f>INDEX(calculate_field!$F$2:$F$4, MATCH(H82, calculate_field!$E$2:$E$4, 1))</f>
        <v>Mild</v>
      </c>
      <c r="T82" s="33">
        <f t="shared" si="12"/>
        <v>69.666666666666671</v>
      </c>
      <c r="U82" s="33">
        <f t="shared" si="13"/>
        <v>60.09027025825516</v>
      </c>
      <c r="V82" s="33">
        <f t="shared" si="14"/>
        <v>0.11639686249895921</v>
      </c>
      <c r="W82" s="12" t="b">
        <f t="shared" si="15"/>
        <v>0</v>
      </c>
    </row>
    <row r="83" spans="1:23">
      <c r="A83" s="26">
        <v>82</v>
      </c>
      <c r="B83" s="27">
        <v>40547</v>
      </c>
      <c r="C83" s="12">
        <v>1</v>
      </c>
      <c r="D83" s="12">
        <v>13</v>
      </c>
      <c r="E83" s="12" t="b">
        <v>0</v>
      </c>
      <c r="F83" s="12">
        <v>2</v>
      </c>
      <c r="G83" s="12">
        <v>1</v>
      </c>
      <c r="H83" s="12">
        <v>0.24</v>
      </c>
      <c r="I83" s="12">
        <v>0.2273</v>
      </c>
      <c r="J83" s="12">
        <v>0.56000000000000005</v>
      </c>
      <c r="K83" s="12">
        <v>0.19400000000000001</v>
      </c>
      <c r="L83" s="12">
        <v>18</v>
      </c>
      <c r="M83" s="12">
        <v>79</v>
      </c>
      <c r="N83" s="12">
        <v>97</v>
      </c>
      <c r="O83" s="12" t="str">
        <f>VLOOKUP(G83,calculate_field!$B$2:$C$5,2,FALSE)</f>
        <v>Clear/Partly Cloudy</v>
      </c>
      <c r="P83" s="12" t="str">
        <f t="shared" si="9"/>
        <v>Tuesday</v>
      </c>
      <c r="Q83" s="12" t="str">
        <f t="shared" si="10"/>
        <v>Weekday</v>
      </c>
      <c r="R83" s="12" t="str">
        <f t="shared" si="11"/>
        <v>Afternoon</v>
      </c>
      <c r="S83" s="28" t="str">
        <f>INDEX(calculate_field!$F$2:$F$4, MATCH(H83, calculate_field!$E$2:$E$4, 1))</f>
        <v>Mild</v>
      </c>
      <c r="T83" s="33">
        <f t="shared" si="12"/>
        <v>69.375</v>
      </c>
      <c r="U83" s="33">
        <f t="shared" si="13"/>
        <v>60.065046263269416</v>
      </c>
      <c r="V83" s="33">
        <f t="shared" si="14"/>
        <v>-9.0624324121482795E-3</v>
      </c>
      <c r="W83" s="12" t="b">
        <f t="shared" si="15"/>
        <v>0</v>
      </c>
    </row>
    <row r="84" spans="1:23">
      <c r="A84" s="26">
        <v>83</v>
      </c>
      <c r="B84" s="27">
        <v>40547</v>
      </c>
      <c r="C84" s="12">
        <v>1</v>
      </c>
      <c r="D84" s="12">
        <v>14</v>
      </c>
      <c r="E84" s="12" t="b">
        <v>0</v>
      </c>
      <c r="F84" s="12">
        <v>2</v>
      </c>
      <c r="G84" s="12">
        <v>1</v>
      </c>
      <c r="H84" s="12">
        <v>0.26</v>
      </c>
      <c r="I84" s="12">
        <v>0.2576</v>
      </c>
      <c r="J84" s="12">
        <v>0.52</v>
      </c>
      <c r="K84" s="12">
        <v>0.22389999999999999</v>
      </c>
      <c r="L84" s="12">
        <v>9</v>
      </c>
      <c r="M84" s="12">
        <v>54</v>
      </c>
      <c r="N84" s="12">
        <v>63</v>
      </c>
      <c r="O84" s="12" t="str">
        <f>VLOOKUP(G84,calculate_field!$B$2:$C$5,2,FALSE)</f>
        <v>Clear/Partly Cloudy</v>
      </c>
      <c r="P84" s="12" t="str">
        <f t="shared" si="9"/>
        <v>Tuesday</v>
      </c>
      <c r="Q84" s="12" t="str">
        <f t="shared" si="10"/>
        <v>Weekday</v>
      </c>
      <c r="R84" s="12" t="str">
        <f t="shared" si="11"/>
        <v>Afternoon</v>
      </c>
      <c r="S84" s="28" t="str">
        <f>INDEX(calculate_field!$F$2:$F$4, MATCH(H84, calculate_field!$E$2:$E$4, 1))</f>
        <v>Mild</v>
      </c>
      <c r="T84" s="33">
        <f t="shared" si="12"/>
        <v>67.916666666666671</v>
      </c>
      <c r="U84" s="33">
        <f t="shared" si="13"/>
        <v>59.789425171336447</v>
      </c>
      <c r="V84" s="33">
        <f t="shared" si="14"/>
        <v>-0.15893914769902104</v>
      </c>
      <c r="W84" s="12" t="b">
        <f t="shared" si="15"/>
        <v>0</v>
      </c>
    </row>
    <row r="85" spans="1:23">
      <c r="A85" s="26">
        <v>84</v>
      </c>
      <c r="B85" s="27">
        <v>40547</v>
      </c>
      <c r="C85" s="12">
        <v>1</v>
      </c>
      <c r="D85" s="12">
        <v>15</v>
      </c>
      <c r="E85" s="12" t="b">
        <v>0</v>
      </c>
      <c r="F85" s="12">
        <v>2</v>
      </c>
      <c r="G85" s="12">
        <v>1</v>
      </c>
      <c r="H85" s="12">
        <v>0.28000000000000003</v>
      </c>
      <c r="I85" s="12">
        <v>0.2727</v>
      </c>
      <c r="J85" s="12">
        <v>0.52</v>
      </c>
      <c r="K85" s="12">
        <v>0.25369999999999998</v>
      </c>
      <c r="L85" s="12">
        <v>17</v>
      </c>
      <c r="M85" s="12">
        <v>48</v>
      </c>
      <c r="N85" s="12">
        <v>65</v>
      </c>
      <c r="O85" s="12" t="str">
        <f>VLOOKUP(G85,calculate_field!$B$2:$C$5,2,FALSE)</f>
        <v>Clear/Partly Cloudy</v>
      </c>
      <c r="P85" s="12" t="str">
        <f t="shared" si="9"/>
        <v>Tuesday</v>
      </c>
      <c r="Q85" s="12" t="str">
        <f t="shared" si="10"/>
        <v>Weekday</v>
      </c>
      <c r="R85" s="12" t="str">
        <f t="shared" si="11"/>
        <v>Afternoon</v>
      </c>
      <c r="S85" s="28" t="str">
        <f>INDEX(calculate_field!$F$2:$F$4, MATCH(H85, calculate_field!$E$2:$E$4, 1))</f>
        <v>Mild</v>
      </c>
      <c r="T85" s="33">
        <f t="shared" si="12"/>
        <v>67.875</v>
      </c>
      <c r="U85" s="33">
        <f t="shared" si="13"/>
        <v>59.793348837620655</v>
      </c>
      <c r="V85" s="33">
        <f t="shared" si="14"/>
        <v>-0.15893914769902104</v>
      </c>
      <c r="W85" s="12" t="b">
        <f t="shared" si="15"/>
        <v>1</v>
      </c>
    </row>
    <row r="86" spans="1:23">
      <c r="A86" s="26">
        <v>85</v>
      </c>
      <c r="B86" s="27">
        <v>40547</v>
      </c>
      <c r="C86" s="12">
        <v>1</v>
      </c>
      <c r="D86" s="12">
        <v>16</v>
      </c>
      <c r="E86" s="12" t="b">
        <v>0</v>
      </c>
      <c r="F86" s="12">
        <v>2</v>
      </c>
      <c r="G86" s="12">
        <v>1</v>
      </c>
      <c r="H86" s="12">
        <v>0.3</v>
      </c>
      <c r="I86" s="12">
        <v>0.28789999999999999</v>
      </c>
      <c r="J86" s="12">
        <v>0.49</v>
      </c>
      <c r="K86" s="12">
        <v>0.25369999999999998</v>
      </c>
      <c r="L86" s="12">
        <v>15</v>
      </c>
      <c r="M86" s="12">
        <v>68</v>
      </c>
      <c r="N86" s="12">
        <v>83</v>
      </c>
      <c r="O86" s="12" t="str">
        <f>VLOOKUP(G86,calculate_field!$B$2:$C$5,2,FALSE)</f>
        <v>Clear/Partly Cloudy</v>
      </c>
      <c r="P86" s="12" t="str">
        <f t="shared" si="9"/>
        <v>Tuesday</v>
      </c>
      <c r="Q86" s="12" t="str">
        <f t="shared" si="10"/>
        <v>Weekday</v>
      </c>
      <c r="R86" s="12" t="str">
        <f t="shared" si="11"/>
        <v>Afternoon</v>
      </c>
      <c r="S86" s="28" t="str">
        <f>INDEX(calculate_field!$F$2:$F$4, MATCH(H86, calculate_field!$E$2:$E$4, 1))</f>
        <v>Warm</v>
      </c>
      <c r="T86" s="33">
        <f t="shared" si="12"/>
        <v>68.875</v>
      </c>
      <c r="U86" s="33">
        <f t="shared" si="13"/>
        <v>59.943678275673001</v>
      </c>
      <c r="V86" s="33">
        <f t="shared" si="14"/>
        <v>0.27589108783940208</v>
      </c>
      <c r="W86" s="12" t="b">
        <f t="shared" si="15"/>
        <v>0</v>
      </c>
    </row>
    <row r="87" spans="1:23">
      <c r="A87" s="26">
        <v>86</v>
      </c>
      <c r="B87" s="27">
        <v>40547</v>
      </c>
      <c r="C87" s="12">
        <v>1</v>
      </c>
      <c r="D87" s="12">
        <v>17</v>
      </c>
      <c r="E87" s="12" t="b">
        <v>0</v>
      </c>
      <c r="F87" s="12">
        <v>2</v>
      </c>
      <c r="G87" s="12">
        <v>1</v>
      </c>
      <c r="H87" s="12">
        <v>0.28000000000000003</v>
      </c>
      <c r="I87" s="12">
        <v>0.2727</v>
      </c>
      <c r="J87" s="12">
        <v>0.48</v>
      </c>
      <c r="K87" s="12">
        <v>0.22389999999999999</v>
      </c>
      <c r="L87" s="12">
        <v>10</v>
      </c>
      <c r="M87" s="12">
        <v>202</v>
      </c>
      <c r="N87" s="12">
        <v>212</v>
      </c>
      <c r="O87" s="12" t="str">
        <f>VLOOKUP(G87,calculate_field!$B$2:$C$5,2,FALSE)</f>
        <v>Clear/Partly Cloudy</v>
      </c>
      <c r="P87" s="12" t="str">
        <f t="shared" si="9"/>
        <v>Tuesday</v>
      </c>
      <c r="Q87" s="12" t="str">
        <f t="shared" si="10"/>
        <v>Weekday</v>
      </c>
      <c r="R87" s="12" t="str">
        <f t="shared" si="11"/>
        <v>Evening</v>
      </c>
      <c r="S87" s="28" t="str">
        <f>INDEX(calculate_field!$F$2:$F$4, MATCH(H87, calculate_field!$E$2:$E$4, 1))</f>
        <v>Mild</v>
      </c>
      <c r="T87" s="33">
        <f t="shared" si="12"/>
        <v>73.333333333333329</v>
      </c>
      <c r="U87" s="33">
        <f t="shared" si="13"/>
        <v>64.820599695833849</v>
      </c>
      <c r="V87" s="33">
        <f t="shared" si="14"/>
        <v>1.8070211763387019</v>
      </c>
      <c r="W87" s="12" t="b">
        <f t="shared" si="15"/>
        <v>0</v>
      </c>
    </row>
    <row r="88" spans="1:23">
      <c r="A88" s="26">
        <v>87</v>
      </c>
      <c r="B88" s="27">
        <v>40547</v>
      </c>
      <c r="C88" s="12">
        <v>1</v>
      </c>
      <c r="D88" s="12">
        <v>18</v>
      </c>
      <c r="E88" s="12" t="b">
        <v>0</v>
      </c>
      <c r="F88" s="12">
        <v>2</v>
      </c>
      <c r="G88" s="12">
        <v>1</v>
      </c>
      <c r="H88" s="12">
        <v>0.26</v>
      </c>
      <c r="I88" s="12">
        <v>0.2576</v>
      </c>
      <c r="J88" s="12">
        <v>0.48</v>
      </c>
      <c r="K88" s="12">
        <v>0.19400000000000001</v>
      </c>
      <c r="L88" s="12">
        <v>3</v>
      </c>
      <c r="M88" s="12">
        <v>179</v>
      </c>
      <c r="N88" s="12">
        <v>182</v>
      </c>
      <c r="O88" s="12" t="str">
        <f>VLOOKUP(G88,calculate_field!$B$2:$C$5,2,FALSE)</f>
        <v>Clear/Partly Cloudy</v>
      </c>
      <c r="P88" s="12" t="str">
        <f t="shared" si="9"/>
        <v>Tuesday</v>
      </c>
      <c r="Q88" s="12" t="str">
        <f t="shared" si="10"/>
        <v>Weekday</v>
      </c>
      <c r="R88" s="12" t="str">
        <f t="shared" si="11"/>
        <v>Evening</v>
      </c>
      <c r="S88" s="28" t="str">
        <f>INDEX(calculate_field!$F$2:$F$4, MATCH(H88, calculate_field!$E$2:$E$4, 1))</f>
        <v>Mild</v>
      </c>
      <c r="T88" s="33">
        <f t="shared" si="12"/>
        <v>71.541666666666671</v>
      </c>
      <c r="U88" s="33">
        <f t="shared" si="13"/>
        <v>61.320951215477848</v>
      </c>
      <c r="V88" s="33">
        <f t="shared" si="14"/>
        <v>1.5386512577483049</v>
      </c>
      <c r="W88" s="12" t="b">
        <f t="shared" si="15"/>
        <v>0</v>
      </c>
    </row>
    <row r="89" spans="1:23">
      <c r="A89" s="26">
        <v>88</v>
      </c>
      <c r="B89" s="27">
        <v>40547</v>
      </c>
      <c r="C89" s="12">
        <v>1</v>
      </c>
      <c r="D89" s="12">
        <v>19</v>
      </c>
      <c r="E89" s="12" t="b">
        <v>0</v>
      </c>
      <c r="F89" s="12">
        <v>2</v>
      </c>
      <c r="G89" s="12">
        <v>1</v>
      </c>
      <c r="H89" s="12">
        <v>0.24</v>
      </c>
      <c r="I89" s="12">
        <v>0.2576</v>
      </c>
      <c r="J89" s="12">
        <v>0.48</v>
      </c>
      <c r="K89" s="12">
        <v>0.1045</v>
      </c>
      <c r="L89" s="12">
        <v>2</v>
      </c>
      <c r="M89" s="12">
        <v>110</v>
      </c>
      <c r="N89" s="12">
        <v>112</v>
      </c>
      <c r="O89" s="12" t="str">
        <f>VLOOKUP(G89,calculate_field!$B$2:$C$5,2,FALSE)</f>
        <v>Clear/Partly Cloudy</v>
      </c>
      <c r="P89" s="12" t="str">
        <f t="shared" si="9"/>
        <v>Tuesday</v>
      </c>
      <c r="Q89" s="12" t="str">
        <f t="shared" si="10"/>
        <v>Weekday</v>
      </c>
      <c r="R89" s="12" t="str">
        <f t="shared" si="11"/>
        <v>Evening</v>
      </c>
      <c r="S89" s="28" t="str">
        <f>INDEX(calculate_field!$F$2:$F$4, MATCH(H89, calculate_field!$E$2:$E$4, 1))</f>
        <v>Mild</v>
      </c>
      <c r="T89" s="33">
        <f t="shared" si="12"/>
        <v>69.458333333333329</v>
      </c>
      <c r="U89" s="33">
        <f t="shared" si="13"/>
        <v>58.173637512616274</v>
      </c>
      <c r="V89" s="33">
        <f t="shared" si="14"/>
        <v>1.019009616398399</v>
      </c>
      <c r="W89" s="12" t="b">
        <f t="shared" si="15"/>
        <v>0</v>
      </c>
    </row>
    <row r="90" spans="1:23">
      <c r="A90" s="26">
        <v>89</v>
      </c>
      <c r="B90" s="27">
        <v>40547</v>
      </c>
      <c r="C90" s="12">
        <v>1</v>
      </c>
      <c r="D90" s="12">
        <v>20</v>
      </c>
      <c r="E90" s="12" t="b">
        <v>0</v>
      </c>
      <c r="F90" s="12">
        <v>2</v>
      </c>
      <c r="G90" s="12">
        <v>1</v>
      </c>
      <c r="H90" s="12">
        <v>0.24</v>
      </c>
      <c r="I90" s="12">
        <v>0.2576</v>
      </c>
      <c r="J90" s="12">
        <v>0.48</v>
      </c>
      <c r="K90" s="12">
        <v>0.1045</v>
      </c>
      <c r="L90" s="12">
        <v>1</v>
      </c>
      <c r="M90" s="12">
        <v>53</v>
      </c>
      <c r="N90" s="12">
        <v>54</v>
      </c>
      <c r="O90" s="12" t="str">
        <f>VLOOKUP(G90,calculate_field!$B$2:$C$5,2,FALSE)</f>
        <v>Clear/Partly Cloudy</v>
      </c>
      <c r="P90" s="12" t="str">
        <f t="shared" si="9"/>
        <v>Tuesday</v>
      </c>
      <c r="Q90" s="12" t="str">
        <f t="shared" si="10"/>
        <v>Weekday</v>
      </c>
      <c r="R90" s="12" t="str">
        <f t="shared" si="11"/>
        <v>Evening</v>
      </c>
      <c r="S90" s="28" t="str">
        <f>INDEX(calculate_field!$F$2:$F$4, MATCH(H90, calculate_field!$E$2:$E$4, 1))</f>
        <v>Mild</v>
      </c>
      <c r="T90" s="33">
        <f t="shared" si="12"/>
        <v>68.5</v>
      </c>
      <c r="U90" s="33">
        <f t="shared" si="13"/>
        <v>57.629249819710552</v>
      </c>
      <c r="V90" s="33">
        <f t="shared" si="14"/>
        <v>0.33603179653410925</v>
      </c>
      <c r="W90" s="12" t="b">
        <f t="shared" si="15"/>
        <v>0</v>
      </c>
    </row>
    <row r="91" spans="1:23">
      <c r="A91" s="26">
        <v>90</v>
      </c>
      <c r="B91" s="27">
        <v>40547</v>
      </c>
      <c r="C91" s="12">
        <v>1</v>
      </c>
      <c r="D91" s="12">
        <v>21</v>
      </c>
      <c r="E91" s="12" t="b">
        <v>0</v>
      </c>
      <c r="F91" s="12">
        <v>2</v>
      </c>
      <c r="G91" s="12">
        <v>1</v>
      </c>
      <c r="H91" s="12">
        <v>0.22</v>
      </c>
      <c r="I91" s="12">
        <v>0.2727</v>
      </c>
      <c r="J91" s="12">
        <v>0.64</v>
      </c>
      <c r="K91" s="12">
        <v>0</v>
      </c>
      <c r="L91" s="12">
        <v>0</v>
      </c>
      <c r="M91" s="12">
        <v>48</v>
      </c>
      <c r="N91" s="12">
        <v>48</v>
      </c>
      <c r="O91" s="12" t="str">
        <f>VLOOKUP(G91,calculate_field!$B$2:$C$5,2,FALSE)</f>
        <v>Clear/Partly Cloudy</v>
      </c>
      <c r="P91" s="12" t="str">
        <f t="shared" si="9"/>
        <v>Tuesday</v>
      </c>
      <c r="Q91" s="12" t="str">
        <f t="shared" si="10"/>
        <v>Weekday</v>
      </c>
      <c r="R91" s="12" t="str">
        <f t="shared" si="11"/>
        <v>Night</v>
      </c>
      <c r="S91" s="28" t="str">
        <f>INDEX(calculate_field!$F$2:$F$4, MATCH(H91, calculate_field!$E$2:$E$4, 1))</f>
        <v>Mild</v>
      </c>
      <c r="T91" s="33">
        <f t="shared" si="12"/>
        <v>68.041666666666671</v>
      </c>
      <c r="U91" s="33">
        <f t="shared" si="13"/>
        <v>57.793093589689995</v>
      </c>
      <c r="V91" s="33">
        <f t="shared" si="14"/>
        <v>-0.44037824937526121</v>
      </c>
      <c r="W91" s="12" t="b">
        <f t="shared" si="15"/>
        <v>0</v>
      </c>
    </row>
    <row r="92" spans="1:23">
      <c r="A92" s="26">
        <v>91</v>
      </c>
      <c r="B92" s="27">
        <v>40547</v>
      </c>
      <c r="C92" s="12">
        <v>1</v>
      </c>
      <c r="D92" s="12">
        <v>22</v>
      </c>
      <c r="E92" s="12" t="b">
        <v>0</v>
      </c>
      <c r="F92" s="12">
        <v>2</v>
      </c>
      <c r="G92" s="12">
        <v>1</v>
      </c>
      <c r="H92" s="12">
        <v>0.22</v>
      </c>
      <c r="I92" s="12">
        <v>0.2576</v>
      </c>
      <c r="J92" s="12">
        <v>0.64</v>
      </c>
      <c r="K92" s="12">
        <v>8.9599999999999999E-2</v>
      </c>
      <c r="L92" s="12">
        <v>1</v>
      </c>
      <c r="M92" s="12">
        <v>34</v>
      </c>
      <c r="N92" s="12">
        <v>35</v>
      </c>
      <c r="O92" s="12" t="str">
        <f>VLOOKUP(G92,calculate_field!$B$2:$C$5,2,FALSE)</f>
        <v>Clear/Partly Cloudy</v>
      </c>
      <c r="P92" s="12" t="str">
        <f t="shared" si="9"/>
        <v>Tuesday</v>
      </c>
      <c r="Q92" s="12" t="str">
        <f t="shared" si="10"/>
        <v>Weekday</v>
      </c>
      <c r="R92" s="12" t="str">
        <f t="shared" si="11"/>
        <v>Night</v>
      </c>
      <c r="S92" s="28" t="str">
        <f>INDEX(calculate_field!$F$2:$F$4, MATCH(H92, calculate_field!$E$2:$E$4, 1))</f>
        <v>Mild</v>
      </c>
      <c r="T92" s="33">
        <f t="shared" si="12"/>
        <v>67.791666666666671</v>
      </c>
      <c r="U92" s="33">
        <f t="shared" si="13"/>
        <v>57.896443659397569</v>
      </c>
      <c r="V92" s="33">
        <f t="shared" si="14"/>
        <v>-0.46564503291257509</v>
      </c>
      <c r="W92" s="12" t="b">
        <f t="shared" si="15"/>
        <v>0</v>
      </c>
    </row>
    <row r="93" spans="1:23">
      <c r="A93" s="26">
        <v>92</v>
      </c>
      <c r="B93" s="27">
        <v>40547</v>
      </c>
      <c r="C93" s="12">
        <v>1</v>
      </c>
      <c r="D93" s="12">
        <v>23</v>
      </c>
      <c r="E93" s="12" t="b">
        <v>0</v>
      </c>
      <c r="F93" s="12">
        <v>2</v>
      </c>
      <c r="G93" s="12">
        <v>1</v>
      </c>
      <c r="H93" s="12">
        <v>0.2</v>
      </c>
      <c r="I93" s="12">
        <v>0.2273</v>
      </c>
      <c r="J93" s="12">
        <v>0.69</v>
      </c>
      <c r="K93" s="12">
        <v>8.9599999999999999E-2</v>
      </c>
      <c r="L93" s="12">
        <v>2</v>
      </c>
      <c r="M93" s="12">
        <v>9</v>
      </c>
      <c r="N93" s="12">
        <v>11</v>
      </c>
      <c r="O93" s="12" t="str">
        <f>VLOOKUP(G93,calculate_field!$B$2:$C$5,2,FALSE)</f>
        <v>Clear/Partly Cloudy</v>
      </c>
      <c r="P93" s="12" t="str">
        <f t="shared" si="9"/>
        <v>Tuesday</v>
      </c>
      <c r="Q93" s="12" t="str">
        <f t="shared" si="10"/>
        <v>Weekday</v>
      </c>
      <c r="R93" s="12" t="str">
        <f t="shared" si="11"/>
        <v>Night</v>
      </c>
      <c r="S93" s="28" t="str">
        <f>INDEX(calculate_field!$F$2:$F$4, MATCH(H93, calculate_field!$E$2:$E$4, 1))</f>
        <v>Mild</v>
      </c>
      <c r="T93" s="33">
        <f t="shared" si="12"/>
        <v>67.125</v>
      </c>
      <c r="U93" s="33">
        <f t="shared" si="13"/>
        <v>58.380545076919766</v>
      </c>
      <c r="V93" s="33">
        <f t="shared" si="14"/>
        <v>-0.84821086059243633</v>
      </c>
      <c r="W93" s="12" t="b">
        <f t="shared" si="15"/>
        <v>0</v>
      </c>
    </row>
    <row r="94" spans="1:23">
      <c r="A94" s="26">
        <v>93</v>
      </c>
      <c r="B94" s="27">
        <v>40548</v>
      </c>
      <c r="C94" s="12">
        <v>1</v>
      </c>
      <c r="D94" s="12">
        <v>0</v>
      </c>
      <c r="E94" s="12" t="b">
        <v>0</v>
      </c>
      <c r="F94" s="12">
        <v>3</v>
      </c>
      <c r="G94" s="12">
        <v>1</v>
      </c>
      <c r="H94" s="12">
        <v>0.2</v>
      </c>
      <c r="I94" s="12">
        <v>0.2576</v>
      </c>
      <c r="J94" s="12">
        <v>0.64</v>
      </c>
      <c r="K94" s="12">
        <v>0</v>
      </c>
      <c r="L94" s="12">
        <v>0</v>
      </c>
      <c r="M94" s="12">
        <v>6</v>
      </c>
      <c r="N94" s="12">
        <v>6</v>
      </c>
      <c r="O94" s="12" t="str">
        <f>VLOOKUP(G94,calculate_field!$B$2:$C$5,2,FALSE)</f>
        <v>Clear/Partly Cloudy</v>
      </c>
      <c r="P94" s="12" t="str">
        <f t="shared" si="9"/>
        <v>Wednesday</v>
      </c>
      <c r="Q94" s="12" t="str">
        <f t="shared" si="10"/>
        <v>Weekday</v>
      </c>
      <c r="R94" s="12" t="str">
        <f t="shared" si="11"/>
        <v>Night</v>
      </c>
      <c r="S94" s="28" t="str">
        <f>INDEX(calculate_field!$F$2:$F$4, MATCH(H94, calculate_field!$E$2:$E$4, 1))</f>
        <v>Mild</v>
      </c>
      <c r="T94" s="33">
        <f t="shared" si="12"/>
        <v>67.125</v>
      </c>
      <c r="U94" s="33">
        <f t="shared" si="13"/>
        <v>58.380545076919766</v>
      </c>
      <c r="V94" s="33">
        <f t="shared" si="14"/>
        <v>-0.98478341808483827</v>
      </c>
      <c r="W94" s="12" t="b">
        <f t="shared" si="15"/>
        <v>1</v>
      </c>
    </row>
    <row r="95" spans="1:23">
      <c r="A95" s="26">
        <v>94</v>
      </c>
      <c r="B95" s="27">
        <v>40548</v>
      </c>
      <c r="C95" s="12">
        <v>1</v>
      </c>
      <c r="D95" s="12">
        <v>1</v>
      </c>
      <c r="E95" s="12" t="b">
        <v>0</v>
      </c>
      <c r="F95" s="12">
        <v>3</v>
      </c>
      <c r="G95" s="12">
        <v>1</v>
      </c>
      <c r="H95" s="12">
        <v>0.16</v>
      </c>
      <c r="I95" s="12">
        <v>0.19700000000000001</v>
      </c>
      <c r="J95" s="12">
        <v>0.74</v>
      </c>
      <c r="K95" s="12">
        <v>8.9599999999999999E-2</v>
      </c>
      <c r="L95" s="12">
        <v>0</v>
      </c>
      <c r="M95" s="12">
        <v>6</v>
      </c>
      <c r="N95" s="12">
        <v>6</v>
      </c>
      <c r="O95" s="12" t="str">
        <f>VLOOKUP(G95,calculate_field!$B$2:$C$5,2,FALSE)</f>
        <v>Clear/Partly Cloudy</v>
      </c>
      <c r="P95" s="12" t="str">
        <f t="shared" si="9"/>
        <v>Wednesday</v>
      </c>
      <c r="Q95" s="12" t="str">
        <f t="shared" si="10"/>
        <v>Weekday</v>
      </c>
      <c r="R95" s="12" t="str">
        <f t="shared" si="11"/>
        <v>Night</v>
      </c>
      <c r="S95" s="28" t="str">
        <f>INDEX(calculate_field!$F$2:$F$4, MATCH(H95, calculate_field!$E$2:$E$4, 1))</f>
        <v>Cold</v>
      </c>
      <c r="T95" s="33">
        <f t="shared" si="12"/>
        <v>67.041666666666671</v>
      </c>
      <c r="U95" s="33">
        <f t="shared" si="13"/>
        <v>58.472943699864608</v>
      </c>
      <c r="V95" s="33">
        <f t="shared" si="14"/>
        <v>-1.1002412431035293</v>
      </c>
      <c r="W95" s="12" t="b">
        <f t="shared" si="15"/>
        <v>1</v>
      </c>
    </row>
    <row r="96" spans="1:23">
      <c r="A96" s="26">
        <v>95</v>
      </c>
      <c r="B96" s="27">
        <v>40548</v>
      </c>
      <c r="C96" s="12">
        <v>1</v>
      </c>
      <c r="D96" s="12">
        <v>2</v>
      </c>
      <c r="E96" s="12" t="b">
        <v>0</v>
      </c>
      <c r="F96" s="12">
        <v>3</v>
      </c>
      <c r="G96" s="12">
        <v>1</v>
      </c>
      <c r="H96" s="12">
        <v>0.16</v>
      </c>
      <c r="I96" s="12">
        <v>0.19700000000000001</v>
      </c>
      <c r="J96" s="12">
        <v>0.74</v>
      </c>
      <c r="K96" s="12">
        <v>8.9599999999999999E-2</v>
      </c>
      <c r="L96" s="12">
        <v>0</v>
      </c>
      <c r="M96" s="12">
        <v>2</v>
      </c>
      <c r="N96" s="12">
        <v>2</v>
      </c>
      <c r="O96" s="12" t="str">
        <f>VLOOKUP(G96,calculate_field!$B$2:$C$5,2,FALSE)</f>
        <v>Clear/Partly Cloudy</v>
      </c>
      <c r="P96" s="12" t="str">
        <f t="shared" si="9"/>
        <v>Wednesday</v>
      </c>
      <c r="Q96" s="12" t="str">
        <f t="shared" si="10"/>
        <v>Weekday</v>
      </c>
      <c r="R96" s="12" t="str">
        <f t="shared" si="11"/>
        <v>Night</v>
      </c>
      <c r="S96" s="28" t="str">
        <f>INDEX(calculate_field!$F$2:$F$4, MATCH(H96, calculate_field!$E$2:$E$4, 1))</f>
        <v>Cold</v>
      </c>
      <c r="T96" s="33">
        <f t="shared" si="12"/>
        <v>66.875</v>
      </c>
      <c r="U96" s="33">
        <f t="shared" si="13"/>
        <v>58.659898530871786</v>
      </c>
      <c r="V96" s="33">
        <f t="shared" si="14"/>
        <v>-1.1298786432328825</v>
      </c>
      <c r="W96" s="12" t="b">
        <f t="shared" si="15"/>
        <v>0</v>
      </c>
    </row>
    <row r="97" spans="1:23">
      <c r="A97" s="26">
        <v>96</v>
      </c>
      <c r="B97" s="27">
        <v>40548</v>
      </c>
      <c r="C97" s="12">
        <v>1</v>
      </c>
      <c r="D97" s="12">
        <v>4</v>
      </c>
      <c r="E97" s="12" t="b">
        <v>0</v>
      </c>
      <c r="F97" s="12">
        <v>3</v>
      </c>
      <c r="G97" s="12">
        <v>1</v>
      </c>
      <c r="H97" s="12">
        <v>0.24</v>
      </c>
      <c r="I97" s="12">
        <v>0.2273</v>
      </c>
      <c r="J97" s="12">
        <v>0.48</v>
      </c>
      <c r="K97" s="12">
        <v>0.22389999999999999</v>
      </c>
      <c r="L97" s="12">
        <v>0</v>
      </c>
      <c r="M97" s="12">
        <v>2</v>
      </c>
      <c r="N97" s="12">
        <v>2</v>
      </c>
      <c r="O97" s="12" t="str">
        <f>VLOOKUP(G97,calculate_field!$B$2:$C$5,2,FALSE)</f>
        <v>Clear/Partly Cloudy</v>
      </c>
      <c r="P97" s="12" t="str">
        <f t="shared" si="9"/>
        <v>Wednesday</v>
      </c>
      <c r="Q97" s="12" t="str">
        <f t="shared" si="10"/>
        <v>Weekday</v>
      </c>
      <c r="R97" s="12" t="str">
        <f t="shared" si="11"/>
        <v>Night</v>
      </c>
      <c r="S97" s="28" t="str">
        <f>INDEX(calculate_field!$F$2:$F$4, MATCH(H97, calculate_field!$E$2:$E$4, 1))</f>
        <v>Mild</v>
      </c>
      <c r="T97" s="33">
        <f t="shared" si="12"/>
        <v>66.833333333333329</v>
      </c>
      <c r="U97" s="33">
        <f t="shared" si="13"/>
        <v>58.708318547431304</v>
      </c>
      <c r="V97" s="33">
        <f t="shared" si="14"/>
        <v>-1.1454722371542045</v>
      </c>
      <c r="W97" s="12" t="b">
        <f t="shared" si="15"/>
        <v>0</v>
      </c>
    </row>
    <row r="98" spans="1:23">
      <c r="A98" s="26">
        <v>97</v>
      </c>
      <c r="B98" s="27">
        <v>40548</v>
      </c>
      <c r="C98" s="12">
        <v>1</v>
      </c>
      <c r="D98" s="12">
        <v>5</v>
      </c>
      <c r="E98" s="12" t="b">
        <v>0</v>
      </c>
      <c r="F98" s="12">
        <v>3</v>
      </c>
      <c r="G98" s="12">
        <v>1</v>
      </c>
      <c r="H98" s="12">
        <v>0.22</v>
      </c>
      <c r="I98" s="12">
        <v>0.2273</v>
      </c>
      <c r="J98" s="12">
        <v>0.47</v>
      </c>
      <c r="K98" s="12">
        <v>0.16420000000000001</v>
      </c>
      <c r="L98" s="12">
        <v>0</v>
      </c>
      <c r="M98" s="12">
        <v>3</v>
      </c>
      <c r="N98" s="12">
        <v>3</v>
      </c>
      <c r="O98" s="12" t="str">
        <f>VLOOKUP(G98,calculate_field!$B$2:$C$5,2,FALSE)</f>
        <v>Clear/Partly Cloudy</v>
      </c>
      <c r="P98" s="12" t="str">
        <f t="shared" si="9"/>
        <v>Wednesday</v>
      </c>
      <c r="Q98" s="12" t="str">
        <f t="shared" si="10"/>
        <v>Weekday</v>
      </c>
      <c r="R98" s="12" t="str">
        <f t="shared" si="11"/>
        <v>Night</v>
      </c>
      <c r="S98" s="28" t="str">
        <f>INDEX(calculate_field!$F$2:$F$4, MATCH(H98, calculate_field!$E$2:$E$4, 1))</f>
        <v>Mild</v>
      </c>
      <c r="T98" s="33">
        <f t="shared" si="12"/>
        <v>66.916666666666671</v>
      </c>
      <c r="U98" s="33">
        <f t="shared" si="13"/>
        <v>58.613632979149934</v>
      </c>
      <c r="V98" s="33">
        <f t="shared" si="14"/>
        <v>-1.1001981056687542</v>
      </c>
      <c r="W98" s="12" t="b">
        <f t="shared" si="15"/>
        <v>0</v>
      </c>
    </row>
    <row r="99" spans="1:23">
      <c r="A99" s="26">
        <v>98</v>
      </c>
      <c r="B99" s="27">
        <v>40548</v>
      </c>
      <c r="C99" s="12">
        <v>1</v>
      </c>
      <c r="D99" s="12">
        <v>6</v>
      </c>
      <c r="E99" s="12" t="b">
        <v>0</v>
      </c>
      <c r="F99" s="12">
        <v>3</v>
      </c>
      <c r="G99" s="12">
        <v>1</v>
      </c>
      <c r="H99" s="12">
        <v>0.2</v>
      </c>
      <c r="I99" s="12">
        <v>0.19700000000000001</v>
      </c>
      <c r="J99" s="12">
        <v>0.47</v>
      </c>
      <c r="K99" s="12">
        <v>0.22389999999999999</v>
      </c>
      <c r="L99" s="12">
        <v>0</v>
      </c>
      <c r="M99" s="12">
        <v>33</v>
      </c>
      <c r="N99" s="12">
        <v>33</v>
      </c>
      <c r="O99" s="12" t="str">
        <f>VLOOKUP(G99,calculate_field!$B$2:$C$5,2,FALSE)</f>
        <v>Clear/Partly Cloudy</v>
      </c>
      <c r="P99" s="12" t="str">
        <f t="shared" si="9"/>
        <v>Wednesday</v>
      </c>
      <c r="Q99" s="12" t="str">
        <f t="shared" si="10"/>
        <v>Weekday</v>
      </c>
      <c r="R99" s="12" t="str">
        <f t="shared" si="11"/>
        <v>Morning</v>
      </c>
      <c r="S99" s="28" t="str">
        <f>INDEX(calculate_field!$F$2:$F$4, MATCH(H99, calculate_field!$E$2:$E$4, 1))</f>
        <v>Mild</v>
      </c>
      <c r="T99" s="33">
        <f t="shared" si="12"/>
        <v>68.291666666666671</v>
      </c>
      <c r="U99" s="33">
        <f t="shared" si="13"/>
        <v>57.424036148082031</v>
      </c>
      <c r="V99" s="33">
        <f t="shared" si="14"/>
        <v>-0.5783133574903726</v>
      </c>
      <c r="W99" s="12" t="b">
        <f t="shared" si="15"/>
        <v>0</v>
      </c>
    </row>
    <row r="100" spans="1:23">
      <c r="A100" s="26">
        <v>99</v>
      </c>
      <c r="B100" s="27">
        <v>40548</v>
      </c>
      <c r="C100" s="12">
        <v>1</v>
      </c>
      <c r="D100" s="12">
        <v>7</v>
      </c>
      <c r="E100" s="12" t="b">
        <v>0</v>
      </c>
      <c r="F100" s="12">
        <v>3</v>
      </c>
      <c r="G100" s="12">
        <v>1</v>
      </c>
      <c r="H100" s="12">
        <v>0.18</v>
      </c>
      <c r="I100" s="12">
        <v>0.18179999999999999</v>
      </c>
      <c r="J100" s="12">
        <v>0.43</v>
      </c>
      <c r="K100" s="12">
        <v>0.19400000000000001</v>
      </c>
      <c r="L100" s="12">
        <v>1</v>
      </c>
      <c r="M100" s="12">
        <v>87</v>
      </c>
      <c r="N100" s="12">
        <v>88</v>
      </c>
      <c r="O100" s="12" t="str">
        <f>VLOOKUP(G100,calculate_field!$B$2:$C$5,2,FALSE)</f>
        <v>Clear/Partly Cloudy</v>
      </c>
      <c r="P100" s="12" t="str">
        <f t="shared" si="9"/>
        <v>Wednesday</v>
      </c>
      <c r="Q100" s="12" t="str">
        <f t="shared" si="10"/>
        <v>Weekday</v>
      </c>
      <c r="R100" s="12" t="str">
        <f t="shared" si="11"/>
        <v>Morning</v>
      </c>
      <c r="S100" s="28" t="str">
        <f>INDEX(calculate_field!$F$2:$F$4, MATCH(H100, calculate_field!$E$2:$E$4, 1))</f>
        <v>Cold</v>
      </c>
      <c r="T100" s="33">
        <f t="shared" si="12"/>
        <v>70.875</v>
      </c>
      <c r="U100" s="33">
        <f t="shared" si="13"/>
        <v>57.161337267954721</v>
      </c>
      <c r="V100" s="33">
        <f t="shared" si="14"/>
        <v>0.43224546802703906</v>
      </c>
      <c r="W100" s="12" t="b">
        <f t="shared" si="15"/>
        <v>0</v>
      </c>
    </row>
    <row r="101" spans="1:23">
      <c r="A101" s="26">
        <v>100</v>
      </c>
      <c r="B101" s="27">
        <v>40548</v>
      </c>
      <c r="C101" s="12">
        <v>1</v>
      </c>
      <c r="D101" s="12">
        <v>8</v>
      </c>
      <c r="E101" s="12" t="b">
        <v>0</v>
      </c>
      <c r="F101" s="12">
        <v>3</v>
      </c>
      <c r="G101" s="12">
        <v>1</v>
      </c>
      <c r="H101" s="12">
        <v>0.2</v>
      </c>
      <c r="I101" s="12">
        <v>0.18179999999999999</v>
      </c>
      <c r="J101" s="12">
        <v>0.4</v>
      </c>
      <c r="K101" s="12">
        <v>0.29849999999999999</v>
      </c>
      <c r="L101" s="12">
        <v>3</v>
      </c>
      <c r="M101" s="12">
        <v>192</v>
      </c>
      <c r="N101" s="12">
        <v>195</v>
      </c>
      <c r="O101" s="12" t="str">
        <f>VLOOKUP(G101,calculate_field!$B$2:$C$5,2,FALSE)</f>
        <v>Clear/Partly Cloudy</v>
      </c>
      <c r="P101" s="12" t="str">
        <f t="shared" si="9"/>
        <v>Wednesday</v>
      </c>
      <c r="Q101" s="12" t="str">
        <f t="shared" si="10"/>
        <v>Weekday</v>
      </c>
      <c r="R101" s="12" t="str">
        <f t="shared" si="11"/>
        <v>Morning</v>
      </c>
      <c r="S101" s="28" t="str">
        <f>INDEX(calculate_field!$F$2:$F$4, MATCH(H101, calculate_field!$E$2:$E$4, 1))</f>
        <v>Mild</v>
      </c>
      <c r="T101" s="33">
        <f t="shared" si="12"/>
        <v>76.333333333333329</v>
      </c>
      <c r="U101" s="33">
        <f t="shared" si="13"/>
        <v>64.633862888458538</v>
      </c>
      <c r="V101" s="33">
        <f t="shared" si="14"/>
        <v>2.282596251894021</v>
      </c>
      <c r="W101" s="12" t="b">
        <f t="shared" si="15"/>
        <v>0</v>
      </c>
    </row>
    <row r="102" spans="1:23">
      <c r="A102" s="26">
        <v>101</v>
      </c>
      <c r="B102" s="27">
        <v>40548</v>
      </c>
      <c r="C102" s="12">
        <v>1</v>
      </c>
      <c r="D102" s="12">
        <v>9</v>
      </c>
      <c r="E102" s="12" t="b">
        <v>0</v>
      </c>
      <c r="F102" s="12">
        <v>3</v>
      </c>
      <c r="G102" s="12">
        <v>1</v>
      </c>
      <c r="H102" s="12">
        <v>0.22</v>
      </c>
      <c r="I102" s="12">
        <v>0.19700000000000001</v>
      </c>
      <c r="J102" s="12">
        <v>0.37</v>
      </c>
      <c r="K102" s="12">
        <v>0.32840000000000003</v>
      </c>
      <c r="L102" s="12">
        <v>6</v>
      </c>
      <c r="M102" s="12">
        <v>109</v>
      </c>
      <c r="N102" s="12">
        <v>115</v>
      </c>
      <c r="O102" s="12" t="str">
        <f>VLOOKUP(G102,calculate_field!$B$2:$C$5,2,FALSE)</f>
        <v>Clear/Partly Cloudy</v>
      </c>
      <c r="P102" s="12" t="str">
        <f t="shared" si="9"/>
        <v>Wednesday</v>
      </c>
      <c r="Q102" s="12" t="str">
        <f t="shared" si="10"/>
        <v>Weekday</v>
      </c>
      <c r="R102" s="12" t="str">
        <f t="shared" si="11"/>
        <v>Morning</v>
      </c>
      <c r="S102" s="28" t="str">
        <f>INDEX(calculate_field!$F$2:$F$4, MATCH(H102, calculate_field!$E$2:$E$4, 1))</f>
        <v>Mild</v>
      </c>
      <c r="T102" s="33">
        <f t="shared" si="12"/>
        <v>73.291666666666671</v>
      </c>
      <c r="U102" s="33">
        <f t="shared" si="13"/>
        <v>60.384621686584111</v>
      </c>
      <c r="V102" s="33">
        <f t="shared" si="14"/>
        <v>0.88563768008377264</v>
      </c>
      <c r="W102" s="12" t="b">
        <f t="shared" si="15"/>
        <v>0</v>
      </c>
    </row>
    <row r="103" spans="1:23">
      <c r="A103" s="26">
        <v>102</v>
      </c>
      <c r="B103" s="27">
        <v>40548</v>
      </c>
      <c r="C103" s="12">
        <v>1</v>
      </c>
      <c r="D103" s="12">
        <v>10</v>
      </c>
      <c r="E103" s="12" t="b">
        <v>0</v>
      </c>
      <c r="F103" s="12">
        <v>3</v>
      </c>
      <c r="G103" s="12">
        <v>1</v>
      </c>
      <c r="H103" s="12">
        <v>0.22</v>
      </c>
      <c r="I103" s="12">
        <v>0.19700000000000001</v>
      </c>
      <c r="J103" s="12">
        <v>0.37</v>
      </c>
      <c r="K103" s="12">
        <v>0.32840000000000003</v>
      </c>
      <c r="L103" s="12">
        <v>4</v>
      </c>
      <c r="M103" s="12">
        <v>53</v>
      </c>
      <c r="N103" s="12">
        <v>57</v>
      </c>
      <c r="O103" s="12" t="str">
        <f>VLOOKUP(G103,calculate_field!$B$2:$C$5,2,FALSE)</f>
        <v>Clear/Partly Cloudy</v>
      </c>
      <c r="P103" s="12" t="str">
        <f t="shared" si="9"/>
        <v>Wednesday</v>
      </c>
      <c r="Q103" s="12" t="str">
        <f t="shared" si="10"/>
        <v>Weekday</v>
      </c>
      <c r="R103" s="12" t="str">
        <f t="shared" si="11"/>
        <v>Morning</v>
      </c>
      <c r="S103" s="28" t="str">
        <f>INDEX(calculate_field!$F$2:$F$4, MATCH(H103, calculate_field!$E$2:$E$4, 1))</f>
        <v>Mild</v>
      </c>
      <c r="T103" s="33">
        <f t="shared" si="12"/>
        <v>70.375</v>
      </c>
      <c r="U103" s="33">
        <f t="shared" si="13"/>
        <v>59.971596537897405</v>
      </c>
      <c r="V103" s="33">
        <f t="shared" si="14"/>
        <v>-0.44139082309365923</v>
      </c>
      <c r="W103" s="12" t="b">
        <f t="shared" si="15"/>
        <v>0</v>
      </c>
    </row>
    <row r="104" spans="1:23">
      <c r="A104" s="26">
        <v>103</v>
      </c>
      <c r="B104" s="27">
        <v>40548</v>
      </c>
      <c r="C104" s="12">
        <v>1</v>
      </c>
      <c r="D104" s="12">
        <v>11</v>
      </c>
      <c r="E104" s="12" t="b">
        <v>0</v>
      </c>
      <c r="F104" s="12">
        <v>3</v>
      </c>
      <c r="G104" s="12">
        <v>1</v>
      </c>
      <c r="H104" s="12">
        <v>0.26</v>
      </c>
      <c r="I104" s="12">
        <v>0.2273</v>
      </c>
      <c r="J104" s="12">
        <v>0.33</v>
      </c>
      <c r="K104" s="12">
        <v>0.32840000000000003</v>
      </c>
      <c r="L104" s="12">
        <v>12</v>
      </c>
      <c r="M104" s="12">
        <v>34</v>
      </c>
      <c r="N104" s="12">
        <v>46</v>
      </c>
      <c r="O104" s="12" t="str">
        <f>VLOOKUP(G104,calculate_field!$B$2:$C$5,2,FALSE)</f>
        <v>Clear/Partly Cloudy</v>
      </c>
      <c r="P104" s="12" t="str">
        <f t="shared" si="9"/>
        <v>Wednesday</v>
      </c>
      <c r="Q104" s="12" t="str">
        <f t="shared" si="10"/>
        <v>Weekday</v>
      </c>
      <c r="R104" s="12" t="str">
        <f t="shared" si="11"/>
        <v>Morning</v>
      </c>
      <c r="S104" s="28" t="str">
        <f>INDEX(calculate_field!$F$2:$F$4, MATCH(H104, calculate_field!$E$2:$E$4, 1))</f>
        <v>Mild</v>
      </c>
      <c r="T104" s="33">
        <f t="shared" si="12"/>
        <v>70.458333333333329</v>
      </c>
      <c r="U104" s="33">
        <f t="shared" si="13"/>
        <v>59.953590142830414</v>
      </c>
      <c r="V104" s="33">
        <f t="shared" si="14"/>
        <v>-0.20657928609447451</v>
      </c>
      <c r="W104" s="12" t="b">
        <f t="shared" si="15"/>
        <v>0</v>
      </c>
    </row>
    <row r="105" spans="1:23">
      <c r="A105" s="26">
        <v>104</v>
      </c>
      <c r="B105" s="27">
        <v>40548</v>
      </c>
      <c r="C105" s="12">
        <v>1</v>
      </c>
      <c r="D105" s="12">
        <v>12</v>
      </c>
      <c r="E105" s="12" t="b">
        <v>0</v>
      </c>
      <c r="F105" s="12">
        <v>3</v>
      </c>
      <c r="G105" s="12">
        <v>1</v>
      </c>
      <c r="H105" s="12">
        <v>0.26</v>
      </c>
      <c r="I105" s="12">
        <v>0.2273</v>
      </c>
      <c r="J105" s="12">
        <v>0.33</v>
      </c>
      <c r="K105" s="12">
        <v>0.32840000000000003</v>
      </c>
      <c r="L105" s="12">
        <v>5</v>
      </c>
      <c r="M105" s="12">
        <v>74</v>
      </c>
      <c r="N105" s="12">
        <v>79</v>
      </c>
      <c r="O105" s="12" t="str">
        <f>VLOOKUP(G105,calculate_field!$B$2:$C$5,2,FALSE)</f>
        <v>Clear/Partly Cloudy</v>
      </c>
      <c r="P105" s="12" t="str">
        <f t="shared" si="9"/>
        <v>Wednesday</v>
      </c>
      <c r="Q105" s="12" t="str">
        <f t="shared" si="10"/>
        <v>Weekday</v>
      </c>
      <c r="R105" s="12" t="str">
        <f t="shared" si="11"/>
        <v>Afternoon</v>
      </c>
      <c r="S105" s="28" t="str">
        <f>INDEX(calculate_field!$F$2:$F$4, MATCH(H105, calculate_field!$E$2:$E$4, 1))</f>
        <v>Mild</v>
      </c>
      <c r="T105" s="33">
        <f t="shared" si="12"/>
        <v>72.041666666666671</v>
      </c>
      <c r="U105" s="33">
        <f t="shared" si="13"/>
        <v>59.781107359277385</v>
      </c>
      <c r="V105" s="33">
        <f t="shared" si="14"/>
        <v>0.24578411411240381</v>
      </c>
      <c r="W105" s="12" t="b">
        <f t="shared" si="15"/>
        <v>0</v>
      </c>
    </row>
    <row r="106" spans="1:23">
      <c r="A106" s="26">
        <v>105</v>
      </c>
      <c r="B106" s="27">
        <v>40548</v>
      </c>
      <c r="C106" s="12">
        <v>1</v>
      </c>
      <c r="D106" s="12">
        <v>13</v>
      </c>
      <c r="E106" s="12" t="b">
        <v>0</v>
      </c>
      <c r="F106" s="12">
        <v>3</v>
      </c>
      <c r="G106" s="12">
        <v>1</v>
      </c>
      <c r="H106" s="12">
        <v>0.28000000000000003</v>
      </c>
      <c r="I106" s="12">
        <v>0.2576</v>
      </c>
      <c r="J106" s="12">
        <v>0.3</v>
      </c>
      <c r="K106" s="12">
        <v>0.29849999999999999</v>
      </c>
      <c r="L106" s="12">
        <v>6</v>
      </c>
      <c r="M106" s="12">
        <v>65</v>
      </c>
      <c r="N106" s="12">
        <v>71</v>
      </c>
      <c r="O106" s="12" t="str">
        <f>VLOOKUP(G106,calculate_field!$B$2:$C$5,2,FALSE)</f>
        <v>Clear/Partly Cloudy</v>
      </c>
      <c r="P106" s="12" t="str">
        <f t="shared" si="9"/>
        <v>Wednesday</v>
      </c>
      <c r="Q106" s="12" t="str">
        <f t="shared" si="10"/>
        <v>Weekday</v>
      </c>
      <c r="R106" s="12" t="str">
        <f t="shared" si="11"/>
        <v>Afternoon</v>
      </c>
      <c r="S106" s="28" t="str">
        <f>INDEX(calculate_field!$F$2:$F$4, MATCH(H106, calculate_field!$E$2:$E$4, 1))</f>
        <v>Mild</v>
      </c>
      <c r="T106" s="33">
        <f t="shared" si="12"/>
        <v>71.541666666666671</v>
      </c>
      <c r="U106" s="33">
        <f t="shared" si="13"/>
        <v>59.770560709568649</v>
      </c>
      <c r="V106" s="33">
        <f t="shared" si="14"/>
        <v>-5.3599481803289876E-2</v>
      </c>
      <c r="W106" s="12" t="b">
        <f t="shared" si="15"/>
        <v>0</v>
      </c>
    </row>
    <row r="107" spans="1:23">
      <c r="A107" s="26">
        <v>106</v>
      </c>
      <c r="B107" s="27">
        <v>40548</v>
      </c>
      <c r="C107" s="12">
        <v>1</v>
      </c>
      <c r="D107" s="12">
        <v>14</v>
      </c>
      <c r="E107" s="12" t="b">
        <v>0</v>
      </c>
      <c r="F107" s="12">
        <v>3</v>
      </c>
      <c r="G107" s="12">
        <v>1</v>
      </c>
      <c r="H107" s="12">
        <v>0.3</v>
      </c>
      <c r="I107" s="12">
        <v>0.28789999999999999</v>
      </c>
      <c r="J107" s="12">
        <v>0.28000000000000003</v>
      </c>
      <c r="K107" s="12">
        <v>0.19400000000000001</v>
      </c>
      <c r="L107" s="12">
        <v>10</v>
      </c>
      <c r="M107" s="12">
        <v>52</v>
      </c>
      <c r="N107" s="12">
        <v>62</v>
      </c>
      <c r="O107" s="12" t="str">
        <f>VLOOKUP(G107,calculate_field!$B$2:$C$5,2,FALSE)</f>
        <v>Clear/Partly Cloudy</v>
      </c>
      <c r="P107" s="12" t="str">
        <f t="shared" si="9"/>
        <v>Wednesday</v>
      </c>
      <c r="Q107" s="12" t="str">
        <f t="shared" si="10"/>
        <v>Weekday</v>
      </c>
      <c r="R107" s="12" t="str">
        <f t="shared" si="11"/>
        <v>Afternoon</v>
      </c>
      <c r="S107" s="28" t="str">
        <f>INDEX(calculate_field!$F$2:$F$4, MATCH(H107, calculate_field!$E$2:$E$4, 1))</f>
        <v>Warm</v>
      </c>
      <c r="T107" s="33">
        <f t="shared" si="12"/>
        <v>71.5</v>
      </c>
      <c r="U107" s="33">
        <f t="shared" si="13"/>
        <v>59.771303278849238</v>
      </c>
      <c r="V107" s="33">
        <f t="shared" si="14"/>
        <v>1.3552137553443448E-2</v>
      </c>
      <c r="W107" s="12" t="b">
        <f t="shared" si="15"/>
        <v>0</v>
      </c>
    </row>
    <row r="108" spans="1:23">
      <c r="A108" s="26">
        <v>107</v>
      </c>
      <c r="B108" s="27">
        <v>40548</v>
      </c>
      <c r="C108" s="12">
        <v>1</v>
      </c>
      <c r="D108" s="12">
        <v>15</v>
      </c>
      <c r="E108" s="12" t="b">
        <v>0</v>
      </c>
      <c r="F108" s="12">
        <v>3</v>
      </c>
      <c r="G108" s="12">
        <v>1</v>
      </c>
      <c r="H108" s="12">
        <v>0.3</v>
      </c>
      <c r="I108" s="12">
        <v>0.28789999999999999</v>
      </c>
      <c r="J108" s="12">
        <v>0.28000000000000003</v>
      </c>
      <c r="K108" s="12">
        <v>0.19400000000000001</v>
      </c>
      <c r="L108" s="12">
        <v>7</v>
      </c>
      <c r="M108" s="12">
        <v>55</v>
      </c>
      <c r="N108" s="12">
        <v>62</v>
      </c>
      <c r="O108" s="12" t="str">
        <f>VLOOKUP(G108,calculate_field!$B$2:$C$5,2,FALSE)</f>
        <v>Clear/Partly Cloudy</v>
      </c>
      <c r="P108" s="12" t="str">
        <f t="shared" si="9"/>
        <v>Wednesday</v>
      </c>
      <c r="Q108" s="12" t="str">
        <f t="shared" si="10"/>
        <v>Weekday</v>
      </c>
      <c r="R108" s="12" t="str">
        <f t="shared" si="11"/>
        <v>Afternoon</v>
      </c>
      <c r="S108" s="28" t="str">
        <f>INDEX(calculate_field!$F$2:$F$4, MATCH(H108, calculate_field!$E$2:$E$4, 1))</f>
        <v>Warm</v>
      </c>
      <c r="T108" s="33">
        <f t="shared" si="12"/>
        <v>71.5</v>
      </c>
      <c r="U108" s="33">
        <f t="shared" si="13"/>
        <v>59.771303278849238</v>
      </c>
      <c r="V108" s="33">
        <f t="shared" si="14"/>
        <v>-0.13250336276781269</v>
      </c>
      <c r="W108" s="12" t="b">
        <f t="shared" si="15"/>
        <v>1</v>
      </c>
    </row>
    <row r="109" spans="1:23">
      <c r="A109" s="26">
        <v>108</v>
      </c>
      <c r="B109" s="27">
        <v>40548</v>
      </c>
      <c r="C109" s="12">
        <v>1</v>
      </c>
      <c r="D109" s="12">
        <v>16</v>
      </c>
      <c r="E109" s="12" t="b">
        <v>0</v>
      </c>
      <c r="F109" s="12">
        <v>3</v>
      </c>
      <c r="G109" s="12">
        <v>1</v>
      </c>
      <c r="H109" s="12">
        <v>0.3</v>
      </c>
      <c r="I109" s="12">
        <v>0.31819999999999998</v>
      </c>
      <c r="J109" s="12">
        <v>0.28000000000000003</v>
      </c>
      <c r="K109" s="12">
        <v>8.9599999999999999E-2</v>
      </c>
      <c r="L109" s="12">
        <v>4</v>
      </c>
      <c r="M109" s="12">
        <v>85</v>
      </c>
      <c r="N109" s="12">
        <v>89</v>
      </c>
      <c r="O109" s="12" t="str">
        <f>VLOOKUP(G109,calculate_field!$B$2:$C$5,2,FALSE)</f>
        <v>Clear/Partly Cloudy</v>
      </c>
      <c r="P109" s="12" t="str">
        <f t="shared" si="9"/>
        <v>Wednesday</v>
      </c>
      <c r="Q109" s="12" t="str">
        <f t="shared" si="10"/>
        <v>Weekday</v>
      </c>
      <c r="R109" s="12" t="str">
        <f t="shared" si="11"/>
        <v>Afternoon</v>
      </c>
      <c r="S109" s="28" t="str">
        <f>INDEX(calculate_field!$F$2:$F$4, MATCH(H109, calculate_field!$E$2:$E$4, 1))</f>
        <v>Warm</v>
      </c>
      <c r="T109" s="33">
        <f t="shared" si="12"/>
        <v>72.5</v>
      </c>
      <c r="U109" s="33">
        <f t="shared" si="13"/>
        <v>59.806208780490778</v>
      </c>
      <c r="V109" s="33">
        <f t="shared" si="14"/>
        <v>0.28185820462758487</v>
      </c>
      <c r="W109" s="12" t="b">
        <f t="shared" si="15"/>
        <v>1</v>
      </c>
    </row>
    <row r="110" spans="1:23">
      <c r="A110" s="26">
        <v>109</v>
      </c>
      <c r="B110" s="27">
        <v>40548</v>
      </c>
      <c r="C110" s="12">
        <v>1</v>
      </c>
      <c r="D110" s="12">
        <v>17</v>
      </c>
      <c r="E110" s="12" t="b">
        <v>0</v>
      </c>
      <c r="F110" s="12">
        <v>3</v>
      </c>
      <c r="G110" s="12">
        <v>1</v>
      </c>
      <c r="H110" s="12">
        <v>0.24</v>
      </c>
      <c r="I110" s="12">
        <v>0.2273</v>
      </c>
      <c r="J110" s="12">
        <v>0.38</v>
      </c>
      <c r="K110" s="12">
        <v>0.19400000000000001</v>
      </c>
      <c r="L110" s="12">
        <v>4</v>
      </c>
      <c r="M110" s="12">
        <v>186</v>
      </c>
      <c r="N110" s="12">
        <v>190</v>
      </c>
      <c r="O110" s="12" t="str">
        <f>VLOOKUP(G110,calculate_field!$B$2:$C$5,2,FALSE)</f>
        <v>Clear/Partly Cloudy</v>
      </c>
      <c r="P110" s="12" t="str">
        <f t="shared" si="9"/>
        <v>Wednesday</v>
      </c>
      <c r="Q110" s="12" t="str">
        <f t="shared" si="10"/>
        <v>Weekday</v>
      </c>
      <c r="R110" s="12" t="str">
        <f t="shared" si="11"/>
        <v>Evening</v>
      </c>
      <c r="S110" s="28" t="str">
        <f>INDEX(calculate_field!$F$2:$F$4, MATCH(H110, calculate_field!$E$2:$E$4, 1))</f>
        <v>Mild</v>
      </c>
      <c r="T110" s="33">
        <f t="shared" si="12"/>
        <v>75.958333333333329</v>
      </c>
      <c r="U110" s="33">
        <f t="shared" si="13"/>
        <v>63.110310028426085</v>
      </c>
      <c r="V110" s="33">
        <f t="shared" si="14"/>
        <v>1.615690293563983</v>
      </c>
      <c r="W110" s="12" t="b">
        <f t="shared" si="15"/>
        <v>0</v>
      </c>
    </row>
    <row r="111" spans="1:23">
      <c r="A111" s="26">
        <v>110</v>
      </c>
      <c r="B111" s="27">
        <v>40548</v>
      </c>
      <c r="C111" s="12">
        <v>1</v>
      </c>
      <c r="D111" s="12">
        <v>18</v>
      </c>
      <c r="E111" s="12" t="b">
        <v>0</v>
      </c>
      <c r="F111" s="12">
        <v>3</v>
      </c>
      <c r="G111" s="12">
        <v>1</v>
      </c>
      <c r="H111" s="12">
        <v>0.24</v>
      </c>
      <c r="I111" s="12">
        <v>0.2424</v>
      </c>
      <c r="J111" s="12">
        <v>0.38</v>
      </c>
      <c r="K111" s="12">
        <v>0.1343</v>
      </c>
      <c r="L111" s="12">
        <v>3</v>
      </c>
      <c r="M111" s="12">
        <v>166</v>
      </c>
      <c r="N111" s="12">
        <v>169</v>
      </c>
      <c r="O111" s="12" t="str">
        <f>VLOOKUP(G111,calculate_field!$B$2:$C$5,2,FALSE)</f>
        <v>Clear/Partly Cloudy</v>
      </c>
      <c r="P111" s="12" t="str">
        <f t="shared" si="9"/>
        <v>Wednesday</v>
      </c>
      <c r="Q111" s="12" t="str">
        <f t="shared" si="10"/>
        <v>Weekday</v>
      </c>
      <c r="R111" s="12" t="str">
        <f t="shared" si="11"/>
        <v>Evening</v>
      </c>
      <c r="S111" s="28" t="str">
        <f>INDEX(calculate_field!$F$2:$F$4, MATCH(H111, calculate_field!$E$2:$E$4, 1))</f>
        <v>Mild</v>
      </c>
      <c r="T111" s="33">
        <f t="shared" si="12"/>
        <v>74.833333333333329</v>
      </c>
      <c r="U111" s="33">
        <f t="shared" si="13"/>
        <v>61.200786203153129</v>
      </c>
      <c r="V111" s="33">
        <f t="shared" si="14"/>
        <v>1.5698454902661314</v>
      </c>
      <c r="W111" s="12" t="b">
        <f t="shared" si="15"/>
        <v>0</v>
      </c>
    </row>
    <row r="112" spans="1:23">
      <c r="A112" s="26">
        <v>111</v>
      </c>
      <c r="B112" s="27">
        <v>40548</v>
      </c>
      <c r="C112" s="12">
        <v>1</v>
      </c>
      <c r="D112" s="12">
        <v>19</v>
      </c>
      <c r="E112" s="12" t="b">
        <v>0</v>
      </c>
      <c r="F112" s="12">
        <v>3</v>
      </c>
      <c r="G112" s="12">
        <v>1</v>
      </c>
      <c r="H112" s="12">
        <v>0.24</v>
      </c>
      <c r="I112" s="12">
        <v>0.2576</v>
      </c>
      <c r="J112" s="12">
        <v>0.38</v>
      </c>
      <c r="K112" s="12">
        <v>0.1045</v>
      </c>
      <c r="L112" s="12">
        <v>5</v>
      </c>
      <c r="M112" s="12">
        <v>127</v>
      </c>
      <c r="N112" s="12">
        <v>132</v>
      </c>
      <c r="O112" s="12" t="str">
        <f>VLOOKUP(G112,calculate_field!$B$2:$C$5,2,FALSE)</f>
        <v>Clear/Partly Cloudy</v>
      </c>
      <c r="P112" s="12" t="str">
        <f t="shared" si="9"/>
        <v>Wednesday</v>
      </c>
      <c r="Q112" s="12" t="str">
        <f t="shared" si="10"/>
        <v>Weekday</v>
      </c>
      <c r="R112" s="12" t="str">
        <f t="shared" si="11"/>
        <v>Evening</v>
      </c>
      <c r="S112" s="28" t="str">
        <f>INDEX(calculate_field!$F$2:$F$4, MATCH(H112, calculate_field!$E$2:$E$4, 1))</f>
        <v>Mild</v>
      </c>
      <c r="T112" s="33">
        <f t="shared" si="12"/>
        <v>72.458333333333329</v>
      </c>
      <c r="U112" s="33">
        <f t="shared" si="13"/>
        <v>58.430917342185168</v>
      </c>
      <c r="V112" s="33">
        <f t="shared" si="14"/>
        <v>0.77496676021540867</v>
      </c>
      <c r="W112" s="12" t="b">
        <f t="shared" si="15"/>
        <v>0</v>
      </c>
    </row>
    <row r="113" spans="1:23">
      <c r="A113" s="26">
        <v>112</v>
      </c>
      <c r="B113" s="27">
        <v>40548</v>
      </c>
      <c r="C113" s="12">
        <v>1</v>
      </c>
      <c r="D113" s="12">
        <v>20</v>
      </c>
      <c r="E113" s="12" t="b">
        <v>0</v>
      </c>
      <c r="F113" s="12">
        <v>3</v>
      </c>
      <c r="G113" s="12">
        <v>1</v>
      </c>
      <c r="H113" s="12">
        <v>0.22</v>
      </c>
      <c r="I113" s="12">
        <v>0.2273</v>
      </c>
      <c r="J113" s="12">
        <v>0.47</v>
      </c>
      <c r="K113" s="12">
        <v>0.16420000000000001</v>
      </c>
      <c r="L113" s="12">
        <v>7</v>
      </c>
      <c r="M113" s="12">
        <v>82</v>
      </c>
      <c r="N113" s="12">
        <v>89</v>
      </c>
      <c r="O113" s="12" t="str">
        <f>VLOOKUP(G113,calculate_field!$B$2:$C$5,2,FALSE)</f>
        <v>Clear/Partly Cloudy</v>
      </c>
      <c r="P113" s="12" t="str">
        <f t="shared" si="9"/>
        <v>Wednesday</v>
      </c>
      <c r="Q113" s="12" t="str">
        <f t="shared" si="10"/>
        <v>Weekday</v>
      </c>
      <c r="R113" s="12" t="str">
        <f t="shared" si="11"/>
        <v>Evening</v>
      </c>
      <c r="S113" s="28" t="str">
        <f>INDEX(calculate_field!$F$2:$F$4, MATCH(H113, calculate_field!$E$2:$E$4, 1))</f>
        <v>Mild</v>
      </c>
      <c r="T113" s="33">
        <f t="shared" si="12"/>
        <v>69.833333333333329</v>
      </c>
      <c r="U113" s="33">
        <f t="shared" si="13"/>
        <v>57.038253118767408</v>
      </c>
      <c r="V113" s="33">
        <f t="shared" si="14"/>
        <v>3.3992372298120292E-2</v>
      </c>
      <c r="W113" s="12" t="b">
        <f t="shared" si="15"/>
        <v>0</v>
      </c>
    </row>
    <row r="114" spans="1:23">
      <c r="A114" s="26">
        <v>113</v>
      </c>
      <c r="B114" s="27">
        <v>40548</v>
      </c>
      <c r="C114" s="12">
        <v>1</v>
      </c>
      <c r="D114" s="12">
        <v>21</v>
      </c>
      <c r="E114" s="12" t="b">
        <v>0</v>
      </c>
      <c r="F114" s="12">
        <v>3</v>
      </c>
      <c r="G114" s="12">
        <v>1</v>
      </c>
      <c r="H114" s="12">
        <v>0.2</v>
      </c>
      <c r="I114" s="12">
        <v>0.19700000000000001</v>
      </c>
      <c r="J114" s="12">
        <v>0.51</v>
      </c>
      <c r="K114" s="12">
        <v>0.19400000000000001</v>
      </c>
      <c r="L114" s="12">
        <v>3</v>
      </c>
      <c r="M114" s="12">
        <v>40</v>
      </c>
      <c r="N114" s="12">
        <v>43</v>
      </c>
      <c r="O114" s="12" t="str">
        <f>VLOOKUP(G114,calculate_field!$B$2:$C$5,2,FALSE)</f>
        <v>Clear/Partly Cloudy</v>
      </c>
      <c r="P114" s="12" t="str">
        <f t="shared" si="9"/>
        <v>Wednesday</v>
      </c>
      <c r="Q114" s="12" t="str">
        <f t="shared" si="10"/>
        <v>Weekday</v>
      </c>
      <c r="R114" s="12" t="str">
        <f t="shared" si="11"/>
        <v>Night</v>
      </c>
      <c r="S114" s="28" t="str">
        <f>INDEX(calculate_field!$F$2:$F$4, MATCH(H114, calculate_field!$E$2:$E$4, 1))</f>
        <v>Mild</v>
      </c>
      <c r="T114" s="33">
        <f t="shared" si="12"/>
        <v>68.125</v>
      </c>
      <c r="U114" s="33">
        <f t="shared" si="13"/>
        <v>57.053226483468165</v>
      </c>
      <c r="V114" s="33">
        <f t="shared" si="14"/>
        <v>-0.33034558582745649</v>
      </c>
      <c r="W114" s="12" t="b">
        <f t="shared" si="15"/>
        <v>0</v>
      </c>
    </row>
    <row r="115" spans="1:23">
      <c r="A115" s="26">
        <v>114</v>
      </c>
      <c r="B115" s="27">
        <v>40548</v>
      </c>
      <c r="C115" s="12">
        <v>1</v>
      </c>
      <c r="D115" s="12">
        <v>22</v>
      </c>
      <c r="E115" s="12" t="b">
        <v>0</v>
      </c>
      <c r="F115" s="12">
        <v>3</v>
      </c>
      <c r="G115" s="12">
        <v>1</v>
      </c>
      <c r="H115" s="12">
        <v>0.18</v>
      </c>
      <c r="I115" s="12">
        <v>0.19700000000000001</v>
      </c>
      <c r="J115" s="12">
        <v>0.55000000000000004</v>
      </c>
      <c r="K115" s="12">
        <v>0.1343</v>
      </c>
      <c r="L115" s="12">
        <v>1</v>
      </c>
      <c r="M115" s="12">
        <v>41</v>
      </c>
      <c r="N115" s="12">
        <v>42</v>
      </c>
      <c r="O115" s="12" t="str">
        <f>VLOOKUP(G115,calculate_field!$B$2:$C$5,2,FALSE)</f>
        <v>Clear/Partly Cloudy</v>
      </c>
      <c r="P115" s="12" t="str">
        <f t="shared" si="9"/>
        <v>Wednesday</v>
      </c>
      <c r="Q115" s="12" t="str">
        <f t="shared" si="10"/>
        <v>Weekday</v>
      </c>
      <c r="R115" s="12" t="str">
        <f t="shared" si="11"/>
        <v>Night</v>
      </c>
      <c r="S115" s="28" t="str">
        <f>INDEX(calculate_field!$F$2:$F$4, MATCH(H115, calculate_field!$E$2:$E$4, 1))</f>
        <v>Cold</v>
      </c>
      <c r="T115" s="33">
        <f t="shared" si="12"/>
        <v>68.5</v>
      </c>
      <c r="U115" s="33">
        <f t="shared" si="13"/>
        <v>56.910303185764633</v>
      </c>
      <c r="V115" s="33">
        <f t="shared" si="14"/>
        <v>-0.24634314924427309</v>
      </c>
      <c r="W115" s="12" t="b">
        <f t="shared" si="15"/>
        <v>0</v>
      </c>
    </row>
    <row r="116" spans="1:23">
      <c r="A116" s="26">
        <v>115</v>
      </c>
      <c r="B116" s="27">
        <v>40548</v>
      </c>
      <c r="C116" s="12">
        <v>1</v>
      </c>
      <c r="D116" s="12">
        <v>23</v>
      </c>
      <c r="E116" s="12" t="b">
        <v>0</v>
      </c>
      <c r="F116" s="12">
        <v>3</v>
      </c>
      <c r="G116" s="12">
        <v>1</v>
      </c>
      <c r="H116" s="12">
        <v>0.2</v>
      </c>
      <c r="I116" s="12">
        <v>0.2576</v>
      </c>
      <c r="J116" s="12">
        <v>0.47</v>
      </c>
      <c r="K116" s="12">
        <v>0</v>
      </c>
      <c r="L116" s="12">
        <v>1</v>
      </c>
      <c r="M116" s="12">
        <v>18</v>
      </c>
      <c r="N116" s="12">
        <v>19</v>
      </c>
      <c r="O116" s="12" t="str">
        <f>VLOOKUP(G116,calculate_field!$B$2:$C$5,2,FALSE)</f>
        <v>Clear/Partly Cloudy</v>
      </c>
      <c r="P116" s="12" t="str">
        <f t="shared" si="9"/>
        <v>Wednesday</v>
      </c>
      <c r="Q116" s="12" t="str">
        <f t="shared" si="10"/>
        <v>Weekday</v>
      </c>
      <c r="R116" s="12" t="str">
        <f t="shared" si="11"/>
        <v>Night</v>
      </c>
      <c r="S116" s="28" t="str">
        <f>INDEX(calculate_field!$F$2:$F$4, MATCH(H116, calculate_field!$E$2:$E$4, 1))</f>
        <v>Mild</v>
      </c>
      <c r="T116" s="33">
        <f t="shared" si="12"/>
        <v>67.708333333333329</v>
      </c>
      <c r="U116" s="33">
        <f t="shared" si="13"/>
        <v>57.424793287028649</v>
      </c>
      <c r="V116" s="33">
        <f t="shared" si="14"/>
        <v>-0.73814039880002236</v>
      </c>
      <c r="W116" s="12" t="b">
        <f t="shared" si="15"/>
        <v>0</v>
      </c>
    </row>
    <row r="117" spans="1:23">
      <c r="A117" s="26">
        <v>116</v>
      </c>
      <c r="B117" s="27">
        <v>40549</v>
      </c>
      <c r="C117" s="12">
        <v>1</v>
      </c>
      <c r="D117" s="12">
        <v>0</v>
      </c>
      <c r="E117" s="12" t="b">
        <v>0</v>
      </c>
      <c r="F117" s="12">
        <v>4</v>
      </c>
      <c r="G117" s="12">
        <v>1</v>
      </c>
      <c r="H117" s="12">
        <v>0.18</v>
      </c>
      <c r="I117" s="12">
        <v>0.2424</v>
      </c>
      <c r="J117" s="12">
        <v>0.55000000000000004</v>
      </c>
      <c r="K117" s="12">
        <v>0</v>
      </c>
      <c r="L117" s="12">
        <v>0</v>
      </c>
      <c r="M117" s="12">
        <v>11</v>
      </c>
      <c r="N117" s="12">
        <v>11</v>
      </c>
      <c r="O117" s="12" t="str">
        <f>VLOOKUP(G117,calculate_field!$B$2:$C$5,2,FALSE)</f>
        <v>Clear/Partly Cloudy</v>
      </c>
      <c r="P117" s="12" t="str">
        <f t="shared" si="9"/>
        <v>Thursday</v>
      </c>
      <c r="Q117" s="12" t="str">
        <f t="shared" si="10"/>
        <v>Weekday</v>
      </c>
      <c r="R117" s="12" t="str">
        <f t="shared" si="11"/>
        <v>Night</v>
      </c>
      <c r="S117" s="28" t="str">
        <f>INDEX(calculate_field!$F$2:$F$4, MATCH(H117, calculate_field!$E$2:$E$4, 1))</f>
        <v>Cold</v>
      </c>
      <c r="T117" s="33">
        <f t="shared" si="12"/>
        <v>67.625</v>
      </c>
      <c r="U117" s="33">
        <f t="shared" si="13"/>
        <v>57.499952741001373</v>
      </c>
      <c r="V117" s="33">
        <f t="shared" si="14"/>
        <v>-0.84895765994549777</v>
      </c>
      <c r="W117" s="12" t="b">
        <f t="shared" si="15"/>
        <v>1</v>
      </c>
    </row>
    <row r="118" spans="1:23">
      <c r="A118" s="26">
        <v>117</v>
      </c>
      <c r="B118" s="27">
        <v>40549</v>
      </c>
      <c r="C118" s="12">
        <v>1</v>
      </c>
      <c r="D118" s="12">
        <v>1</v>
      </c>
      <c r="E118" s="12" t="b">
        <v>0</v>
      </c>
      <c r="F118" s="12">
        <v>4</v>
      </c>
      <c r="G118" s="12">
        <v>1</v>
      </c>
      <c r="H118" s="12">
        <v>0.16</v>
      </c>
      <c r="I118" s="12">
        <v>0.2273</v>
      </c>
      <c r="J118" s="12">
        <v>0.64</v>
      </c>
      <c r="K118" s="12">
        <v>0</v>
      </c>
      <c r="L118" s="12">
        <v>0</v>
      </c>
      <c r="M118" s="12">
        <v>4</v>
      </c>
      <c r="N118" s="12">
        <v>4</v>
      </c>
      <c r="O118" s="12" t="str">
        <f>VLOOKUP(G118,calculate_field!$B$2:$C$5,2,FALSE)</f>
        <v>Clear/Partly Cloudy</v>
      </c>
      <c r="P118" s="12" t="str">
        <f t="shared" si="9"/>
        <v>Thursday</v>
      </c>
      <c r="Q118" s="12" t="str">
        <f t="shared" si="10"/>
        <v>Weekday</v>
      </c>
      <c r="R118" s="12" t="str">
        <f t="shared" si="11"/>
        <v>Night</v>
      </c>
      <c r="S118" s="28" t="str">
        <f>INDEX(calculate_field!$F$2:$F$4, MATCH(H118, calculate_field!$E$2:$E$4, 1))</f>
        <v>Cold</v>
      </c>
      <c r="T118" s="33">
        <f t="shared" si="12"/>
        <v>67.458333333333329</v>
      </c>
      <c r="U118" s="33">
        <f t="shared" si="13"/>
        <v>57.676744742209323</v>
      </c>
      <c r="V118" s="33">
        <f t="shared" si="14"/>
        <v>-1.0283009636117193</v>
      </c>
      <c r="W118" s="12" t="b">
        <f t="shared" si="15"/>
        <v>1</v>
      </c>
    </row>
    <row r="119" spans="1:23">
      <c r="A119" s="26">
        <v>118</v>
      </c>
      <c r="B119" s="27">
        <v>40549</v>
      </c>
      <c r="C119" s="12">
        <v>1</v>
      </c>
      <c r="D119" s="12">
        <v>2</v>
      </c>
      <c r="E119" s="12" t="b">
        <v>0</v>
      </c>
      <c r="F119" s="12">
        <v>4</v>
      </c>
      <c r="G119" s="12">
        <v>1</v>
      </c>
      <c r="H119" s="12">
        <v>0.16</v>
      </c>
      <c r="I119" s="12">
        <v>0.2273</v>
      </c>
      <c r="J119" s="12">
        <v>0.64</v>
      </c>
      <c r="K119" s="12">
        <v>0</v>
      </c>
      <c r="L119" s="12">
        <v>0</v>
      </c>
      <c r="M119" s="12">
        <v>2</v>
      </c>
      <c r="N119" s="12">
        <v>2</v>
      </c>
      <c r="O119" s="12" t="str">
        <f>VLOOKUP(G119,calculate_field!$B$2:$C$5,2,FALSE)</f>
        <v>Clear/Partly Cloudy</v>
      </c>
      <c r="P119" s="12" t="str">
        <f t="shared" si="9"/>
        <v>Thursday</v>
      </c>
      <c r="Q119" s="12" t="str">
        <f t="shared" si="10"/>
        <v>Weekday</v>
      </c>
      <c r="R119" s="12" t="str">
        <f t="shared" si="11"/>
        <v>Night</v>
      </c>
      <c r="S119" s="28" t="str">
        <f>INDEX(calculate_field!$F$2:$F$4, MATCH(H119, calculate_field!$E$2:$E$4, 1))</f>
        <v>Cold</v>
      </c>
      <c r="T119" s="33">
        <f t="shared" si="12"/>
        <v>67.333333333333329</v>
      </c>
      <c r="U119" s="33">
        <f t="shared" si="13"/>
        <v>57.823319101241999</v>
      </c>
      <c r="V119" s="33">
        <f t="shared" si="14"/>
        <v>-1.1512378754818249</v>
      </c>
      <c r="W119" s="12" t="b">
        <f t="shared" si="15"/>
        <v>1</v>
      </c>
    </row>
    <row r="120" spans="1:23">
      <c r="A120" s="26">
        <v>119</v>
      </c>
      <c r="B120" s="27">
        <v>40549</v>
      </c>
      <c r="C120" s="12">
        <v>1</v>
      </c>
      <c r="D120" s="12">
        <v>4</v>
      </c>
      <c r="E120" s="12" t="b">
        <v>0</v>
      </c>
      <c r="F120" s="12">
        <v>4</v>
      </c>
      <c r="G120" s="12">
        <v>2</v>
      </c>
      <c r="H120" s="12">
        <v>0.16</v>
      </c>
      <c r="I120" s="12">
        <v>0.19700000000000001</v>
      </c>
      <c r="J120" s="12">
        <v>0.64</v>
      </c>
      <c r="K120" s="12">
        <v>8.9599999999999999E-2</v>
      </c>
      <c r="L120" s="12">
        <v>0</v>
      </c>
      <c r="M120" s="12">
        <v>1</v>
      </c>
      <c r="N120" s="12">
        <v>1</v>
      </c>
      <c r="O120" s="12" t="str">
        <f>VLOOKUP(G120,calculate_field!$B$2:$C$5,2,FALSE)</f>
        <v xml:space="preserve">Mist / cloudy </v>
      </c>
      <c r="P120" s="12" t="str">
        <f t="shared" si="9"/>
        <v>Thursday</v>
      </c>
      <c r="Q120" s="12" t="str">
        <f t="shared" si="10"/>
        <v>Weekday</v>
      </c>
      <c r="R120" s="12" t="str">
        <f t="shared" si="11"/>
        <v>Night</v>
      </c>
      <c r="S120" s="28" t="str">
        <f>INDEX(calculate_field!$F$2:$F$4, MATCH(H120, calculate_field!$E$2:$E$4, 1))</f>
        <v>Cold</v>
      </c>
      <c r="T120" s="33">
        <f t="shared" si="12"/>
        <v>67.291666666666671</v>
      </c>
      <c r="U120" s="33">
        <f t="shared" si="13"/>
        <v>57.872783395746694</v>
      </c>
      <c r="V120" s="33">
        <f t="shared" si="14"/>
        <v>-1.161859687709131</v>
      </c>
      <c r="W120" s="12" t="b">
        <f t="shared" si="15"/>
        <v>0</v>
      </c>
    </row>
    <row r="121" spans="1:23">
      <c r="A121" s="26">
        <v>120</v>
      </c>
      <c r="B121" s="27">
        <v>40549</v>
      </c>
      <c r="C121" s="12">
        <v>1</v>
      </c>
      <c r="D121" s="12">
        <v>5</v>
      </c>
      <c r="E121" s="12" t="b">
        <v>0</v>
      </c>
      <c r="F121" s="12">
        <v>4</v>
      </c>
      <c r="G121" s="12">
        <v>2</v>
      </c>
      <c r="H121" s="12">
        <v>0.14000000000000001</v>
      </c>
      <c r="I121" s="12">
        <v>0.18179999999999999</v>
      </c>
      <c r="J121" s="12">
        <v>0.69</v>
      </c>
      <c r="K121" s="12">
        <v>8.9599999999999999E-2</v>
      </c>
      <c r="L121" s="12">
        <v>0</v>
      </c>
      <c r="M121" s="12">
        <v>4</v>
      </c>
      <c r="N121" s="12">
        <v>4</v>
      </c>
      <c r="O121" s="12" t="str">
        <f>VLOOKUP(G121,calculate_field!$B$2:$C$5,2,FALSE)</f>
        <v xml:space="preserve">Mist / cloudy </v>
      </c>
      <c r="P121" s="12" t="str">
        <f t="shared" si="9"/>
        <v>Thursday</v>
      </c>
      <c r="Q121" s="12" t="str">
        <f t="shared" si="10"/>
        <v>Weekday</v>
      </c>
      <c r="R121" s="12" t="str">
        <f t="shared" si="11"/>
        <v>Night</v>
      </c>
      <c r="S121" s="28" t="str">
        <f>INDEX(calculate_field!$F$2:$F$4, MATCH(H121, calculate_field!$E$2:$E$4, 1))</f>
        <v>Cold</v>
      </c>
      <c r="T121" s="33">
        <f t="shared" si="12"/>
        <v>67.458333333333329</v>
      </c>
      <c r="U121" s="33">
        <f t="shared" si="13"/>
        <v>57.679006177492241</v>
      </c>
      <c r="V121" s="33">
        <f t="shared" si="14"/>
        <v>-1.0887196680238349</v>
      </c>
      <c r="W121" s="12" t="b">
        <f t="shared" si="15"/>
        <v>0</v>
      </c>
    </row>
    <row r="122" spans="1:23">
      <c r="A122" s="26">
        <v>121</v>
      </c>
      <c r="B122" s="27">
        <v>40549</v>
      </c>
      <c r="C122" s="12">
        <v>1</v>
      </c>
      <c r="D122" s="12">
        <v>6</v>
      </c>
      <c r="E122" s="12" t="b">
        <v>0</v>
      </c>
      <c r="F122" s="12">
        <v>4</v>
      </c>
      <c r="G122" s="12">
        <v>2</v>
      </c>
      <c r="H122" s="12">
        <v>0.14000000000000001</v>
      </c>
      <c r="I122" s="12">
        <v>0.16669999999999999</v>
      </c>
      <c r="J122" s="12">
        <v>0.63</v>
      </c>
      <c r="K122" s="12">
        <v>0.1045</v>
      </c>
      <c r="L122" s="12">
        <v>0</v>
      </c>
      <c r="M122" s="12">
        <v>36</v>
      </c>
      <c r="N122" s="12">
        <v>36</v>
      </c>
      <c r="O122" s="12" t="str">
        <f>VLOOKUP(G122,calculate_field!$B$2:$C$5,2,FALSE)</f>
        <v xml:space="preserve">Mist / cloudy </v>
      </c>
      <c r="P122" s="12" t="str">
        <f t="shared" si="9"/>
        <v>Thursday</v>
      </c>
      <c r="Q122" s="12" t="str">
        <f t="shared" si="10"/>
        <v>Weekday</v>
      </c>
      <c r="R122" s="12" t="str">
        <f t="shared" si="11"/>
        <v>Morning</v>
      </c>
      <c r="S122" s="28" t="str">
        <f>INDEX(calculate_field!$F$2:$F$4, MATCH(H122, calculate_field!$E$2:$E$4, 1))</f>
        <v>Cold</v>
      </c>
      <c r="T122" s="33">
        <f t="shared" si="12"/>
        <v>68.708333333333329</v>
      </c>
      <c r="U122" s="33">
        <f t="shared" si="13"/>
        <v>56.558149504402266</v>
      </c>
      <c r="V122" s="33">
        <f t="shared" si="14"/>
        <v>-0.55845452530543804</v>
      </c>
      <c r="W122" s="12" t="b">
        <f t="shared" si="15"/>
        <v>0</v>
      </c>
    </row>
    <row r="123" spans="1:23">
      <c r="A123" s="26">
        <v>122</v>
      </c>
      <c r="B123" s="27">
        <v>40549</v>
      </c>
      <c r="C123" s="12">
        <v>1</v>
      </c>
      <c r="D123" s="12">
        <v>7</v>
      </c>
      <c r="E123" s="12" t="b">
        <v>0</v>
      </c>
      <c r="F123" s="12">
        <v>4</v>
      </c>
      <c r="G123" s="12">
        <v>2</v>
      </c>
      <c r="H123" s="12">
        <v>0.16</v>
      </c>
      <c r="I123" s="12">
        <v>0.2273</v>
      </c>
      <c r="J123" s="12">
        <v>0.59</v>
      </c>
      <c r="K123" s="12">
        <v>0</v>
      </c>
      <c r="L123" s="12">
        <v>0</v>
      </c>
      <c r="M123" s="12">
        <v>95</v>
      </c>
      <c r="N123" s="12">
        <v>95</v>
      </c>
      <c r="O123" s="12" t="str">
        <f>VLOOKUP(G123,calculate_field!$B$2:$C$5,2,FALSE)</f>
        <v xml:space="preserve">Mist / cloudy </v>
      </c>
      <c r="P123" s="12" t="str">
        <f t="shared" si="9"/>
        <v>Thursday</v>
      </c>
      <c r="Q123" s="12" t="str">
        <f t="shared" si="10"/>
        <v>Weekday</v>
      </c>
      <c r="R123" s="12" t="str">
        <f t="shared" si="11"/>
        <v>Morning</v>
      </c>
      <c r="S123" s="28" t="str">
        <f>INDEX(calculate_field!$F$2:$F$4, MATCH(H123, calculate_field!$E$2:$E$4, 1))</f>
        <v>Cold</v>
      </c>
      <c r="T123" s="33">
        <f t="shared" si="12"/>
        <v>70.708333333333329</v>
      </c>
      <c r="U123" s="33">
        <f t="shared" si="13"/>
        <v>56.198776999431971</v>
      </c>
      <c r="V123" s="33">
        <f t="shared" si="14"/>
        <v>0.37231367435476354</v>
      </c>
      <c r="W123" s="12" t="b">
        <f t="shared" si="15"/>
        <v>0</v>
      </c>
    </row>
    <row r="124" spans="1:23">
      <c r="A124" s="26">
        <v>123</v>
      </c>
      <c r="B124" s="27">
        <v>40549</v>
      </c>
      <c r="C124" s="12">
        <v>1</v>
      </c>
      <c r="D124" s="12">
        <v>8</v>
      </c>
      <c r="E124" s="12" t="b">
        <v>0</v>
      </c>
      <c r="F124" s="12">
        <v>4</v>
      </c>
      <c r="G124" s="12">
        <v>1</v>
      </c>
      <c r="H124" s="12">
        <v>0.16</v>
      </c>
      <c r="I124" s="12">
        <v>0.2273</v>
      </c>
      <c r="J124" s="12">
        <v>0.59</v>
      </c>
      <c r="K124" s="12">
        <v>0</v>
      </c>
      <c r="L124" s="12">
        <v>3</v>
      </c>
      <c r="M124" s="12">
        <v>216</v>
      </c>
      <c r="N124" s="12">
        <v>219</v>
      </c>
      <c r="O124" s="12" t="str">
        <f>VLOOKUP(G124,calculate_field!$B$2:$C$5,2,FALSE)</f>
        <v>Clear/Partly Cloudy</v>
      </c>
      <c r="P124" s="12" t="str">
        <f t="shared" si="9"/>
        <v>Thursday</v>
      </c>
      <c r="Q124" s="12" t="str">
        <f t="shared" si="10"/>
        <v>Weekday</v>
      </c>
      <c r="R124" s="12" t="str">
        <f t="shared" si="11"/>
        <v>Morning</v>
      </c>
      <c r="S124" s="28" t="str">
        <f>INDEX(calculate_field!$F$2:$F$4, MATCH(H124, calculate_field!$E$2:$E$4, 1))</f>
        <v>Cold</v>
      </c>
      <c r="T124" s="33">
        <f t="shared" si="12"/>
        <v>75.5</v>
      </c>
      <c r="U124" s="33">
        <f t="shared" si="13"/>
        <v>62.86700938938656</v>
      </c>
      <c r="V124" s="33">
        <f t="shared" si="14"/>
        <v>2.6430079198649619</v>
      </c>
      <c r="W124" s="12" t="b">
        <f t="shared" si="15"/>
        <v>0</v>
      </c>
    </row>
    <row r="125" spans="1:23">
      <c r="A125" s="26">
        <v>124</v>
      </c>
      <c r="B125" s="27">
        <v>40549</v>
      </c>
      <c r="C125" s="12">
        <v>1</v>
      </c>
      <c r="D125" s="12">
        <v>9</v>
      </c>
      <c r="E125" s="12" t="b">
        <v>0</v>
      </c>
      <c r="F125" s="12">
        <v>4</v>
      </c>
      <c r="G125" s="12">
        <v>2</v>
      </c>
      <c r="H125" s="12">
        <v>0.18</v>
      </c>
      <c r="I125" s="12">
        <v>0.2424</v>
      </c>
      <c r="J125" s="12">
        <v>0.51</v>
      </c>
      <c r="K125" s="12">
        <v>0</v>
      </c>
      <c r="L125" s="12">
        <v>6</v>
      </c>
      <c r="M125" s="12">
        <v>116</v>
      </c>
      <c r="N125" s="12">
        <v>122</v>
      </c>
      <c r="O125" s="12" t="str">
        <f>VLOOKUP(G125,calculate_field!$B$2:$C$5,2,FALSE)</f>
        <v xml:space="preserve">Mist / cloudy </v>
      </c>
      <c r="P125" s="12" t="str">
        <f t="shared" si="9"/>
        <v>Thursday</v>
      </c>
      <c r="Q125" s="12" t="str">
        <f t="shared" si="10"/>
        <v>Weekday</v>
      </c>
      <c r="R125" s="12" t="str">
        <f t="shared" si="11"/>
        <v>Morning</v>
      </c>
      <c r="S125" s="28" t="str">
        <f>INDEX(calculate_field!$F$2:$F$4, MATCH(H125, calculate_field!$E$2:$E$4, 1))</f>
        <v>Cold</v>
      </c>
      <c r="T125" s="33">
        <f t="shared" si="12"/>
        <v>71.958333333333329</v>
      </c>
      <c r="U125" s="33">
        <f t="shared" si="13"/>
        <v>56.503542918288232</v>
      </c>
      <c r="V125" s="33">
        <f t="shared" si="14"/>
        <v>1.7258763338899801</v>
      </c>
      <c r="W125" s="12" t="b">
        <f t="shared" si="15"/>
        <v>0</v>
      </c>
    </row>
    <row r="126" spans="1:23">
      <c r="A126" s="26">
        <v>125</v>
      </c>
      <c r="B126" s="27">
        <v>40549</v>
      </c>
      <c r="C126" s="12">
        <v>1</v>
      </c>
      <c r="D126" s="12">
        <v>10</v>
      </c>
      <c r="E126" s="12" t="b">
        <v>0</v>
      </c>
      <c r="F126" s="12">
        <v>4</v>
      </c>
      <c r="G126" s="12">
        <v>1</v>
      </c>
      <c r="H126" s="12">
        <v>0.2</v>
      </c>
      <c r="I126" s="12">
        <v>0.2576</v>
      </c>
      <c r="J126" s="12">
        <v>0.47</v>
      </c>
      <c r="K126" s="12">
        <v>0</v>
      </c>
      <c r="L126" s="12">
        <v>3</v>
      </c>
      <c r="M126" s="12">
        <v>42</v>
      </c>
      <c r="N126" s="12">
        <v>45</v>
      </c>
      <c r="O126" s="12" t="str">
        <f>VLOOKUP(G126,calculate_field!$B$2:$C$5,2,FALSE)</f>
        <v>Clear/Partly Cloudy</v>
      </c>
      <c r="P126" s="12" t="str">
        <f t="shared" si="9"/>
        <v>Thursday</v>
      </c>
      <c r="Q126" s="12" t="str">
        <f t="shared" si="10"/>
        <v>Weekday</v>
      </c>
      <c r="R126" s="12" t="str">
        <f t="shared" si="11"/>
        <v>Morning</v>
      </c>
      <c r="S126" s="28" t="str">
        <f>INDEX(calculate_field!$F$2:$F$4, MATCH(H126, calculate_field!$E$2:$E$4, 1))</f>
        <v>Mild</v>
      </c>
      <c r="T126" s="33">
        <f t="shared" si="12"/>
        <v>69.5</v>
      </c>
      <c r="U126" s="33">
        <f t="shared" si="13"/>
        <v>55.506364695763772</v>
      </c>
      <c r="V126" s="33">
        <f t="shared" si="14"/>
        <v>0.35418443723417176</v>
      </c>
      <c r="W126" s="12" t="b">
        <f t="shared" si="15"/>
        <v>0</v>
      </c>
    </row>
    <row r="127" spans="1:23">
      <c r="A127" s="26">
        <v>126</v>
      </c>
      <c r="B127" s="27">
        <v>40549</v>
      </c>
      <c r="C127" s="12">
        <v>1</v>
      </c>
      <c r="D127" s="12">
        <v>11</v>
      </c>
      <c r="E127" s="12" t="b">
        <v>0</v>
      </c>
      <c r="F127" s="12">
        <v>4</v>
      </c>
      <c r="G127" s="12">
        <v>1</v>
      </c>
      <c r="H127" s="12">
        <v>0.22</v>
      </c>
      <c r="I127" s="12">
        <v>0.2576</v>
      </c>
      <c r="J127" s="12">
        <v>0.44</v>
      </c>
      <c r="K127" s="12">
        <v>8.9599999999999999E-2</v>
      </c>
      <c r="L127" s="12">
        <v>2</v>
      </c>
      <c r="M127" s="12">
        <v>57</v>
      </c>
      <c r="N127" s="12">
        <v>59</v>
      </c>
      <c r="O127" s="12" t="str">
        <f>VLOOKUP(G127,calculate_field!$B$2:$C$5,2,FALSE)</f>
        <v>Clear/Partly Cloudy</v>
      </c>
      <c r="P127" s="12" t="str">
        <f t="shared" si="9"/>
        <v>Thursday</v>
      </c>
      <c r="Q127" s="12" t="str">
        <f t="shared" si="10"/>
        <v>Weekday</v>
      </c>
      <c r="R127" s="12" t="str">
        <f t="shared" si="11"/>
        <v>Morning</v>
      </c>
      <c r="S127" s="28" t="str">
        <f>INDEX(calculate_field!$F$2:$F$4, MATCH(H127, calculate_field!$E$2:$E$4, 1))</f>
        <v>Mild</v>
      </c>
      <c r="T127" s="33">
        <f t="shared" si="12"/>
        <v>70.416666666666671</v>
      </c>
      <c r="U127" s="33">
        <f t="shared" si="13"/>
        <v>55.2653021631874</v>
      </c>
      <c r="V127" s="33">
        <f t="shared" si="14"/>
        <v>0.44605726614204455</v>
      </c>
      <c r="W127" s="12" t="b">
        <f t="shared" si="15"/>
        <v>0</v>
      </c>
    </row>
    <row r="128" spans="1:23">
      <c r="A128" s="26">
        <v>127</v>
      </c>
      <c r="B128" s="27">
        <v>40549</v>
      </c>
      <c r="C128" s="12">
        <v>1</v>
      </c>
      <c r="D128" s="12">
        <v>12</v>
      </c>
      <c r="E128" s="12" t="b">
        <v>0</v>
      </c>
      <c r="F128" s="12">
        <v>4</v>
      </c>
      <c r="G128" s="12">
        <v>1</v>
      </c>
      <c r="H128" s="12">
        <v>0.26</v>
      </c>
      <c r="I128" s="12">
        <v>0.28789999999999999</v>
      </c>
      <c r="J128" s="12">
        <v>0.35</v>
      </c>
      <c r="K128" s="12">
        <v>0</v>
      </c>
      <c r="L128" s="12">
        <v>6</v>
      </c>
      <c r="M128" s="12">
        <v>78</v>
      </c>
      <c r="N128" s="12">
        <v>84</v>
      </c>
      <c r="O128" s="12" t="str">
        <f>VLOOKUP(G128,calculate_field!$B$2:$C$5,2,FALSE)</f>
        <v>Clear/Partly Cloudy</v>
      </c>
      <c r="P128" s="12" t="str">
        <f t="shared" si="9"/>
        <v>Thursday</v>
      </c>
      <c r="Q128" s="12" t="str">
        <f t="shared" si="10"/>
        <v>Weekday</v>
      </c>
      <c r="R128" s="12" t="str">
        <f t="shared" si="11"/>
        <v>Afternoon</v>
      </c>
      <c r="S128" s="28" t="str">
        <f>INDEX(calculate_field!$F$2:$F$4, MATCH(H128, calculate_field!$E$2:$E$4, 1))</f>
        <v>Mild</v>
      </c>
      <c r="T128" s="33">
        <f t="shared" si="12"/>
        <v>70.416666666666671</v>
      </c>
      <c r="U128" s="33">
        <f t="shared" si="13"/>
        <v>55.2653021631874</v>
      </c>
      <c r="V128" s="33">
        <f t="shared" si="14"/>
        <v>0.27170838973373651</v>
      </c>
      <c r="W128" s="12" t="b">
        <f t="shared" si="15"/>
        <v>0</v>
      </c>
    </row>
    <row r="129" spans="1:23">
      <c r="A129" s="26">
        <v>128</v>
      </c>
      <c r="B129" s="27">
        <v>40549</v>
      </c>
      <c r="C129" s="12">
        <v>1</v>
      </c>
      <c r="D129" s="12">
        <v>13</v>
      </c>
      <c r="E129" s="12" t="b">
        <v>0</v>
      </c>
      <c r="F129" s="12">
        <v>4</v>
      </c>
      <c r="G129" s="12">
        <v>1</v>
      </c>
      <c r="H129" s="12">
        <v>0.26</v>
      </c>
      <c r="I129" s="12">
        <v>0.2727</v>
      </c>
      <c r="J129" s="12">
        <v>0.35</v>
      </c>
      <c r="K129" s="12">
        <v>0.1045</v>
      </c>
      <c r="L129" s="12">
        <v>12</v>
      </c>
      <c r="M129" s="12">
        <v>55</v>
      </c>
      <c r="N129" s="12">
        <v>67</v>
      </c>
      <c r="O129" s="12" t="str">
        <f>VLOOKUP(G129,calculate_field!$B$2:$C$5,2,FALSE)</f>
        <v>Clear/Partly Cloudy</v>
      </c>
      <c r="P129" s="12" t="str">
        <f t="shared" si="9"/>
        <v>Thursday</v>
      </c>
      <c r="Q129" s="12" t="str">
        <f t="shared" si="10"/>
        <v>Weekday</v>
      </c>
      <c r="R129" s="12" t="str">
        <f t="shared" si="11"/>
        <v>Afternoon</v>
      </c>
      <c r="S129" s="28" t="str">
        <f>INDEX(calculate_field!$F$2:$F$4, MATCH(H129, calculate_field!$E$2:$E$4, 1))</f>
        <v>Mild</v>
      </c>
      <c r="T129" s="33">
        <f t="shared" si="12"/>
        <v>69.958333333333329</v>
      </c>
      <c r="U129" s="33">
        <f t="shared" si="13"/>
        <v>55.193319670335867</v>
      </c>
      <c r="V129" s="33">
        <f t="shared" si="14"/>
        <v>0.5360158311829365</v>
      </c>
      <c r="W129" s="12" t="b">
        <f t="shared" si="15"/>
        <v>0</v>
      </c>
    </row>
    <row r="130" spans="1:23">
      <c r="A130" s="26">
        <v>129</v>
      </c>
      <c r="B130" s="27">
        <v>40549</v>
      </c>
      <c r="C130" s="12">
        <v>1</v>
      </c>
      <c r="D130" s="12">
        <v>14</v>
      </c>
      <c r="E130" s="12" t="b">
        <v>0</v>
      </c>
      <c r="F130" s="12">
        <v>4</v>
      </c>
      <c r="G130" s="12">
        <v>1</v>
      </c>
      <c r="H130" s="12">
        <v>0.28000000000000003</v>
      </c>
      <c r="I130" s="12">
        <v>0.2727</v>
      </c>
      <c r="J130" s="12">
        <v>0.36</v>
      </c>
      <c r="K130" s="12">
        <v>0.16420000000000001</v>
      </c>
      <c r="L130" s="12">
        <v>11</v>
      </c>
      <c r="M130" s="12">
        <v>59</v>
      </c>
      <c r="N130" s="12">
        <v>70</v>
      </c>
      <c r="O130" s="12" t="str">
        <f>VLOOKUP(G130,calculate_field!$B$2:$C$5,2,FALSE)</f>
        <v>Clear/Partly Cloudy</v>
      </c>
      <c r="P130" s="12" t="str">
        <f t="shared" ref="P130:P193" si="16">CHOOSE(F130+1,"Sunday","Monday","Tuesday","Wednesday","Thursday","Friday","Saturday")</f>
        <v>Thursday</v>
      </c>
      <c r="Q130" s="12" t="str">
        <f t="shared" ref="Q130:Q193" si="17">IF(OR(F130=0,F130=6),"Weekend","Weekday")</f>
        <v>Weekday</v>
      </c>
      <c r="R130" s="12" t="str">
        <f t="shared" ref="R130:R193" si="18">IF(D130&lt;6,"Night",IF(D130&lt;12,"Morning",IF(D130&lt;17,"Afternoon",IF(D130&lt;21,"Evening","Night"))))</f>
        <v>Afternoon</v>
      </c>
      <c r="S130" s="28" t="str">
        <f>INDEX(calculate_field!$F$2:$F$4, MATCH(H130, calculate_field!$E$2:$E$4, 1))</f>
        <v>Mild</v>
      </c>
      <c r="T130" s="33">
        <f t="shared" ref="T130:T193" si="19">AVERAGE(N130:N153)</f>
        <v>69.25</v>
      </c>
      <c r="U130" s="33">
        <f t="shared" ref="U130:U193" si="20">_xlfn.STDEV.S(N130:N153)</f>
        <v>55.341823165706678</v>
      </c>
      <c r="V130" s="33">
        <f t="shared" ref="V130:V193" si="21">(N153-T153)/U153</f>
        <v>5.355880667091987E-3</v>
      </c>
      <c r="W130" s="12" t="b">
        <f t="shared" ref="W130:W193" si="22">IFERROR(ABS(V146)&gt;1.5,FALSE)</f>
        <v>0</v>
      </c>
    </row>
    <row r="131" spans="1:23">
      <c r="A131" s="26">
        <v>130</v>
      </c>
      <c r="B131" s="27">
        <v>40549</v>
      </c>
      <c r="C131" s="12">
        <v>1</v>
      </c>
      <c r="D131" s="12">
        <v>15</v>
      </c>
      <c r="E131" s="12" t="b">
        <v>0</v>
      </c>
      <c r="F131" s="12">
        <v>4</v>
      </c>
      <c r="G131" s="12">
        <v>1</v>
      </c>
      <c r="H131" s="12">
        <v>0.28000000000000003</v>
      </c>
      <c r="I131" s="12">
        <v>0.2727</v>
      </c>
      <c r="J131" s="12">
        <v>0.36</v>
      </c>
      <c r="K131" s="12">
        <v>0</v>
      </c>
      <c r="L131" s="12">
        <v>8</v>
      </c>
      <c r="M131" s="12">
        <v>54</v>
      </c>
      <c r="N131" s="12">
        <v>62</v>
      </c>
      <c r="O131" s="12" t="str">
        <f>VLOOKUP(G131,calculate_field!$B$2:$C$5,2,FALSE)</f>
        <v>Clear/Partly Cloudy</v>
      </c>
      <c r="P131" s="12" t="str">
        <f t="shared" si="16"/>
        <v>Thursday</v>
      </c>
      <c r="Q131" s="12" t="str">
        <f t="shared" si="17"/>
        <v>Weekday</v>
      </c>
      <c r="R131" s="12" t="str">
        <f t="shared" si="18"/>
        <v>Afternoon</v>
      </c>
      <c r="S131" s="28" t="str">
        <f>INDEX(calculate_field!$F$2:$F$4, MATCH(H131, calculate_field!$E$2:$E$4, 1))</f>
        <v>Mild</v>
      </c>
      <c r="T131" s="33">
        <f t="shared" si="19"/>
        <v>69.333333333333329</v>
      </c>
      <c r="U131" s="33">
        <f t="shared" si="20"/>
        <v>55.344507340418374</v>
      </c>
      <c r="V131" s="33">
        <f t="shared" si="21"/>
        <v>0.42819766029133005</v>
      </c>
      <c r="W131" s="12" t="b">
        <f t="shared" si="22"/>
        <v>0</v>
      </c>
    </row>
    <row r="132" spans="1:23">
      <c r="A132" s="26">
        <v>131</v>
      </c>
      <c r="B132" s="27">
        <v>40549</v>
      </c>
      <c r="C132" s="12">
        <v>1</v>
      </c>
      <c r="D132" s="12">
        <v>16</v>
      </c>
      <c r="E132" s="12" t="b">
        <v>0</v>
      </c>
      <c r="F132" s="12">
        <v>4</v>
      </c>
      <c r="G132" s="12">
        <v>1</v>
      </c>
      <c r="H132" s="12">
        <v>0.26</v>
      </c>
      <c r="I132" s="12">
        <v>0.2576</v>
      </c>
      <c r="J132" s="12">
        <v>0.38</v>
      </c>
      <c r="K132" s="12">
        <v>0.16420000000000001</v>
      </c>
      <c r="L132" s="12">
        <v>12</v>
      </c>
      <c r="M132" s="12">
        <v>74</v>
      </c>
      <c r="N132" s="12">
        <v>86</v>
      </c>
      <c r="O132" s="12" t="str">
        <f>VLOOKUP(G132,calculate_field!$B$2:$C$5,2,FALSE)</f>
        <v>Clear/Partly Cloudy</v>
      </c>
      <c r="P132" s="12" t="str">
        <f t="shared" si="16"/>
        <v>Thursday</v>
      </c>
      <c r="Q132" s="12" t="str">
        <f t="shared" si="17"/>
        <v>Weekday</v>
      </c>
      <c r="R132" s="12" t="str">
        <f t="shared" si="18"/>
        <v>Afternoon</v>
      </c>
      <c r="S132" s="28" t="str">
        <f>INDEX(calculate_field!$F$2:$F$4, MATCH(H132, calculate_field!$E$2:$E$4, 1))</f>
        <v>Mild</v>
      </c>
      <c r="T132" s="33">
        <f t="shared" si="19"/>
        <v>70.375</v>
      </c>
      <c r="U132" s="33">
        <f t="shared" si="20"/>
        <v>55.435675610880601</v>
      </c>
      <c r="V132" s="33">
        <f t="shared" si="21"/>
        <v>0.74107695036990417</v>
      </c>
      <c r="W132" s="12" t="b">
        <f t="shared" si="22"/>
        <v>0</v>
      </c>
    </row>
    <row r="133" spans="1:23">
      <c r="A133" s="26">
        <v>132</v>
      </c>
      <c r="B133" s="27">
        <v>40549</v>
      </c>
      <c r="C133" s="12">
        <v>1</v>
      </c>
      <c r="D133" s="12">
        <v>17</v>
      </c>
      <c r="E133" s="12" t="b">
        <v>0</v>
      </c>
      <c r="F133" s="12">
        <v>4</v>
      </c>
      <c r="G133" s="12">
        <v>1</v>
      </c>
      <c r="H133" s="12">
        <v>0.22</v>
      </c>
      <c r="I133" s="12">
        <v>0.2273</v>
      </c>
      <c r="J133" s="12">
        <v>0.51</v>
      </c>
      <c r="K133" s="12">
        <v>0.16420000000000001</v>
      </c>
      <c r="L133" s="12">
        <v>9</v>
      </c>
      <c r="M133" s="12">
        <v>163</v>
      </c>
      <c r="N133" s="12">
        <v>172</v>
      </c>
      <c r="O133" s="12" t="str">
        <f>VLOOKUP(G133,calculate_field!$B$2:$C$5,2,FALSE)</f>
        <v>Clear/Partly Cloudy</v>
      </c>
      <c r="P133" s="12" t="str">
        <f t="shared" si="16"/>
        <v>Thursday</v>
      </c>
      <c r="Q133" s="12" t="str">
        <f t="shared" si="17"/>
        <v>Weekday</v>
      </c>
      <c r="R133" s="12" t="str">
        <f t="shared" si="18"/>
        <v>Evening</v>
      </c>
      <c r="S133" s="28" t="str">
        <f>INDEX(calculate_field!$F$2:$F$4, MATCH(H133, calculate_field!$E$2:$E$4, 1))</f>
        <v>Mild</v>
      </c>
      <c r="T133" s="33">
        <f t="shared" si="19"/>
        <v>74.583333333333329</v>
      </c>
      <c r="U133" s="33">
        <f t="shared" si="20"/>
        <v>60.294146133526219</v>
      </c>
      <c r="V133" s="33">
        <f t="shared" si="21"/>
        <v>2.8687852120586306</v>
      </c>
      <c r="W133" s="12" t="b">
        <f t="shared" si="22"/>
        <v>0</v>
      </c>
    </row>
    <row r="134" spans="1:23">
      <c r="A134" s="26">
        <v>133</v>
      </c>
      <c r="B134" s="27">
        <v>40549</v>
      </c>
      <c r="C134" s="12">
        <v>1</v>
      </c>
      <c r="D134" s="12">
        <v>18</v>
      </c>
      <c r="E134" s="12" t="b">
        <v>0</v>
      </c>
      <c r="F134" s="12">
        <v>4</v>
      </c>
      <c r="G134" s="12">
        <v>1</v>
      </c>
      <c r="H134" s="12">
        <v>0.22</v>
      </c>
      <c r="I134" s="12">
        <v>0.2273</v>
      </c>
      <c r="J134" s="12">
        <v>0.51</v>
      </c>
      <c r="K134" s="12">
        <v>0.1343</v>
      </c>
      <c r="L134" s="12">
        <v>5</v>
      </c>
      <c r="M134" s="12">
        <v>158</v>
      </c>
      <c r="N134" s="12">
        <v>163</v>
      </c>
      <c r="O134" s="12" t="str">
        <f>VLOOKUP(G134,calculate_field!$B$2:$C$5,2,FALSE)</f>
        <v>Clear/Partly Cloudy</v>
      </c>
      <c r="P134" s="12" t="str">
        <f t="shared" si="16"/>
        <v>Thursday</v>
      </c>
      <c r="Q134" s="12" t="str">
        <f t="shared" si="17"/>
        <v>Weekday</v>
      </c>
      <c r="R134" s="12" t="str">
        <f t="shared" si="18"/>
        <v>Evening</v>
      </c>
      <c r="S134" s="28" t="str">
        <f>INDEX(calculate_field!$F$2:$F$4, MATCH(H134, calculate_field!$E$2:$E$4, 1))</f>
        <v>Mild</v>
      </c>
      <c r="T134" s="33">
        <f t="shared" si="19"/>
        <v>72.541666666666671</v>
      </c>
      <c r="U134" s="33">
        <f t="shared" si="20"/>
        <v>57.622443669916962</v>
      </c>
      <c r="V134" s="33">
        <f t="shared" si="21"/>
        <v>2.0299485642209367</v>
      </c>
      <c r="W134" s="12" t="b">
        <f t="shared" si="22"/>
        <v>0</v>
      </c>
    </row>
    <row r="135" spans="1:23">
      <c r="A135" s="26">
        <v>134</v>
      </c>
      <c r="B135" s="27">
        <v>40549</v>
      </c>
      <c r="C135" s="12">
        <v>1</v>
      </c>
      <c r="D135" s="12">
        <v>19</v>
      </c>
      <c r="E135" s="12" t="b">
        <v>0</v>
      </c>
      <c r="F135" s="12">
        <v>4</v>
      </c>
      <c r="G135" s="12">
        <v>1</v>
      </c>
      <c r="H135" s="12">
        <v>0.22</v>
      </c>
      <c r="I135" s="12">
        <v>0.2576</v>
      </c>
      <c r="J135" s="12">
        <v>0.55000000000000004</v>
      </c>
      <c r="K135" s="12">
        <v>8.9599999999999999E-2</v>
      </c>
      <c r="L135" s="12">
        <v>3</v>
      </c>
      <c r="M135" s="12">
        <v>109</v>
      </c>
      <c r="N135" s="12">
        <v>112</v>
      </c>
      <c r="O135" s="12" t="str">
        <f>VLOOKUP(G135,calculate_field!$B$2:$C$5,2,FALSE)</f>
        <v>Clear/Partly Cloudy</v>
      </c>
      <c r="P135" s="12" t="str">
        <f t="shared" si="16"/>
        <v>Thursday</v>
      </c>
      <c r="Q135" s="12" t="str">
        <f t="shared" si="17"/>
        <v>Weekday</v>
      </c>
      <c r="R135" s="12" t="str">
        <f t="shared" si="18"/>
        <v>Evening</v>
      </c>
      <c r="S135" s="28" t="str">
        <f>INDEX(calculate_field!$F$2:$F$4, MATCH(H135, calculate_field!$E$2:$E$4, 1))</f>
        <v>Mild</v>
      </c>
      <c r="T135" s="33">
        <f t="shared" si="19"/>
        <v>69.708333333333329</v>
      </c>
      <c r="U135" s="33">
        <f t="shared" si="20"/>
        <v>54.572233078630802</v>
      </c>
      <c r="V135" s="33">
        <f t="shared" si="21"/>
        <v>1.5083653305684892</v>
      </c>
      <c r="W135" s="12" t="b">
        <f t="shared" si="22"/>
        <v>0</v>
      </c>
    </row>
    <row r="136" spans="1:23">
      <c r="A136" s="26">
        <v>135</v>
      </c>
      <c r="B136" s="27">
        <v>40549</v>
      </c>
      <c r="C136" s="12">
        <v>1</v>
      </c>
      <c r="D136" s="12">
        <v>20</v>
      </c>
      <c r="E136" s="12" t="b">
        <v>0</v>
      </c>
      <c r="F136" s="12">
        <v>4</v>
      </c>
      <c r="G136" s="12">
        <v>1</v>
      </c>
      <c r="H136" s="12">
        <v>0.2</v>
      </c>
      <c r="I136" s="12">
        <v>0.21210000000000001</v>
      </c>
      <c r="J136" s="12">
        <v>0.51</v>
      </c>
      <c r="K136" s="12">
        <v>0.16420000000000001</v>
      </c>
      <c r="L136" s="12">
        <v>3</v>
      </c>
      <c r="M136" s="12">
        <v>66</v>
      </c>
      <c r="N136" s="12">
        <v>69</v>
      </c>
      <c r="O136" s="12" t="str">
        <f>VLOOKUP(G136,calculate_field!$B$2:$C$5,2,FALSE)</f>
        <v>Clear/Partly Cloudy</v>
      </c>
      <c r="P136" s="12" t="str">
        <f t="shared" si="16"/>
        <v>Thursday</v>
      </c>
      <c r="Q136" s="12" t="str">
        <f t="shared" si="17"/>
        <v>Weekday</v>
      </c>
      <c r="R136" s="12" t="str">
        <f t="shared" si="18"/>
        <v>Evening</v>
      </c>
      <c r="S136" s="28" t="str">
        <f>INDEX(calculate_field!$F$2:$F$4, MATCH(H136, calculate_field!$E$2:$E$4, 1))</f>
        <v>Mild</v>
      </c>
      <c r="T136" s="33">
        <f t="shared" si="19"/>
        <v>67.166666666666671</v>
      </c>
      <c r="U136" s="33">
        <f t="shared" si="20"/>
        <v>53.933668331665928</v>
      </c>
      <c r="V136" s="33">
        <f t="shared" si="21"/>
        <v>0.31493196974685589</v>
      </c>
      <c r="W136" s="12" t="b">
        <f t="shared" si="22"/>
        <v>1</v>
      </c>
    </row>
    <row r="137" spans="1:23">
      <c r="A137" s="26">
        <v>136</v>
      </c>
      <c r="B137" s="27">
        <v>40549</v>
      </c>
      <c r="C137" s="12">
        <v>1</v>
      </c>
      <c r="D137" s="12">
        <v>21</v>
      </c>
      <c r="E137" s="12" t="b">
        <v>0</v>
      </c>
      <c r="F137" s="12">
        <v>4</v>
      </c>
      <c r="G137" s="12">
        <v>2</v>
      </c>
      <c r="H137" s="12">
        <v>0.22</v>
      </c>
      <c r="I137" s="12">
        <v>0.21210000000000001</v>
      </c>
      <c r="J137" s="12">
        <v>0.55000000000000004</v>
      </c>
      <c r="K137" s="12">
        <v>0.22389999999999999</v>
      </c>
      <c r="L137" s="12">
        <v>0</v>
      </c>
      <c r="M137" s="12">
        <v>48</v>
      </c>
      <c r="N137" s="12">
        <v>48</v>
      </c>
      <c r="O137" s="12" t="str">
        <f>VLOOKUP(G137,calculate_field!$B$2:$C$5,2,FALSE)</f>
        <v xml:space="preserve">Mist / cloudy </v>
      </c>
      <c r="P137" s="12" t="str">
        <f t="shared" si="16"/>
        <v>Thursday</v>
      </c>
      <c r="Q137" s="12" t="str">
        <f t="shared" si="17"/>
        <v>Weekday</v>
      </c>
      <c r="R137" s="12" t="str">
        <f t="shared" si="18"/>
        <v>Night</v>
      </c>
      <c r="S137" s="28" t="str">
        <f>INDEX(calculate_field!$F$2:$F$4, MATCH(H137, calculate_field!$E$2:$E$4, 1))</f>
        <v>Mild</v>
      </c>
      <c r="T137" s="33">
        <f t="shared" si="19"/>
        <v>65.916666666666671</v>
      </c>
      <c r="U137" s="33">
        <f t="shared" si="20"/>
        <v>54.236131600755712</v>
      </c>
      <c r="V137" s="33">
        <f t="shared" si="21"/>
        <v>-2.5688874730144824E-2</v>
      </c>
      <c r="W137" s="12" t="b">
        <f t="shared" si="22"/>
        <v>1</v>
      </c>
    </row>
    <row r="138" spans="1:23">
      <c r="A138" s="26">
        <v>137</v>
      </c>
      <c r="B138" s="27">
        <v>40549</v>
      </c>
      <c r="C138" s="12">
        <v>1</v>
      </c>
      <c r="D138" s="12">
        <v>22</v>
      </c>
      <c r="E138" s="12" t="b">
        <v>0</v>
      </c>
      <c r="F138" s="12">
        <v>4</v>
      </c>
      <c r="G138" s="12">
        <v>2</v>
      </c>
      <c r="H138" s="12">
        <v>0.22</v>
      </c>
      <c r="I138" s="12">
        <v>0.21210000000000001</v>
      </c>
      <c r="J138" s="12">
        <v>0.51</v>
      </c>
      <c r="K138" s="12">
        <v>0.28360000000000002</v>
      </c>
      <c r="L138" s="12">
        <v>1</v>
      </c>
      <c r="M138" s="12">
        <v>51</v>
      </c>
      <c r="N138" s="12">
        <v>52</v>
      </c>
      <c r="O138" s="12" t="str">
        <f>VLOOKUP(G138,calculate_field!$B$2:$C$5,2,FALSE)</f>
        <v xml:space="preserve">Mist / cloudy </v>
      </c>
      <c r="P138" s="12" t="str">
        <f t="shared" si="16"/>
        <v>Thursday</v>
      </c>
      <c r="Q138" s="12" t="str">
        <f t="shared" si="17"/>
        <v>Weekday</v>
      </c>
      <c r="R138" s="12" t="str">
        <f t="shared" si="18"/>
        <v>Night</v>
      </c>
      <c r="S138" s="28" t="str">
        <f>INDEX(calculate_field!$F$2:$F$4, MATCH(H138, calculate_field!$E$2:$E$4, 1))</f>
        <v>Mild</v>
      </c>
      <c r="T138" s="33">
        <f t="shared" si="19"/>
        <v>65.416666666666671</v>
      </c>
      <c r="U138" s="33">
        <f t="shared" si="20"/>
        <v>54.46332365168697</v>
      </c>
      <c r="V138" s="33">
        <f t="shared" si="21"/>
        <v>-0.1155828253724383</v>
      </c>
      <c r="W138" s="12" t="b">
        <f t="shared" si="22"/>
        <v>1</v>
      </c>
    </row>
    <row r="139" spans="1:23">
      <c r="A139" s="26">
        <v>138</v>
      </c>
      <c r="B139" s="27">
        <v>40549</v>
      </c>
      <c r="C139" s="12">
        <v>1</v>
      </c>
      <c r="D139" s="12">
        <v>23</v>
      </c>
      <c r="E139" s="12" t="b">
        <v>0</v>
      </c>
      <c r="F139" s="12">
        <v>4</v>
      </c>
      <c r="G139" s="12">
        <v>2</v>
      </c>
      <c r="H139" s="12">
        <v>0.2</v>
      </c>
      <c r="I139" s="12">
        <v>0.19700000000000001</v>
      </c>
      <c r="J139" s="12">
        <v>0.59</v>
      </c>
      <c r="K139" s="12">
        <v>0.19400000000000001</v>
      </c>
      <c r="L139" s="12">
        <v>4</v>
      </c>
      <c r="M139" s="12">
        <v>19</v>
      </c>
      <c r="N139" s="12">
        <v>23</v>
      </c>
      <c r="O139" s="12" t="str">
        <f>VLOOKUP(G139,calculate_field!$B$2:$C$5,2,FALSE)</f>
        <v xml:space="preserve">Mist / cloudy </v>
      </c>
      <c r="P139" s="12" t="str">
        <f t="shared" si="16"/>
        <v>Thursday</v>
      </c>
      <c r="Q139" s="12" t="str">
        <f t="shared" si="17"/>
        <v>Weekday</v>
      </c>
      <c r="R139" s="12" t="str">
        <f t="shared" si="18"/>
        <v>Night</v>
      </c>
      <c r="S139" s="28" t="str">
        <f>INDEX(calculate_field!$F$2:$F$4, MATCH(H139, calculate_field!$E$2:$E$4, 1))</f>
        <v>Mild</v>
      </c>
      <c r="T139" s="33">
        <f t="shared" si="19"/>
        <v>63.875</v>
      </c>
      <c r="U139" s="33">
        <f t="shared" si="20"/>
        <v>55.375644073200078</v>
      </c>
      <c r="V139" s="33">
        <f t="shared" si="21"/>
        <v>-0.75998260268713758</v>
      </c>
      <c r="W139" s="12" t="b">
        <f t="shared" si="22"/>
        <v>0</v>
      </c>
    </row>
    <row r="140" spans="1:23">
      <c r="A140" s="26">
        <v>139</v>
      </c>
      <c r="B140" s="27">
        <v>40550</v>
      </c>
      <c r="C140" s="12">
        <v>1</v>
      </c>
      <c r="D140" s="12">
        <v>0</v>
      </c>
      <c r="E140" s="12" t="b">
        <v>0</v>
      </c>
      <c r="F140" s="12">
        <v>5</v>
      </c>
      <c r="G140" s="12">
        <v>2</v>
      </c>
      <c r="H140" s="12">
        <v>0.2</v>
      </c>
      <c r="I140" s="12">
        <v>0.19700000000000001</v>
      </c>
      <c r="J140" s="12">
        <v>0.64</v>
      </c>
      <c r="K140" s="12">
        <v>0.19400000000000001</v>
      </c>
      <c r="L140" s="12">
        <v>4</v>
      </c>
      <c r="M140" s="12">
        <v>13</v>
      </c>
      <c r="N140" s="12">
        <v>17</v>
      </c>
      <c r="O140" s="12" t="str">
        <f>VLOOKUP(G140,calculate_field!$B$2:$C$5,2,FALSE)</f>
        <v xml:space="preserve">Mist / cloudy </v>
      </c>
      <c r="P140" s="12" t="str">
        <f t="shared" si="16"/>
        <v>Friday</v>
      </c>
      <c r="Q140" s="12" t="str">
        <f t="shared" si="17"/>
        <v>Weekday</v>
      </c>
      <c r="R140" s="12" t="str">
        <f t="shared" si="18"/>
        <v>Night</v>
      </c>
      <c r="S140" s="28" t="str">
        <f>INDEX(calculate_field!$F$2:$F$4, MATCH(H140, calculate_field!$E$2:$E$4, 1))</f>
        <v>Mild</v>
      </c>
      <c r="T140" s="33">
        <f t="shared" si="19"/>
        <v>63.958333333333336</v>
      </c>
      <c r="U140" s="33">
        <f t="shared" si="20"/>
        <v>55.312927309411421</v>
      </c>
      <c r="V140" s="33">
        <f t="shared" si="21"/>
        <v>-0.46373201493421362</v>
      </c>
      <c r="W140" s="12" t="b">
        <f t="shared" si="22"/>
        <v>0</v>
      </c>
    </row>
    <row r="141" spans="1:23">
      <c r="A141" s="26">
        <v>140</v>
      </c>
      <c r="B141" s="27">
        <v>40550</v>
      </c>
      <c r="C141" s="12">
        <v>1</v>
      </c>
      <c r="D141" s="12">
        <v>1</v>
      </c>
      <c r="E141" s="12" t="b">
        <v>0</v>
      </c>
      <c r="F141" s="12">
        <v>5</v>
      </c>
      <c r="G141" s="12">
        <v>2</v>
      </c>
      <c r="H141" s="12">
        <v>0.2</v>
      </c>
      <c r="I141" s="12">
        <v>0.19700000000000001</v>
      </c>
      <c r="J141" s="12">
        <v>0.69</v>
      </c>
      <c r="K141" s="12">
        <v>0.22389999999999999</v>
      </c>
      <c r="L141" s="12">
        <v>2</v>
      </c>
      <c r="M141" s="12">
        <v>5</v>
      </c>
      <c r="N141" s="12">
        <v>7</v>
      </c>
      <c r="O141" s="12" t="str">
        <f>VLOOKUP(G141,calculate_field!$B$2:$C$5,2,FALSE)</f>
        <v xml:space="preserve">Mist / cloudy </v>
      </c>
      <c r="P141" s="12" t="str">
        <f t="shared" si="16"/>
        <v>Friday</v>
      </c>
      <c r="Q141" s="12" t="str">
        <f t="shared" si="17"/>
        <v>Weekday</v>
      </c>
      <c r="R141" s="12" t="str">
        <f t="shared" si="18"/>
        <v>Night</v>
      </c>
      <c r="S141" s="28" t="str">
        <f>INDEX(calculate_field!$F$2:$F$4, MATCH(H141, calculate_field!$E$2:$E$4, 1))</f>
        <v>Mild</v>
      </c>
      <c r="T141" s="33">
        <f t="shared" si="19"/>
        <v>63.916666666666664</v>
      </c>
      <c r="U141" s="33">
        <f t="shared" si="20"/>
        <v>55.350202597065817</v>
      </c>
      <c r="V141" s="33">
        <f t="shared" si="21"/>
        <v>-0.74274626347401906</v>
      </c>
      <c r="W141" s="12" t="b">
        <f t="shared" si="22"/>
        <v>0</v>
      </c>
    </row>
    <row r="142" spans="1:23">
      <c r="A142" s="26">
        <v>141</v>
      </c>
      <c r="B142" s="27">
        <v>40550</v>
      </c>
      <c r="C142" s="12">
        <v>1</v>
      </c>
      <c r="D142" s="12">
        <v>2</v>
      </c>
      <c r="E142" s="12" t="b">
        <v>0</v>
      </c>
      <c r="F142" s="12">
        <v>5</v>
      </c>
      <c r="G142" s="12">
        <v>2</v>
      </c>
      <c r="H142" s="12">
        <v>0.2</v>
      </c>
      <c r="I142" s="12">
        <v>0.19700000000000001</v>
      </c>
      <c r="J142" s="12">
        <v>0.69</v>
      </c>
      <c r="K142" s="12">
        <v>0.22389999999999999</v>
      </c>
      <c r="L142" s="12">
        <v>0</v>
      </c>
      <c r="M142" s="12">
        <v>1</v>
      </c>
      <c r="N142" s="12">
        <v>1</v>
      </c>
      <c r="O142" s="12" t="str">
        <f>VLOOKUP(G142,calculate_field!$B$2:$C$5,2,FALSE)</f>
        <v xml:space="preserve">Mist / cloudy </v>
      </c>
      <c r="P142" s="12" t="str">
        <f t="shared" si="16"/>
        <v>Friday</v>
      </c>
      <c r="Q142" s="12" t="str">
        <f t="shared" si="17"/>
        <v>Weekday</v>
      </c>
      <c r="R142" s="12" t="str">
        <f t="shared" si="18"/>
        <v>Night</v>
      </c>
      <c r="S142" s="28" t="str">
        <f>INDEX(calculate_field!$F$2:$F$4, MATCH(H142, calculate_field!$E$2:$E$4, 1))</f>
        <v>Mild</v>
      </c>
      <c r="T142" s="33">
        <f t="shared" si="19"/>
        <v>64.291666666666671</v>
      </c>
      <c r="U142" s="33">
        <f t="shared" si="20"/>
        <v>54.977053843174993</v>
      </c>
      <c r="V142" s="33">
        <f t="shared" si="21"/>
        <v>-0.73440989203297014</v>
      </c>
      <c r="W142" s="12" t="b">
        <f t="shared" si="22"/>
        <v>0</v>
      </c>
    </row>
    <row r="143" spans="1:23">
      <c r="A143" s="26">
        <v>142</v>
      </c>
      <c r="B143" s="27">
        <v>40550</v>
      </c>
      <c r="C143" s="12">
        <v>1</v>
      </c>
      <c r="D143" s="12">
        <v>4</v>
      </c>
      <c r="E143" s="12" t="b">
        <v>0</v>
      </c>
      <c r="F143" s="12">
        <v>5</v>
      </c>
      <c r="G143" s="12">
        <v>2</v>
      </c>
      <c r="H143" s="12">
        <v>0.2</v>
      </c>
      <c r="I143" s="12">
        <v>0.21210000000000001</v>
      </c>
      <c r="J143" s="12">
        <v>0.69</v>
      </c>
      <c r="K143" s="12">
        <v>0.1343</v>
      </c>
      <c r="L143" s="12">
        <v>0</v>
      </c>
      <c r="M143" s="12">
        <v>1</v>
      </c>
      <c r="N143" s="12">
        <v>1</v>
      </c>
      <c r="O143" s="12" t="str">
        <f>VLOOKUP(G143,calculate_field!$B$2:$C$5,2,FALSE)</f>
        <v xml:space="preserve">Mist / cloudy </v>
      </c>
      <c r="P143" s="12" t="str">
        <f t="shared" si="16"/>
        <v>Friday</v>
      </c>
      <c r="Q143" s="12" t="str">
        <f t="shared" si="17"/>
        <v>Weekday</v>
      </c>
      <c r="R143" s="12" t="str">
        <f t="shared" si="18"/>
        <v>Night</v>
      </c>
      <c r="S143" s="28" t="str">
        <f>INDEX(calculate_field!$F$2:$F$4, MATCH(H143, calculate_field!$E$2:$E$4, 1))</f>
        <v>Mild</v>
      </c>
      <c r="T143" s="33">
        <f t="shared" si="19"/>
        <v>64.541666666666671</v>
      </c>
      <c r="U143" s="33">
        <f t="shared" si="20"/>
        <v>54.689621594457272</v>
      </c>
      <c r="V143" s="33">
        <f t="shared" si="21"/>
        <v>-1.0003823008918709</v>
      </c>
      <c r="W143" s="12" t="b">
        <f t="shared" si="22"/>
        <v>0</v>
      </c>
    </row>
    <row r="144" spans="1:23">
      <c r="A144" s="26">
        <v>143</v>
      </c>
      <c r="B144" s="27">
        <v>40550</v>
      </c>
      <c r="C144" s="12">
        <v>1</v>
      </c>
      <c r="D144" s="12">
        <v>5</v>
      </c>
      <c r="E144" s="12" t="b">
        <v>0</v>
      </c>
      <c r="F144" s="12">
        <v>5</v>
      </c>
      <c r="G144" s="12">
        <v>3</v>
      </c>
      <c r="H144" s="12">
        <v>0.22</v>
      </c>
      <c r="I144" s="12">
        <v>0.2727</v>
      </c>
      <c r="J144" s="12">
        <v>0.55000000000000004</v>
      </c>
      <c r="K144" s="12">
        <v>0</v>
      </c>
      <c r="L144" s="12">
        <v>0</v>
      </c>
      <c r="M144" s="12">
        <v>5</v>
      </c>
      <c r="N144" s="12">
        <v>5</v>
      </c>
      <c r="O144" s="12" t="str">
        <f>VLOOKUP(G144,calculate_field!$B$2:$C$5,2,FALSE)</f>
        <v xml:space="preserve">Light Snow / Rain </v>
      </c>
      <c r="P144" s="12" t="str">
        <f t="shared" si="16"/>
        <v>Friday</v>
      </c>
      <c r="Q144" s="12" t="str">
        <f t="shared" si="17"/>
        <v>Weekday</v>
      </c>
      <c r="R144" s="12" t="str">
        <f t="shared" si="18"/>
        <v>Night</v>
      </c>
      <c r="S144" s="28" t="str">
        <f>INDEX(calculate_field!$F$2:$F$4, MATCH(H144, calculate_field!$E$2:$E$4, 1))</f>
        <v>Mild</v>
      </c>
      <c r="T144" s="33">
        <f t="shared" si="19"/>
        <v>64.541666666666671</v>
      </c>
      <c r="U144" s="33">
        <f t="shared" si="20"/>
        <v>54.689621594457272</v>
      </c>
      <c r="V144" s="33">
        <f t="shared" si="21"/>
        <v>-1.1758498981492318</v>
      </c>
      <c r="W144" s="12" t="b">
        <f t="shared" si="22"/>
        <v>0</v>
      </c>
    </row>
    <row r="145" spans="1:23">
      <c r="A145" s="26">
        <v>144</v>
      </c>
      <c r="B145" s="27">
        <v>40550</v>
      </c>
      <c r="C145" s="12">
        <v>1</v>
      </c>
      <c r="D145" s="12">
        <v>6</v>
      </c>
      <c r="E145" s="12" t="b">
        <v>0</v>
      </c>
      <c r="F145" s="12">
        <v>5</v>
      </c>
      <c r="G145" s="12">
        <v>2</v>
      </c>
      <c r="H145" s="12">
        <v>0.2</v>
      </c>
      <c r="I145" s="12">
        <v>0.2576</v>
      </c>
      <c r="J145" s="12">
        <v>0.69</v>
      </c>
      <c r="K145" s="12">
        <v>0</v>
      </c>
      <c r="L145" s="12">
        <v>8</v>
      </c>
      <c r="M145" s="12">
        <v>26</v>
      </c>
      <c r="N145" s="12">
        <v>34</v>
      </c>
      <c r="O145" s="12" t="str">
        <f>VLOOKUP(G145,calculate_field!$B$2:$C$5,2,FALSE)</f>
        <v xml:space="preserve">Mist / cloudy </v>
      </c>
      <c r="P145" s="12" t="str">
        <f t="shared" si="16"/>
        <v>Friday</v>
      </c>
      <c r="Q145" s="12" t="str">
        <f t="shared" si="17"/>
        <v>Weekday</v>
      </c>
      <c r="R145" s="12" t="str">
        <f t="shared" si="18"/>
        <v>Morning</v>
      </c>
      <c r="S145" s="28" t="str">
        <f>INDEX(calculate_field!$F$2:$F$4, MATCH(H145, calculate_field!$E$2:$E$4, 1))</f>
        <v>Mild</v>
      </c>
      <c r="T145" s="33">
        <f t="shared" si="19"/>
        <v>64.541666666666671</v>
      </c>
      <c r="U145" s="33">
        <f t="shared" si="20"/>
        <v>54.689621594457272</v>
      </c>
      <c r="V145" s="33">
        <f t="shared" si="21"/>
        <v>-1.0535513171932986</v>
      </c>
      <c r="W145" s="12" t="b">
        <f t="shared" si="22"/>
        <v>0</v>
      </c>
    </row>
    <row r="146" spans="1:23">
      <c r="A146" s="26">
        <v>145</v>
      </c>
      <c r="B146" s="27">
        <v>40550</v>
      </c>
      <c r="C146" s="12">
        <v>1</v>
      </c>
      <c r="D146" s="12">
        <v>7</v>
      </c>
      <c r="E146" s="12" t="b">
        <v>0</v>
      </c>
      <c r="F146" s="12">
        <v>5</v>
      </c>
      <c r="G146" s="12">
        <v>1</v>
      </c>
      <c r="H146" s="12">
        <v>0.2</v>
      </c>
      <c r="I146" s="12">
        <v>0.21210000000000001</v>
      </c>
      <c r="J146" s="12">
        <v>0.69</v>
      </c>
      <c r="K146" s="12">
        <v>0.1343</v>
      </c>
      <c r="L146" s="12">
        <v>8</v>
      </c>
      <c r="M146" s="12">
        <v>76</v>
      </c>
      <c r="N146" s="12">
        <v>84</v>
      </c>
      <c r="O146" s="12" t="str">
        <f>VLOOKUP(G146,calculate_field!$B$2:$C$5,2,FALSE)</f>
        <v>Clear/Partly Cloudy</v>
      </c>
      <c r="P146" s="12" t="str">
        <f t="shared" si="16"/>
        <v>Friday</v>
      </c>
      <c r="Q146" s="12" t="str">
        <f t="shared" si="17"/>
        <v>Weekday</v>
      </c>
      <c r="R146" s="12" t="str">
        <f t="shared" si="18"/>
        <v>Morning</v>
      </c>
      <c r="S146" s="28" t="str">
        <f>INDEX(calculate_field!$F$2:$F$4, MATCH(H146, calculate_field!$E$2:$E$4, 1))</f>
        <v>Mild</v>
      </c>
      <c r="T146" s="33">
        <f t="shared" si="19"/>
        <v>63.208333333333336</v>
      </c>
      <c r="U146" s="33">
        <f t="shared" si="20"/>
        <v>55.844488394630055</v>
      </c>
      <c r="V146" s="33">
        <f t="shared" si="21"/>
        <v>-1.1334960466271846</v>
      </c>
      <c r="W146" s="12" t="b">
        <f t="shared" si="22"/>
        <v>0</v>
      </c>
    </row>
    <row r="147" spans="1:23">
      <c r="A147" s="26">
        <v>146</v>
      </c>
      <c r="B147" s="27">
        <v>40550</v>
      </c>
      <c r="C147" s="12">
        <v>1</v>
      </c>
      <c r="D147" s="12">
        <v>8</v>
      </c>
      <c r="E147" s="12" t="b">
        <v>0</v>
      </c>
      <c r="F147" s="12">
        <v>5</v>
      </c>
      <c r="G147" s="12">
        <v>1</v>
      </c>
      <c r="H147" s="12">
        <v>0.2</v>
      </c>
      <c r="I147" s="12">
        <v>0.19700000000000001</v>
      </c>
      <c r="J147" s="12">
        <v>0.51</v>
      </c>
      <c r="K147" s="12">
        <v>0.25369999999999998</v>
      </c>
      <c r="L147" s="12">
        <v>20</v>
      </c>
      <c r="M147" s="12">
        <v>190</v>
      </c>
      <c r="N147" s="12">
        <v>210</v>
      </c>
      <c r="O147" s="12" t="str">
        <f>VLOOKUP(G147,calculate_field!$B$2:$C$5,2,FALSE)</f>
        <v>Clear/Partly Cloudy</v>
      </c>
      <c r="P147" s="12" t="str">
        <f t="shared" si="16"/>
        <v>Friday</v>
      </c>
      <c r="Q147" s="12" t="str">
        <f t="shared" si="17"/>
        <v>Weekday</v>
      </c>
      <c r="R147" s="12" t="str">
        <f t="shared" si="18"/>
        <v>Morning</v>
      </c>
      <c r="S147" s="28" t="str">
        <f>INDEX(calculate_field!$F$2:$F$4, MATCH(H147, calculate_field!$E$2:$E$4, 1))</f>
        <v>Mild</v>
      </c>
      <c r="T147" s="33">
        <f t="shared" si="19"/>
        <v>60.083333333333336</v>
      </c>
      <c r="U147" s="33">
        <f t="shared" si="20"/>
        <v>56.721989192649218</v>
      </c>
      <c r="V147" s="33">
        <f t="shared" si="21"/>
        <v>-0.91806974976698574</v>
      </c>
      <c r="W147" s="12" t="b">
        <f t="shared" si="22"/>
        <v>0</v>
      </c>
    </row>
    <row r="148" spans="1:23">
      <c r="A148" s="26">
        <v>147</v>
      </c>
      <c r="B148" s="27">
        <v>40550</v>
      </c>
      <c r="C148" s="12">
        <v>1</v>
      </c>
      <c r="D148" s="12">
        <v>9</v>
      </c>
      <c r="E148" s="12" t="b">
        <v>0</v>
      </c>
      <c r="F148" s="12">
        <v>5</v>
      </c>
      <c r="G148" s="12">
        <v>1</v>
      </c>
      <c r="H148" s="12">
        <v>0.2</v>
      </c>
      <c r="I148" s="12">
        <v>0.18179999999999999</v>
      </c>
      <c r="J148" s="12">
        <v>0.47</v>
      </c>
      <c r="K148" s="12">
        <v>0.29849999999999999</v>
      </c>
      <c r="L148" s="12">
        <v>9</v>
      </c>
      <c r="M148" s="12">
        <v>125</v>
      </c>
      <c r="N148" s="12">
        <v>134</v>
      </c>
      <c r="O148" s="12" t="str">
        <f>VLOOKUP(G148,calculate_field!$B$2:$C$5,2,FALSE)</f>
        <v>Clear/Partly Cloudy</v>
      </c>
      <c r="P148" s="12" t="str">
        <f t="shared" si="16"/>
        <v>Friday</v>
      </c>
      <c r="Q148" s="12" t="str">
        <f t="shared" si="17"/>
        <v>Weekday</v>
      </c>
      <c r="R148" s="12" t="str">
        <f t="shared" si="18"/>
        <v>Morning</v>
      </c>
      <c r="S148" s="28" t="str">
        <f>INDEX(calculate_field!$F$2:$F$4, MATCH(H148, calculate_field!$E$2:$E$4, 1))</f>
        <v>Mild</v>
      </c>
      <c r="T148" s="33">
        <f t="shared" si="19"/>
        <v>51.958333333333336</v>
      </c>
      <c r="U148" s="33">
        <f t="shared" si="20"/>
        <v>47.536237131053092</v>
      </c>
      <c r="V148" s="33">
        <f t="shared" si="21"/>
        <v>-0.72940800888187396</v>
      </c>
      <c r="W148" s="12" t="b">
        <f t="shared" si="22"/>
        <v>0</v>
      </c>
    </row>
    <row r="149" spans="1:23">
      <c r="A149" s="26">
        <v>148</v>
      </c>
      <c r="B149" s="27">
        <v>40550</v>
      </c>
      <c r="C149" s="12">
        <v>1</v>
      </c>
      <c r="D149" s="12">
        <v>10</v>
      </c>
      <c r="E149" s="12" t="b">
        <v>0</v>
      </c>
      <c r="F149" s="12">
        <v>5</v>
      </c>
      <c r="G149" s="12">
        <v>1</v>
      </c>
      <c r="H149" s="12">
        <v>0.22</v>
      </c>
      <c r="I149" s="12">
        <v>0.19700000000000001</v>
      </c>
      <c r="J149" s="12">
        <v>0.37</v>
      </c>
      <c r="K149" s="12">
        <v>0.32840000000000003</v>
      </c>
      <c r="L149" s="12">
        <v>16</v>
      </c>
      <c r="M149" s="12">
        <v>47</v>
      </c>
      <c r="N149" s="12">
        <v>63</v>
      </c>
      <c r="O149" s="12" t="str">
        <f>VLOOKUP(G149,calculate_field!$B$2:$C$5,2,FALSE)</f>
        <v>Clear/Partly Cloudy</v>
      </c>
      <c r="P149" s="12" t="str">
        <f t="shared" si="16"/>
        <v>Friday</v>
      </c>
      <c r="Q149" s="12" t="str">
        <f t="shared" si="17"/>
        <v>Weekday</v>
      </c>
      <c r="R149" s="12" t="str">
        <f t="shared" si="18"/>
        <v>Morning</v>
      </c>
      <c r="S149" s="28" t="str">
        <f>INDEX(calculate_field!$F$2:$F$4, MATCH(H149, calculate_field!$E$2:$E$4, 1))</f>
        <v>Mild</v>
      </c>
      <c r="T149" s="33">
        <f t="shared" si="19"/>
        <v>47.208333333333336</v>
      </c>
      <c r="U149" s="33">
        <f t="shared" si="20"/>
        <v>44.585998159557427</v>
      </c>
      <c r="V149" s="33">
        <f t="shared" si="21"/>
        <v>-0.56894584643994706</v>
      </c>
      <c r="W149" s="12" t="b">
        <f t="shared" si="22"/>
        <v>0</v>
      </c>
    </row>
    <row r="150" spans="1:23">
      <c r="A150" s="26">
        <v>149</v>
      </c>
      <c r="B150" s="27">
        <v>40550</v>
      </c>
      <c r="C150" s="12">
        <v>1</v>
      </c>
      <c r="D150" s="12">
        <v>11</v>
      </c>
      <c r="E150" s="12" t="b">
        <v>0</v>
      </c>
      <c r="F150" s="12">
        <v>5</v>
      </c>
      <c r="G150" s="12">
        <v>2</v>
      </c>
      <c r="H150" s="12">
        <v>0.2</v>
      </c>
      <c r="I150" s="12">
        <v>0.19700000000000001</v>
      </c>
      <c r="J150" s="12">
        <v>0.4</v>
      </c>
      <c r="K150" s="12">
        <v>0.22389999999999999</v>
      </c>
      <c r="L150" s="12">
        <v>19</v>
      </c>
      <c r="M150" s="12">
        <v>48</v>
      </c>
      <c r="N150" s="12">
        <v>67</v>
      </c>
      <c r="O150" s="12" t="str">
        <f>VLOOKUP(G150,calculate_field!$B$2:$C$5,2,FALSE)</f>
        <v xml:space="preserve">Mist / cloudy </v>
      </c>
      <c r="P150" s="12" t="str">
        <f t="shared" si="16"/>
        <v>Friday</v>
      </c>
      <c r="Q150" s="12" t="str">
        <f t="shared" si="17"/>
        <v>Weekday</v>
      </c>
      <c r="R150" s="12" t="str">
        <f t="shared" si="18"/>
        <v>Morning</v>
      </c>
      <c r="S150" s="28" t="str">
        <f>INDEX(calculate_field!$F$2:$F$4, MATCH(H150, calculate_field!$E$2:$E$4, 1))</f>
        <v>Mild</v>
      </c>
      <c r="T150" s="33">
        <f t="shared" si="19"/>
        <v>47.125</v>
      </c>
      <c r="U150" s="33">
        <f t="shared" si="20"/>
        <v>44.557059168431778</v>
      </c>
      <c r="V150" s="33">
        <f t="shared" si="21"/>
        <v>0.66493402239015986</v>
      </c>
      <c r="W150" s="12" t="b">
        <f t="shared" si="22"/>
        <v>0</v>
      </c>
    </row>
    <row r="151" spans="1:23">
      <c r="A151" s="26">
        <v>150</v>
      </c>
      <c r="B151" s="27">
        <v>40550</v>
      </c>
      <c r="C151" s="12">
        <v>1</v>
      </c>
      <c r="D151" s="12">
        <v>12</v>
      </c>
      <c r="E151" s="12" t="b">
        <v>0</v>
      </c>
      <c r="F151" s="12">
        <v>5</v>
      </c>
      <c r="G151" s="12">
        <v>2</v>
      </c>
      <c r="H151" s="12">
        <v>0.2</v>
      </c>
      <c r="I151" s="12">
        <v>0.19700000000000001</v>
      </c>
      <c r="J151" s="12">
        <v>0.37</v>
      </c>
      <c r="K151" s="12">
        <v>0.25369999999999998</v>
      </c>
      <c r="L151" s="12">
        <v>9</v>
      </c>
      <c r="M151" s="12">
        <v>50</v>
      </c>
      <c r="N151" s="12">
        <v>59</v>
      </c>
      <c r="O151" s="12" t="str">
        <f>VLOOKUP(G151,calculate_field!$B$2:$C$5,2,FALSE)</f>
        <v xml:space="preserve">Mist / cloudy </v>
      </c>
      <c r="P151" s="12" t="str">
        <f t="shared" si="16"/>
        <v>Friday</v>
      </c>
      <c r="Q151" s="12" t="str">
        <f t="shared" si="17"/>
        <v>Weekday</v>
      </c>
      <c r="R151" s="12" t="str">
        <f t="shared" si="18"/>
        <v>Afternoon</v>
      </c>
      <c r="S151" s="28" t="str">
        <f>INDEX(calculate_field!$F$2:$F$4, MATCH(H151, calculate_field!$E$2:$E$4, 1))</f>
        <v>Mild</v>
      </c>
      <c r="T151" s="33">
        <f t="shared" si="19"/>
        <v>46.916666666666664</v>
      </c>
      <c r="U151" s="33">
        <f t="shared" si="20"/>
        <v>44.471697562134629</v>
      </c>
      <c r="V151" s="33">
        <f t="shared" si="21"/>
        <v>0.71555742658150201</v>
      </c>
      <c r="W151" s="12" t="b">
        <f t="shared" si="22"/>
        <v>0</v>
      </c>
    </row>
    <row r="152" spans="1:23">
      <c r="A152" s="26">
        <v>151</v>
      </c>
      <c r="B152" s="27">
        <v>40550</v>
      </c>
      <c r="C152" s="12">
        <v>1</v>
      </c>
      <c r="D152" s="12">
        <v>13</v>
      </c>
      <c r="E152" s="12" t="b">
        <v>0</v>
      </c>
      <c r="F152" s="12">
        <v>5</v>
      </c>
      <c r="G152" s="12">
        <v>2</v>
      </c>
      <c r="H152" s="12">
        <v>0.2</v>
      </c>
      <c r="I152" s="12">
        <v>0.18179999999999999</v>
      </c>
      <c r="J152" s="12">
        <v>0.37</v>
      </c>
      <c r="K152" s="12">
        <v>0.28360000000000002</v>
      </c>
      <c r="L152" s="12">
        <v>9</v>
      </c>
      <c r="M152" s="12">
        <v>64</v>
      </c>
      <c r="N152" s="12">
        <v>73</v>
      </c>
      <c r="O152" s="12" t="str">
        <f>VLOOKUP(G152,calculate_field!$B$2:$C$5,2,FALSE)</f>
        <v xml:space="preserve">Mist / cloudy </v>
      </c>
      <c r="P152" s="12" t="str">
        <f t="shared" si="16"/>
        <v>Friday</v>
      </c>
      <c r="Q152" s="12" t="str">
        <f t="shared" si="17"/>
        <v>Weekday</v>
      </c>
      <c r="R152" s="12" t="str">
        <f t="shared" si="18"/>
        <v>Afternoon</v>
      </c>
      <c r="S152" s="28" t="str">
        <f>INDEX(calculate_field!$F$2:$F$4, MATCH(H152, calculate_field!$E$2:$E$4, 1))</f>
        <v>Mild</v>
      </c>
      <c r="T152" s="33">
        <f t="shared" si="19"/>
        <v>48.541666666666664</v>
      </c>
      <c r="U152" s="33">
        <f t="shared" si="20"/>
        <v>45.629871191222271</v>
      </c>
      <c r="V152" s="33">
        <f t="shared" si="21"/>
        <v>1.8389999832455808</v>
      </c>
      <c r="W152" s="12" t="b">
        <f t="shared" si="22"/>
        <v>0</v>
      </c>
    </row>
    <row r="153" spans="1:23">
      <c r="A153" s="26">
        <v>152</v>
      </c>
      <c r="B153" s="27">
        <v>40550</v>
      </c>
      <c r="C153" s="12">
        <v>1</v>
      </c>
      <c r="D153" s="12">
        <v>14</v>
      </c>
      <c r="E153" s="12" t="b">
        <v>0</v>
      </c>
      <c r="F153" s="12">
        <v>5</v>
      </c>
      <c r="G153" s="12">
        <v>2</v>
      </c>
      <c r="H153" s="12">
        <v>0.2</v>
      </c>
      <c r="I153" s="12">
        <v>0.19700000000000001</v>
      </c>
      <c r="J153" s="12">
        <v>0.4</v>
      </c>
      <c r="K153" s="12">
        <v>0.25369999999999998</v>
      </c>
      <c r="L153" s="12">
        <v>7</v>
      </c>
      <c r="M153" s="12">
        <v>43</v>
      </c>
      <c r="N153" s="12">
        <v>50</v>
      </c>
      <c r="O153" s="12" t="str">
        <f>VLOOKUP(G153,calculate_field!$B$2:$C$5,2,FALSE)</f>
        <v xml:space="preserve">Mist / cloudy </v>
      </c>
      <c r="P153" s="12" t="str">
        <f t="shared" si="16"/>
        <v>Friday</v>
      </c>
      <c r="Q153" s="12" t="str">
        <f t="shared" si="17"/>
        <v>Weekday</v>
      </c>
      <c r="R153" s="12" t="str">
        <f t="shared" si="18"/>
        <v>Afternoon</v>
      </c>
      <c r="S153" s="28" t="str">
        <f>INDEX(calculate_field!$F$2:$F$4, MATCH(H153, calculate_field!$E$2:$E$4, 1))</f>
        <v>Mild</v>
      </c>
      <c r="T153" s="33">
        <f t="shared" si="19"/>
        <v>49.75</v>
      </c>
      <c r="U153" s="33">
        <f t="shared" si="20"/>
        <v>46.677664335590819</v>
      </c>
      <c r="V153" s="33">
        <f t="shared" si="21"/>
        <v>2.0475593245009471</v>
      </c>
      <c r="W153" s="12" t="b">
        <f t="shared" si="22"/>
        <v>0</v>
      </c>
    </row>
    <row r="154" spans="1:23">
      <c r="A154" s="26">
        <v>153</v>
      </c>
      <c r="B154" s="27">
        <v>40550</v>
      </c>
      <c r="C154" s="12">
        <v>1</v>
      </c>
      <c r="D154" s="12">
        <v>15</v>
      </c>
      <c r="E154" s="12" t="b">
        <v>0</v>
      </c>
      <c r="F154" s="12">
        <v>5</v>
      </c>
      <c r="G154" s="12">
        <v>2</v>
      </c>
      <c r="H154" s="12">
        <v>0.2</v>
      </c>
      <c r="I154" s="12">
        <v>0.21210000000000001</v>
      </c>
      <c r="J154" s="12">
        <v>0.37</v>
      </c>
      <c r="K154" s="12">
        <v>0.16420000000000001</v>
      </c>
      <c r="L154" s="12">
        <v>9</v>
      </c>
      <c r="M154" s="12">
        <v>63</v>
      </c>
      <c r="N154" s="12">
        <v>72</v>
      </c>
      <c r="O154" s="12" t="str">
        <f>VLOOKUP(G154,calculate_field!$B$2:$C$5,2,FALSE)</f>
        <v xml:space="preserve">Mist / cloudy </v>
      </c>
      <c r="P154" s="12" t="str">
        <f t="shared" si="16"/>
        <v>Friday</v>
      </c>
      <c r="Q154" s="12" t="str">
        <f t="shared" si="17"/>
        <v>Weekday</v>
      </c>
      <c r="R154" s="12" t="str">
        <f t="shared" si="18"/>
        <v>Afternoon</v>
      </c>
      <c r="S154" s="28" t="str">
        <f>INDEX(calculate_field!$F$2:$F$4, MATCH(H154, calculate_field!$E$2:$E$4, 1))</f>
        <v>Mild</v>
      </c>
      <c r="T154" s="33">
        <f t="shared" si="19"/>
        <v>51.625</v>
      </c>
      <c r="U154" s="33">
        <f t="shared" si="20"/>
        <v>47.583165181560297</v>
      </c>
      <c r="V154" s="33">
        <f t="shared" si="21"/>
        <v>1.9865794258933298</v>
      </c>
      <c r="W154" s="12" t="b">
        <f t="shared" si="22"/>
        <v>0</v>
      </c>
    </row>
    <row r="155" spans="1:23">
      <c r="A155" s="26">
        <v>154</v>
      </c>
      <c r="B155" s="27">
        <v>40550</v>
      </c>
      <c r="C155" s="12">
        <v>1</v>
      </c>
      <c r="D155" s="12">
        <v>16</v>
      </c>
      <c r="E155" s="12" t="b">
        <v>0</v>
      </c>
      <c r="F155" s="12">
        <v>5</v>
      </c>
      <c r="G155" s="12">
        <v>2</v>
      </c>
      <c r="H155" s="12">
        <v>0.2</v>
      </c>
      <c r="I155" s="12">
        <v>0.21210000000000001</v>
      </c>
      <c r="J155" s="12">
        <v>0.37</v>
      </c>
      <c r="K155" s="12">
        <v>0.16420000000000001</v>
      </c>
      <c r="L155" s="12">
        <v>5</v>
      </c>
      <c r="M155" s="12">
        <v>82</v>
      </c>
      <c r="N155" s="12">
        <v>87</v>
      </c>
      <c r="O155" s="12" t="str">
        <f>VLOOKUP(G155,calculate_field!$B$2:$C$5,2,FALSE)</f>
        <v xml:space="preserve">Mist / cloudy </v>
      </c>
      <c r="P155" s="12" t="str">
        <f t="shared" si="16"/>
        <v>Friday</v>
      </c>
      <c r="Q155" s="12" t="str">
        <f t="shared" si="17"/>
        <v>Weekday</v>
      </c>
      <c r="R155" s="12" t="str">
        <f t="shared" si="18"/>
        <v>Afternoon</v>
      </c>
      <c r="S155" s="28" t="str">
        <f>INDEX(calculate_field!$F$2:$F$4, MATCH(H155, calculate_field!$E$2:$E$4, 1))</f>
        <v>Mild</v>
      </c>
      <c r="T155" s="33">
        <f t="shared" si="19"/>
        <v>51.708333333333336</v>
      </c>
      <c r="U155" s="33">
        <f t="shared" si="20"/>
        <v>47.622135122474177</v>
      </c>
      <c r="V155" s="33">
        <f t="shared" si="21"/>
        <v>1.3885998303119393</v>
      </c>
      <c r="W155" s="12" t="b">
        <f t="shared" si="22"/>
        <v>0</v>
      </c>
    </row>
    <row r="156" spans="1:23">
      <c r="A156" s="26">
        <v>155</v>
      </c>
      <c r="B156" s="27">
        <v>40550</v>
      </c>
      <c r="C156" s="12">
        <v>1</v>
      </c>
      <c r="D156" s="12">
        <v>17</v>
      </c>
      <c r="E156" s="12" t="b">
        <v>0</v>
      </c>
      <c r="F156" s="12">
        <v>5</v>
      </c>
      <c r="G156" s="12">
        <v>2</v>
      </c>
      <c r="H156" s="12">
        <v>0.2</v>
      </c>
      <c r="I156" s="12">
        <v>0.2576</v>
      </c>
      <c r="J156" s="12">
        <v>0.37</v>
      </c>
      <c r="K156" s="12">
        <v>0</v>
      </c>
      <c r="L156" s="12">
        <v>9</v>
      </c>
      <c r="M156" s="12">
        <v>178</v>
      </c>
      <c r="N156" s="12">
        <v>187</v>
      </c>
      <c r="O156" s="12" t="str">
        <f>VLOOKUP(G156,calculate_field!$B$2:$C$5,2,FALSE)</f>
        <v xml:space="preserve">Mist / cloudy </v>
      </c>
      <c r="P156" s="12" t="str">
        <f t="shared" si="16"/>
        <v>Friday</v>
      </c>
      <c r="Q156" s="12" t="str">
        <f t="shared" si="17"/>
        <v>Weekday</v>
      </c>
      <c r="R156" s="12" t="str">
        <f t="shared" si="18"/>
        <v>Evening</v>
      </c>
      <c r="S156" s="28" t="str">
        <f>INDEX(calculate_field!$F$2:$F$4, MATCH(H156, calculate_field!$E$2:$E$4, 1))</f>
        <v>Mild</v>
      </c>
      <c r="T156" s="33">
        <f t="shared" si="19"/>
        <v>51.25</v>
      </c>
      <c r="U156" s="33">
        <f t="shared" si="20"/>
        <v>47.319680619305153</v>
      </c>
      <c r="V156" s="33">
        <f t="shared" si="21"/>
        <v>1.4214418782529457</v>
      </c>
      <c r="W156" s="12" t="b">
        <f t="shared" si="22"/>
        <v>0</v>
      </c>
    </row>
    <row r="157" spans="1:23">
      <c r="A157" s="26">
        <v>156</v>
      </c>
      <c r="B157" s="27">
        <v>40550</v>
      </c>
      <c r="C157" s="12">
        <v>1</v>
      </c>
      <c r="D157" s="12">
        <v>18</v>
      </c>
      <c r="E157" s="12" t="b">
        <v>0</v>
      </c>
      <c r="F157" s="12">
        <v>5</v>
      </c>
      <c r="G157" s="12">
        <v>1</v>
      </c>
      <c r="H157" s="12">
        <v>0.2</v>
      </c>
      <c r="I157" s="12">
        <v>0.2273</v>
      </c>
      <c r="J157" s="12">
        <v>0.4</v>
      </c>
      <c r="K157" s="12">
        <v>8.9599999999999999E-2</v>
      </c>
      <c r="L157" s="12">
        <v>7</v>
      </c>
      <c r="M157" s="12">
        <v>116</v>
      </c>
      <c r="N157" s="12">
        <v>123</v>
      </c>
      <c r="O157" s="12" t="str">
        <f>VLOOKUP(G157,calculate_field!$B$2:$C$5,2,FALSE)</f>
        <v>Clear/Partly Cloudy</v>
      </c>
      <c r="P157" s="12" t="str">
        <f t="shared" si="16"/>
        <v>Friday</v>
      </c>
      <c r="Q157" s="12" t="str">
        <f t="shared" si="17"/>
        <v>Weekday</v>
      </c>
      <c r="R157" s="12" t="str">
        <f t="shared" si="18"/>
        <v>Evening</v>
      </c>
      <c r="S157" s="28" t="str">
        <f>INDEX(calculate_field!$F$2:$F$4, MATCH(H157, calculate_field!$E$2:$E$4, 1))</f>
        <v>Mild</v>
      </c>
      <c r="T157" s="33">
        <f t="shared" si="19"/>
        <v>46.333333333333336</v>
      </c>
      <c r="U157" s="33">
        <f t="shared" si="20"/>
        <v>37.767787823771855</v>
      </c>
      <c r="V157" s="33">
        <f t="shared" si="21"/>
        <v>1.1078705524497456</v>
      </c>
      <c r="W157" s="12" t="b">
        <f t="shared" si="22"/>
        <v>0</v>
      </c>
    </row>
    <row r="158" spans="1:23">
      <c r="A158" s="26">
        <v>157</v>
      </c>
      <c r="B158" s="27">
        <v>40550</v>
      </c>
      <c r="C158" s="12">
        <v>1</v>
      </c>
      <c r="D158" s="12">
        <v>19</v>
      </c>
      <c r="E158" s="12" t="b">
        <v>0</v>
      </c>
      <c r="F158" s="12">
        <v>5</v>
      </c>
      <c r="G158" s="12">
        <v>1</v>
      </c>
      <c r="H158" s="12">
        <v>0.16</v>
      </c>
      <c r="I158" s="12">
        <v>0.19700000000000001</v>
      </c>
      <c r="J158" s="12">
        <v>0.55000000000000004</v>
      </c>
      <c r="K158" s="12">
        <v>8.9599999999999999E-2</v>
      </c>
      <c r="L158" s="12">
        <v>3</v>
      </c>
      <c r="M158" s="12">
        <v>92</v>
      </c>
      <c r="N158" s="12">
        <v>95</v>
      </c>
      <c r="O158" s="12" t="str">
        <f>VLOOKUP(G158,calculate_field!$B$2:$C$5,2,FALSE)</f>
        <v>Clear/Partly Cloudy</v>
      </c>
      <c r="P158" s="12" t="str">
        <f t="shared" si="16"/>
        <v>Friday</v>
      </c>
      <c r="Q158" s="12" t="str">
        <f t="shared" si="17"/>
        <v>Weekday</v>
      </c>
      <c r="R158" s="12" t="str">
        <f t="shared" si="18"/>
        <v>Evening</v>
      </c>
      <c r="S158" s="28" t="str">
        <f>INDEX(calculate_field!$F$2:$F$4, MATCH(H158, calculate_field!$E$2:$E$4, 1))</f>
        <v>Cold</v>
      </c>
      <c r="T158" s="33">
        <f t="shared" si="19"/>
        <v>43.5</v>
      </c>
      <c r="U158" s="33">
        <f t="shared" si="20"/>
        <v>34.142922113298717</v>
      </c>
      <c r="V158" s="33">
        <f t="shared" si="21"/>
        <v>0.65259985176897883</v>
      </c>
      <c r="W158" s="12" t="b">
        <f t="shared" si="22"/>
        <v>0</v>
      </c>
    </row>
    <row r="159" spans="1:23">
      <c r="A159" s="26">
        <v>158</v>
      </c>
      <c r="B159" s="27">
        <v>40550</v>
      </c>
      <c r="C159" s="12">
        <v>1</v>
      </c>
      <c r="D159" s="12">
        <v>20</v>
      </c>
      <c r="E159" s="12" t="b">
        <v>0</v>
      </c>
      <c r="F159" s="12">
        <v>5</v>
      </c>
      <c r="G159" s="12">
        <v>1</v>
      </c>
      <c r="H159" s="12">
        <v>0.18</v>
      </c>
      <c r="I159" s="12">
        <v>0.21210000000000001</v>
      </c>
      <c r="J159" s="12">
        <v>0.47</v>
      </c>
      <c r="K159" s="12">
        <v>0.1045</v>
      </c>
      <c r="L159" s="12">
        <v>1</v>
      </c>
      <c r="M159" s="12">
        <v>50</v>
      </c>
      <c r="N159" s="12">
        <v>51</v>
      </c>
      <c r="O159" s="12" t="str">
        <f>VLOOKUP(G159,calculate_field!$B$2:$C$5,2,FALSE)</f>
        <v>Clear/Partly Cloudy</v>
      </c>
      <c r="P159" s="12" t="str">
        <f t="shared" si="16"/>
        <v>Friday</v>
      </c>
      <c r="Q159" s="12" t="str">
        <f t="shared" si="17"/>
        <v>Weekday</v>
      </c>
      <c r="R159" s="12" t="str">
        <f t="shared" si="18"/>
        <v>Evening</v>
      </c>
      <c r="S159" s="28" t="str">
        <f>INDEX(calculate_field!$F$2:$F$4, MATCH(H159, calculate_field!$E$2:$E$4, 1))</f>
        <v>Cold</v>
      </c>
      <c r="T159" s="33">
        <f t="shared" si="19"/>
        <v>40.791666666666664</v>
      </c>
      <c r="U159" s="33">
        <f t="shared" si="20"/>
        <v>32.414407916537826</v>
      </c>
      <c r="V159" s="33">
        <f t="shared" si="21"/>
        <v>-0.18974809016327854</v>
      </c>
      <c r="W159" s="12" t="b">
        <f t="shared" si="22"/>
        <v>0</v>
      </c>
    </row>
    <row r="160" spans="1:23">
      <c r="A160" s="26">
        <v>159</v>
      </c>
      <c r="B160" s="27">
        <v>40550</v>
      </c>
      <c r="C160" s="12">
        <v>1</v>
      </c>
      <c r="D160" s="12">
        <v>21</v>
      </c>
      <c r="E160" s="12" t="b">
        <v>0</v>
      </c>
      <c r="F160" s="12">
        <v>5</v>
      </c>
      <c r="G160" s="12">
        <v>1</v>
      </c>
      <c r="H160" s="12">
        <v>0.18</v>
      </c>
      <c r="I160" s="12">
        <v>0.19700000000000001</v>
      </c>
      <c r="J160" s="12">
        <v>0.47</v>
      </c>
      <c r="K160" s="12">
        <v>0.1343</v>
      </c>
      <c r="L160" s="12">
        <v>0</v>
      </c>
      <c r="M160" s="12">
        <v>39</v>
      </c>
      <c r="N160" s="12">
        <v>39</v>
      </c>
      <c r="O160" s="12" t="str">
        <f>VLOOKUP(G160,calculate_field!$B$2:$C$5,2,FALSE)</f>
        <v>Clear/Partly Cloudy</v>
      </c>
      <c r="P160" s="12" t="str">
        <f t="shared" si="16"/>
        <v>Friday</v>
      </c>
      <c r="Q160" s="12" t="str">
        <f t="shared" si="17"/>
        <v>Weekday</v>
      </c>
      <c r="R160" s="12" t="str">
        <f t="shared" si="18"/>
        <v>Night</v>
      </c>
      <c r="S160" s="28" t="str">
        <f>INDEX(calculate_field!$F$2:$F$4, MATCH(H160, calculate_field!$E$2:$E$4, 1))</f>
        <v>Cold</v>
      </c>
      <c r="T160" s="33">
        <f t="shared" si="19"/>
        <v>39.833333333333336</v>
      </c>
      <c r="U160" s="33">
        <f t="shared" si="20"/>
        <v>32.43946424618801</v>
      </c>
      <c r="V160" s="33">
        <f t="shared" si="21"/>
        <v>-0.2739636620234896</v>
      </c>
      <c r="W160" s="12" t="b">
        <f t="shared" si="22"/>
        <v>0</v>
      </c>
    </row>
    <row r="161" spans="1:23">
      <c r="A161" s="26">
        <v>160</v>
      </c>
      <c r="B161" s="27">
        <v>40550</v>
      </c>
      <c r="C161" s="12">
        <v>1</v>
      </c>
      <c r="D161" s="12">
        <v>22</v>
      </c>
      <c r="E161" s="12" t="b">
        <v>0</v>
      </c>
      <c r="F161" s="12">
        <v>5</v>
      </c>
      <c r="G161" s="12">
        <v>2</v>
      </c>
      <c r="H161" s="12">
        <v>0.18</v>
      </c>
      <c r="I161" s="12">
        <v>0.19700000000000001</v>
      </c>
      <c r="J161" s="12">
        <v>0.43</v>
      </c>
      <c r="K161" s="12">
        <v>0.16420000000000001</v>
      </c>
      <c r="L161" s="12">
        <v>2</v>
      </c>
      <c r="M161" s="12">
        <v>34</v>
      </c>
      <c r="N161" s="12">
        <v>36</v>
      </c>
      <c r="O161" s="12" t="str">
        <f>VLOOKUP(G161,calculate_field!$B$2:$C$5,2,FALSE)</f>
        <v xml:space="preserve">Mist / cloudy </v>
      </c>
      <c r="P161" s="12" t="str">
        <f t="shared" si="16"/>
        <v>Friday</v>
      </c>
      <c r="Q161" s="12" t="str">
        <f t="shared" si="17"/>
        <v>Weekday</v>
      </c>
      <c r="R161" s="12" t="str">
        <f t="shared" si="18"/>
        <v>Night</v>
      </c>
      <c r="S161" s="28" t="str">
        <f>INDEX(calculate_field!$F$2:$F$4, MATCH(H161, calculate_field!$E$2:$E$4, 1))</f>
        <v>Cold</v>
      </c>
      <c r="T161" s="33">
        <f t="shared" si="19"/>
        <v>39.75</v>
      </c>
      <c r="U161" s="33">
        <f t="shared" si="20"/>
        <v>32.444266593384548</v>
      </c>
      <c r="V161" s="33">
        <f t="shared" si="21"/>
        <v>2.0009277080818535E-2</v>
      </c>
      <c r="W161" s="12" t="b">
        <f t="shared" si="22"/>
        <v>0</v>
      </c>
    </row>
    <row r="162" spans="1:23">
      <c r="A162" s="26">
        <v>161</v>
      </c>
      <c r="B162" s="27">
        <v>40550</v>
      </c>
      <c r="C162" s="12">
        <v>1</v>
      </c>
      <c r="D162" s="12">
        <v>23</v>
      </c>
      <c r="E162" s="12" t="b">
        <v>0</v>
      </c>
      <c r="F162" s="12">
        <v>5</v>
      </c>
      <c r="G162" s="12">
        <v>2</v>
      </c>
      <c r="H162" s="12">
        <v>0.18</v>
      </c>
      <c r="I162" s="12">
        <v>0.19700000000000001</v>
      </c>
      <c r="J162" s="12">
        <v>0.51</v>
      </c>
      <c r="K162" s="12">
        <v>0.16420000000000001</v>
      </c>
      <c r="L162" s="12">
        <v>1</v>
      </c>
      <c r="M162" s="12">
        <v>14</v>
      </c>
      <c r="N162" s="12">
        <v>15</v>
      </c>
      <c r="O162" s="12" t="str">
        <f>VLOOKUP(G162,calculate_field!$B$2:$C$5,2,FALSE)</f>
        <v xml:space="preserve">Mist / cloudy </v>
      </c>
      <c r="P162" s="12" t="str">
        <f t="shared" si="16"/>
        <v>Friday</v>
      </c>
      <c r="Q162" s="12" t="str">
        <f t="shared" si="17"/>
        <v>Weekday</v>
      </c>
      <c r="R162" s="12" t="str">
        <f t="shared" si="18"/>
        <v>Night</v>
      </c>
      <c r="S162" s="28" t="str">
        <f>INDEX(calculate_field!$F$2:$F$4, MATCH(H162, calculate_field!$E$2:$E$4, 1))</f>
        <v>Cold</v>
      </c>
      <c r="T162" s="33">
        <f t="shared" si="19"/>
        <v>39.666666666666664</v>
      </c>
      <c r="U162" s="33">
        <f t="shared" si="20"/>
        <v>32.456883327921659</v>
      </c>
      <c r="V162" s="33">
        <f t="shared" si="21"/>
        <v>-5.8216965762217493E-2</v>
      </c>
      <c r="W162" s="12" t="b">
        <f t="shared" si="22"/>
        <v>0</v>
      </c>
    </row>
    <row r="163" spans="1:23">
      <c r="A163" s="26">
        <v>162</v>
      </c>
      <c r="B163" s="27">
        <v>40551</v>
      </c>
      <c r="C163" s="12">
        <v>1</v>
      </c>
      <c r="D163" s="12">
        <v>0</v>
      </c>
      <c r="E163" s="12" t="b">
        <v>0</v>
      </c>
      <c r="F163" s="12">
        <v>6</v>
      </c>
      <c r="G163" s="12">
        <v>2</v>
      </c>
      <c r="H163" s="12">
        <v>0.18</v>
      </c>
      <c r="I163" s="12">
        <v>0.19700000000000001</v>
      </c>
      <c r="J163" s="12">
        <v>0.51</v>
      </c>
      <c r="K163" s="12">
        <v>0.16420000000000001</v>
      </c>
      <c r="L163" s="12">
        <v>1</v>
      </c>
      <c r="M163" s="12">
        <v>24</v>
      </c>
      <c r="N163" s="12">
        <v>25</v>
      </c>
      <c r="O163" s="12" t="str">
        <f>VLOOKUP(G163,calculate_field!$B$2:$C$5,2,FALSE)</f>
        <v xml:space="preserve">Mist / cloudy </v>
      </c>
      <c r="P163" s="12" t="str">
        <f t="shared" si="16"/>
        <v>Saturday</v>
      </c>
      <c r="Q163" s="12" t="str">
        <f t="shared" si="17"/>
        <v>Weekend</v>
      </c>
      <c r="R163" s="12" t="str">
        <f t="shared" si="18"/>
        <v>Night</v>
      </c>
      <c r="S163" s="28" t="str">
        <f>INDEX(calculate_field!$F$2:$F$4, MATCH(H163, calculate_field!$E$2:$E$4, 1))</f>
        <v>Cold</v>
      </c>
      <c r="T163" s="33">
        <f t="shared" si="19"/>
        <v>39.958333333333336</v>
      </c>
      <c r="U163" s="33">
        <f t="shared" si="20"/>
        <v>32.256417179770018</v>
      </c>
      <c r="V163" s="33">
        <f t="shared" si="21"/>
        <v>-0.43568092485506149</v>
      </c>
      <c r="W163" s="12" t="b">
        <f t="shared" si="22"/>
        <v>0</v>
      </c>
    </row>
    <row r="164" spans="1:23">
      <c r="A164" s="26">
        <v>163</v>
      </c>
      <c r="B164" s="27">
        <v>40551</v>
      </c>
      <c r="C164" s="12">
        <v>1</v>
      </c>
      <c r="D164" s="12">
        <v>1</v>
      </c>
      <c r="E164" s="12" t="b">
        <v>0</v>
      </c>
      <c r="F164" s="12">
        <v>6</v>
      </c>
      <c r="G164" s="12">
        <v>2</v>
      </c>
      <c r="H164" s="12">
        <v>0.18</v>
      </c>
      <c r="I164" s="12">
        <v>0.21210000000000001</v>
      </c>
      <c r="J164" s="12">
        <v>0.55000000000000004</v>
      </c>
      <c r="K164" s="12">
        <v>8.9599999999999999E-2</v>
      </c>
      <c r="L164" s="12">
        <v>1</v>
      </c>
      <c r="M164" s="12">
        <v>15</v>
      </c>
      <c r="N164" s="12">
        <v>16</v>
      </c>
      <c r="O164" s="12" t="str">
        <f>VLOOKUP(G164,calculate_field!$B$2:$C$5,2,FALSE)</f>
        <v xml:space="preserve">Mist / cloudy </v>
      </c>
      <c r="P164" s="12" t="str">
        <f t="shared" si="16"/>
        <v>Saturday</v>
      </c>
      <c r="Q164" s="12" t="str">
        <f t="shared" si="17"/>
        <v>Weekend</v>
      </c>
      <c r="R164" s="12" t="str">
        <f t="shared" si="18"/>
        <v>Night</v>
      </c>
      <c r="S164" s="28" t="str">
        <f>INDEX(calculate_field!$F$2:$F$4, MATCH(H164, calculate_field!$E$2:$E$4, 1))</f>
        <v>Cold</v>
      </c>
      <c r="T164" s="33">
        <f t="shared" si="19"/>
        <v>39.958333333333336</v>
      </c>
      <c r="U164" s="33">
        <f t="shared" si="20"/>
        <v>32.256417179770018</v>
      </c>
      <c r="V164" s="33">
        <f t="shared" si="21"/>
        <v>-0.30704187526587062</v>
      </c>
      <c r="W164" s="12" t="b">
        <f t="shared" si="22"/>
        <v>0</v>
      </c>
    </row>
    <row r="165" spans="1:23">
      <c r="A165" s="26">
        <v>164</v>
      </c>
      <c r="B165" s="27">
        <v>40551</v>
      </c>
      <c r="C165" s="12">
        <v>1</v>
      </c>
      <c r="D165" s="12">
        <v>2</v>
      </c>
      <c r="E165" s="12" t="b">
        <v>0</v>
      </c>
      <c r="F165" s="12">
        <v>6</v>
      </c>
      <c r="G165" s="12">
        <v>2</v>
      </c>
      <c r="H165" s="12">
        <v>0.18</v>
      </c>
      <c r="I165" s="12">
        <v>0.2424</v>
      </c>
      <c r="J165" s="12">
        <v>0.55000000000000004</v>
      </c>
      <c r="K165" s="12">
        <v>0</v>
      </c>
      <c r="L165" s="12">
        <v>3</v>
      </c>
      <c r="M165" s="12">
        <v>13</v>
      </c>
      <c r="N165" s="12">
        <v>16</v>
      </c>
      <c r="O165" s="12" t="str">
        <f>VLOOKUP(G165,calculate_field!$B$2:$C$5,2,FALSE)</f>
        <v xml:space="preserve">Mist / cloudy </v>
      </c>
      <c r="P165" s="12" t="str">
        <f t="shared" si="16"/>
        <v>Saturday</v>
      </c>
      <c r="Q165" s="12" t="str">
        <f t="shared" si="17"/>
        <v>Weekend</v>
      </c>
      <c r="R165" s="12" t="str">
        <f t="shared" si="18"/>
        <v>Night</v>
      </c>
      <c r="S165" s="28" t="str">
        <f>INDEX(calculate_field!$F$2:$F$4, MATCH(H165, calculate_field!$E$2:$E$4, 1))</f>
        <v>Cold</v>
      </c>
      <c r="T165" s="33">
        <f t="shared" si="19"/>
        <v>39.791666666666664</v>
      </c>
      <c r="U165" s="33">
        <f t="shared" si="20"/>
        <v>32.395623921686742</v>
      </c>
      <c r="V165" s="33">
        <f t="shared" si="21"/>
        <v>-0.69840813314056238</v>
      </c>
      <c r="W165" s="12" t="b">
        <f t="shared" si="22"/>
        <v>0</v>
      </c>
    </row>
    <row r="166" spans="1:23">
      <c r="A166" s="26">
        <v>165</v>
      </c>
      <c r="B166" s="27">
        <v>40551</v>
      </c>
      <c r="C166" s="12">
        <v>1</v>
      </c>
      <c r="D166" s="12">
        <v>3</v>
      </c>
      <c r="E166" s="12" t="b">
        <v>0</v>
      </c>
      <c r="F166" s="12">
        <v>6</v>
      </c>
      <c r="G166" s="12">
        <v>3</v>
      </c>
      <c r="H166" s="12">
        <v>0.18</v>
      </c>
      <c r="I166" s="12">
        <v>0.19700000000000001</v>
      </c>
      <c r="J166" s="12">
        <v>0.55000000000000004</v>
      </c>
      <c r="K166" s="12">
        <v>0.16420000000000001</v>
      </c>
      <c r="L166" s="12">
        <v>0</v>
      </c>
      <c r="M166" s="12">
        <v>7</v>
      </c>
      <c r="N166" s="12">
        <v>7</v>
      </c>
      <c r="O166" s="12" t="str">
        <f>VLOOKUP(G166,calculate_field!$B$2:$C$5,2,FALSE)</f>
        <v xml:space="preserve">Light Snow / Rain </v>
      </c>
      <c r="P166" s="12" t="str">
        <f t="shared" si="16"/>
        <v>Saturday</v>
      </c>
      <c r="Q166" s="12" t="str">
        <f t="shared" si="17"/>
        <v>Weekend</v>
      </c>
      <c r="R166" s="12" t="str">
        <f t="shared" si="18"/>
        <v>Night</v>
      </c>
      <c r="S166" s="28" t="str">
        <f>INDEX(calculate_field!$F$2:$F$4, MATCH(H166, calculate_field!$E$2:$E$4, 1))</f>
        <v>Cold</v>
      </c>
      <c r="T166" s="33">
        <f t="shared" si="19"/>
        <v>39.583333333333336</v>
      </c>
      <c r="U166" s="33">
        <f t="shared" si="20"/>
        <v>32.570881456303567</v>
      </c>
      <c r="V166" s="33">
        <f t="shared" si="21"/>
        <v>-0.70654615936858289</v>
      </c>
      <c r="W166" s="12" t="b">
        <f t="shared" si="22"/>
        <v>0</v>
      </c>
    </row>
    <row r="167" spans="1:23">
      <c r="A167" s="26">
        <v>166</v>
      </c>
      <c r="B167" s="27">
        <v>40551</v>
      </c>
      <c r="C167" s="12">
        <v>1</v>
      </c>
      <c r="D167" s="12">
        <v>4</v>
      </c>
      <c r="E167" s="12" t="b">
        <v>0</v>
      </c>
      <c r="F167" s="12">
        <v>6</v>
      </c>
      <c r="G167" s="12">
        <v>3</v>
      </c>
      <c r="H167" s="12">
        <v>0.18</v>
      </c>
      <c r="I167" s="12">
        <v>0.19700000000000001</v>
      </c>
      <c r="J167" s="12">
        <v>0.55000000000000004</v>
      </c>
      <c r="K167" s="12">
        <v>0.16420000000000001</v>
      </c>
      <c r="L167" s="12">
        <v>0</v>
      </c>
      <c r="M167" s="12">
        <v>1</v>
      </c>
      <c r="N167" s="12">
        <v>1</v>
      </c>
      <c r="O167" s="12" t="str">
        <f>VLOOKUP(G167,calculate_field!$B$2:$C$5,2,FALSE)</f>
        <v xml:space="preserve">Light Snow / Rain </v>
      </c>
      <c r="P167" s="12" t="str">
        <f t="shared" si="16"/>
        <v>Saturday</v>
      </c>
      <c r="Q167" s="12" t="str">
        <f t="shared" si="17"/>
        <v>Weekend</v>
      </c>
      <c r="R167" s="12" t="str">
        <f t="shared" si="18"/>
        <v>Night</v>
      </c>
      <c r="S167" s="28" t="str">
        <f>INDEX(calculate_field!$F$2:$F$4, MATCH(H167, calculate_field!$E$2:$E$4, 1))</f>
        <v>Cold</v>
      </c>
      <c r="T167" s="33">
        <f t="shared" si="19"/>
        <v>39.458333333333336</v>
      </c>
      <c r="U167" s="33">
        <f t="shared" si="20"/>
        <v>32.706839022451859</v>
      </c>
      <c r="V167" s="33">
        <f t="shared" si="21"/>
        <v>-0.91261988427308915</v>
      </c>
      <c r="W167" s="12" t="b">
        <f t="shared" si="22"/>
        <v>0</v>
      </c>
    </row>
    <row r="168" spans="1:23">
      <c r="A168" s="26">
        <v>167</v>
      </c>
      <c r="B168" s="27">
        <v>40551</v>
      </c>
      <c r="C168" s="12">
        <v>1</v>
      </c>
      <c r="D168" s="12">
        <v>5</v>
      </c>
      <c r="E168" s="12" t="b">
        <v>0</v>
      </c>
      <c r="F168" s="12">
        <v>6</v>
      </c>
      <c r="G168" s="12">
        <v>2</v>
      </c>
      <c r="H168" s="12">
        <v>0.16</v>
      </c>
      <c r="I168" s="12">
        <v>0.16669999999999999</v>
      </c>
      <c r="J168" s="12">
        <v>0.74</v>
      </c>
      <c r="K168" s="12">
        <v>0.16420000000000001</v>
      </c>
      <c r="L168" s="12">
        <v>0</v>
      </c>
      <c r="M168" s="12">
        <v>5</v>
      </c>
      <c r="N168" s="12">
        <v>5</v>
      </c>
      <c r="O168" s="12" t="str">
        <f>VLOOKUP(G168,calculate_field!$B$2:$C$5,2,FALSE)</f>
        <v xml:space="preserve">Mist / cloudy </v>
      </c>
      <c r="P168" s="12" t="str">
        <f t="shared" si="16"/>
        <v>Saturday</v>
      </c>
      <c r="Q168" s="12" t="str">
        <f t="shared" si="17"/>
        <v>Weekend</v>
      </c>
      <c r="R168" s="12" t="str">
        <f t="shared" si="18"/>
        <v>Night</v>
      </c>
      <c r="S168" s="28" t="str">
        <f>INDEX(calculate_field!$F$2:$F$4, MATCH(H168, calculate_field!$E$2:$E$4, 1))</f>
        <v>Cold</v>
      </c>
      <c r="T168" s="33">
        <f t="shared" si="19"/>
        <v>39.458333333333336</v>
      </c>
      <c r="U168" s="33">
        <f t="shared" si="20"/>
        <v>32.706839022451859</v>
      </c>
      <c r="V168" s="33">
        <f t="shared" si="21"/>
        <v>-1.0003013839069148</v>
      </c>
      <c r="W168" s="12" t="b">
        <f t="shared" si="22"/>
        <v>0</v>
      </c>
    </row>
    <row r="169" spans="1:23">
      <c r="A169" s="26">
        <v>168</v>
      </c>
      <c r="B169" s="27">
        <v>40551</v>
      </c>
      <c r="C169" s="12">
        <v>1</v>
      </c>
      <c r="D169" s="12">
        <v>6</v>
      </c>
      <c r="E169" s="12" t="b">
        <v>0</v>
      </c>
      <c r="F169" s="12">
        <v>6</v>
      </c>
      <c r="G169" s="12">
        <v>2</v>
      </c>
      <c r="H169" s="12">
        <v>0.16</v>
      </c>
      <c r="I169" s="12">
        <v>0.16669999999999999</v>
      </c>
      <c r="J169" s="12">
        <v>0.74</v>
      </c>
      <c r="K169" s="12">
        <v>0.16420000000000001</v>
      </c>
      <c r="L169" s="12">
        <v>0</v>
      </c>
      <c r="M169" s="12">
        <v>2</v>
      </c>
      <c r="N169" s="12">
        <v>2</v>
      </c>
      <c r="O169" s="12" t="str">
        <f>VLOOKUP(G169,calculate_field!$B$2:$C$5,2,FALSE)</f>
        <v xml:space="preserve">Mist / cloudy </v>
      </c>
      <c r="P169" s="12" t="str">
        <f t="shared" si="16"/>
        <v>Saturday</v>
      </c>
      <c r="Q169" s="12" t="str">
        <f t="shared" si="17"/>
        <v>Weekend</v>
      </c>
      <c r="R169" s="12" t="str">
        <f t="shared" si="18"/>
        <v>Morning</v>
      </c>
      <c r="S169" s="28" t="str">
        <f>INDEX(calculate_field!$F$2:$F$4, MATCH(H169, calculate_field!$E$2:$E$4, 1))</f>
        <v>Cold</v>
      </c>
      <c r="T169" s="33">
        <f t="shared" si="19"/>
        <v>39.291666666666664</v>
      </c>
      <c r="U169" s="33">
        <f t="shared" si="20"/>
        <v>32.89968833824453</v>
      </c>
      <c r="V169" s="33">
        <f t="shared" si="21"/>
        <v>-1.0056445709461079</v>
      </c>
      <c r="W169" s="12" t="b">
        <f t="shared" si="22"/>
        <v>0</v>
      </c>
    </row>
    <row r="170" spans="1:23">
      <c r="A170" s="26">
        <v>169</v>
      </c>
      <c r="B170" s="27">
        <v>40551</v>
      </c>
      <c r="C170" s="12">
        <v>1</v>
      </c>
      <c r="D170" s="12">
        <v>7</v>
      </c>
      <c r="E170" s="12" t="b">
        <v>0</v>
      </c>
      <c r="F170" s="12">
        <v>6</v>
      </c>
      <c r="G170" s="12">
        <v>2</v>
      </c>
      <c r="H170" s="12">
        <v>0.16</v>
      </c>
      <c r="I170" s="12">
        <v>0.18179999999999999</v>
      </c>
      <c r="J170" s="12">
        <v>0.74</v>
      </c>
      <c r="K170" s="12">
        <v>0.1045</v>
      </c>
      <c r="L170" s="12">
        <v>1</v>
      </c>
      <c r="M170" s="12">
        <v>8</v>
      </c>
      <c r="N170" s="12">
        <v>9</v>
      </c>
      <c r="O170" s="12" t="str">
        <f>VLOOKUP(G170,calculate_field!$B$2:$C$5,2,FALSE)</f>
        <v xml:space="preserve">Mist / cloudy </v>
      </c>
      <c r="P170" s="12" t="str">
        <f t="shared" si="16"/>
        <v>Saturday</v>
      </c>
      <c r="Q170" s="12" t="str">
        <f t="shared" si="17"/>
        <v>Weekend</v>
      </c>
      <c r="R170" s="12" t="str">
        <f t="shared" si="18"/>
        <v>Morning</v>
      </c>
      <c r="S170" s="28" t="str">
        <f>INDEX(calculate_field!$F$2:$F$4, MATCH(H170, calculate_field!$E$2:$E$4, 1))</f>
        <v>Cold</v>
      </c>
      <c r="T170" s="33">
        <f t="shared" si="19"/>
        <v>39.25</v>
      </c>
      <c r="U170" s="33">
        <f t="shared" si="20"/>
        <v>32.949566204177536</v>
      </c>
      <c r="V170" s="33">
        <f t="shared" si="21"/>
        <v>-1.0110313884395024</v>
      </c>
      <c r="W170" s="12" t="b">
        <f t="shared" si="22"/>
        <v>0</v>
      </c>
    </row>
    <row r="171" spans="1:23">
      <c r="A171" s="26">
        <v>170</v>
      </c>
      <c r="B171" s="27">
        <v>40551</v>
      </c>
      <c r="C171" s="12">
        <v>1</v>
      </c>
      <c r="D171" s="12">
        <v>8</v>
      </c>
      <c r="E171" s="12" t="b">
        <v>0</v>
      </c>
      <c r="F171" s="12">
        <v>6</v>
      </c>
      <c r="G171" s="12">
        <v>3</v>
      </c>
      <c r="H171" s="12">
        <v>0.16</v>
      </c>
      <c r="I171" s="12">
        <v>0.18179999999999999</v>
      </c>
      <c r="J171" s="12">
        <v>0.93</v>
      </c>
      <c r="K171" s="12">
        <v>0.1045</v>
      </c>
      <c r="L171" s="12">
        <v>0</v>
      </c>
      <c r="M171" s="12">
        <v>15</v>
      </c>
      <c r="N171" s="12">
        <v>15</v>
      </c>
      <c r="O171" s="12" t="str">
        <f>VLOOKUP(G171,calculate_field!$B$2:$C$5,2,FALSE)</f>
        <v xml:space="preserve">Light Snow / Rain </v>
      </c>
      <c r="P171" s="12" t="str">
        <f t="shared" si="16"/>
        <v>Saturday</v>
      </c>
      <c r="Q171" s="12" t="str">
        <f t="shared" si="17"/>
        <v>Weekend</v>
      </c>
      <c r="R171" s="12" t="str">
        <f t="shared" si="18"/>
        <v>Morning</v>
      </c>
      <c r="S171" s="28" t="str">
        <f>INDEX(calculate_field!$F$2:$F$4, MATCH(H171, calculate_field!$E$2:$E$4, 1))</f>
        <v>Cold</v>
      </c>
      <c r="T171" s="33">
        <f t="shared" si="19"/>
        <v>39.125</v>
      </c>
      <c r="U171" s="33">
        <f t="shared" si="20"/>
        <v>33.074767079925209</v>
      </c>
      <c r="V171" s="33">
        <f t="shared" si="21"/>
        <v>-0.91253071701665056</v>
      </c>
      <c r="W171" s="12" t="b">
        <f t="shared" si="22"/>
        <v>0</v>
      </c>
    </row>
    <row r="172" spans="1:23">
      <c r="A172" s="26">
        <v>171</v>
      </c>
      <c r="B172" s="27">
        <v>40551</v>
      </c>
      <c r="C172" s="12">
        <v>1</v>
      </c>
      <c r="D172" s="12">
        <v>9</v>
      </c>
      <c r="E172" s="12" t="b">
        <v>0</v>
      </c>
      <c r="F172" s="12">
        <v>6</v>
      </c>
      <c r="G172" s="12">
        <v>3</v>
      </c>
      <c r="H172" s="12">
        <v>0.16</v>
      </c>
      <c r="I172" s="12">
        <v>0.18179999999999999</v>
      </c>
      <c r="J172" s="12">
        <v>0.93</v>
      </c>
      <c r="K172" s="12">
        <v>0.1045</v>
      </c>
      <c r="L172" s="12">
        <v>0</v>
      </c>
      <c r="M172" s="12">
        <v>20</v>
      </c>
      <c r="N172" s="12">
        <v>20</v>
      </c>
      <c r="O172" s="12" t="str">
        <f>VLOOKUP(G172,calculate_field!$B$2:$C$5,2,FALSE)</f>
        <v xml:space="preserve">Light Snow / Rain </v>
      </c>
      <c r="P172" s="12" t="str">
        <f t="shared" si="16"/>
        <v>Saturday</v>
      </c>
      <c r="Q172" s="12" t="str">
        <f t="shared" si="17"/>
        <v>Weekend</v>
      </c>
      <c r="R172" s="12" t="str">
        <f t="shared" si="18"/>
        <v>Morning</v>
      </c>
      <c r="S172" s="28" t="str">
        <f>INDEX(calculate_field!$F$2:$F$4, MATCH(H172, calculate_field!$E$2:$E$4, 1))</f>
        <v>Cold</v>
      </c>
      <c r="T172" s="33">
        <f t="shared" si="19"/>
        <v>38.916666666666664</v>
      </c>
      <c r="U172" s="33">
        <f t="shared" si="20"/>
        <v>33.248624249625031</v>
      </c>
      <c r="V172" s="33">
        <f t="shared" si="21"/>
        <v>-0.86131078898649804</v>
      </c>
      <c r="W172" s="12" t="b">
        <f t="shared" si="22"/>
        <v>0</v>
      </c>
    </row>
    <row r="173" spans="1:23">
      <c r="A173" s="26">
        <v>172</v>
      </c>
      <c r="B173" s="27">
        <v>40551</v>
      </c>
      <c r="C173" s="12">
        <v>1</v>
      </c>
      <c r="D173" s="12">
        <v>10</v>
      </c>
      <c r="E173" s="12" t="b">
        <v>0</v>
      </c>
      <c r="F173" s="12">
        <v>6</v>
      </c>
      <c r="G173" s="12">
        <v>2</v>
      </c>
      <c r="H173" s="12">
        <v>0.18</v>
      </c>
      <c r="I173" s="12">
        <v>0.19700000000000001</v>
      </c>
      <c r="J173" s="12">
        <v>0.8</v>
      </c>
      <c r="K173" s="12">
        <v>0.16420000000000001</v>
      </c>
      <c r="L173" s="12">
        <v>5</v>
      </c>
      <c r="M173" s="12">
        <v>56</v>
      </c>
      <c r="N173" s="12">
        <v>61</v>
      </c>
      <c r="O173" s="12" t="str">
        <f>VLOOKUP(G173,calculate_field!$B$2:$C$5,2,FALSE)</f>
        <v xml:space="preserve">Mist / cloudy </v>
      </c>
      <c r="P173" s="12" t="str">
        <f t="shared" si="16"/>
        <v>Saturday</v>
      </c>
      <c r="Q173" s="12" t="str">
        <f t="shared" si="17"/>
        <v>Weekend</v>
      </c>
      <c r="R173" s="12" t="str">
        <f t="shared" si="18"/>
        <v>Morning</v>
      </c>
      <c r="S173" s="28" t="str">
        <f>INDEX(calculate_field!$F$2:$F$4, MATCH(H173, calculate_field!$E$2:$E$4, 1))</f>
        <v>Cold</v>
      </c>
      <c r="T173" s="33">
        <f t="shared" si="19"/>
        <v>38.875</v>
      </c>
      <c r="U173" s="33">
        <f t="shared" si="20"/>
        <v>33.273977951180591</v>
      </c>
      <c r="V173" s="33">
        <f t="shared" si="21"/>
        <v>-0.5836533769189427</v>
      </c>
      <c r="W173" s="12" t="b">
        <f t="shared" si="22"/>
        <v>0</v>
      </c>
    </row>
    <row r="174" spans="1:23">
      <c r="A174" s="26">
        <v>173</v>
      </c>
      <c r="B174" s="27">
        <v>40551</v>
      </c>
      <c r="C174" s="12">
        <v>1</v>
      </c>
      <c r="D174" s="12">
        <v>11</v>
      </c>
      <c r="E174" s="12" t="b">
        <v>0</v>
      </c>
      <c r="F174" s="12">
        <v>6</v>
      </c>
      <c r="G174" s="12">
        <v>2</v>
      </c>
      <c r="H174" s="12">
        <v>0.2</v>
      </c>
      <c r="I174" s="12">
        <v>0.18179999999999999</v>
      </c>
      <c r="J174" s="12">
        <v>0.69</v>
      </c>
      <c r="K174" s="12">
        <v>0.3881</v>
      </c>
      <c r="L174" s="12">
        <v>2</v>
      </c>
      <c r="M174" s="12">
        <v>60</v>
      </c>
      <c r="N174" s="12">
        <v>62</v>
      </c>
      <c r="O174" s="12" t="str">
        <f>VLOOKUP(G174,calculate_field!$B$2:$C$5,2,FALSE)</f>
        <v xml:space="preserve">Mist / cloudy </v>
      </c>
      <c r="P174" s="12" t="str">
        <f t="shared" si="16"/>
        <v>Saturday</v>
      </c>
      <c r="Q174" s="12" t="str">
        <f t="shared" si="17"/>
        <v>Weekend</v>
      </c>
      <c r="R174" s="12" t="str">
        <f t="shared" si="18"/>
        <v>Morning</v>
      </c>
      <c r="S174" s="28" t="str">
        <f>INDEX(calculate_field!$F$2:$F$4, MATCH(H174, calculate_field!$E$2:$E$4, 1))</f>
        <v>Mild</v>
      </c>
      <c r="T174" s="33">
        <f t="shared" si="19"/>
        <v>38.375</v>
      </c>
      <c r="U174" s="33">
        <f t="shared" si="20"/>
        <v>33.016218017421572</v>
      </c>
      <c r="V174" s="33">
        <f t="shared" si="21"/>
        <v>3.5881116066772183E-2</v>
      </c>
      <c r="W174" s="12" t="b">
        <f t="shared" si="22"/>
        <v>0</v>
      </c>
    </row>
    <row r="175" spans="1:23">
      <c r="A175" s="26">
        <v>174</v>
      </c>
      <c r="B175" s="27">
        <v>40551</v>
      </c>
      <c r="C175" s="12">
        <v>1</v>
      </c>
      <c r="D175" s="12">
        <v>12</v>
      </c>
      <c r="E175" s="12" t="b">
        <v>0</v>
      </c>
      <c r="F175" s="12">
        <v>6</v>
      </c>
      <c r="G175" s="12">
        <v>2</v>
      </c>
      <c r="H175" s="12">
        <v>0.2</v>
      </c>
      <c r="I175" s="12">
        <v>0.18179999999999999</v>
      </c>
      <c r="J175" s="12">
        <v>0.59</v>
      </c>
      <c r="K175" s="12">
        <v>0.35820000000000002</v>
      </c>
      <c r="L175" s="12">
        <v>8</v>
      </c>
      <c r="M175" s="12">
        <v>90</v>
      </c>
      <c r="N175" s="12">
        <v>98</v>
      </c>
      <c r="O175" s="12" t="str">
        <f>VLOOKUP(G175,calculate_field!$B$2:$C$5,2,FALSE)</f>
        <v xml:space="preserve">Mist / cloudy </v>
      </c>
      <c r="P175" s="12" t="str">
        <f t="shared" si="16"/>
        <v>Saturday</v>
      </c>
      <c r="Q175" s="12" t="str">
        <f t="shared" si="17"/>
        <v>Weekend</v>
      </c>
      <c r="R175" s="12" t="str">
        <f t="shared" si="18"/>
        <v>Afternoon</v>
      </c>
      <c r="S175" s="28" t="str">
        <f>INDEX(calculate_field!$F$2:$F$4, MATCH(H175, calculate_field!$E$2:$E$4, 1))</f>
        <v>Mild</v>
      </c>
      <c r="T175" s="33">
        <f t="shared" si="19"/>
        <v>37.833333333333336</v>
      </c>
      <c r="U175" s="33">
        <f t="shared" si="20"/>
        <v>32.717056669288716</v>
      </c>
      <c r="V175" s="33">
        <f t="shared" si="21"/>
        <v>5.2728416186930069E-2</v>
      </c>
      <c r="W175" s="12" t="b">
        <f t="shared" si="22"/>
        <v>0</v>
      </c>
    </row>
    <row r="176" spans="1:23">
      <c r="A176" s="26">
        <v>175</v>
      </c>
      <c r="B176" s="27">
        <v>40551</v>
      </c>
      <c r="C176" s="12">
        <v>1</v>
      </c>
      <c r="D176" s="12">
        <v>13</v>
      </c>
      <c r="E176" s="12" t="b">
        <v>0</v>
      </c>
      <c r="F176" s="12">
        <v>6</v>
      </c>
      <c r="G176" s="12">
        <v>1</v>
      </c>
      <c r="H176" s="12">
        <v>0.2</v>
      </c>
      <c r="I176" s="12">
        <v>0.18179999999999999</v>
      </c>
      <c r="J176" s="12">
        <v>0.44</v>
      </c>
      <c r="K176" s="12">
        <v>0.32840000000000003</v>
      </c>
      <c r="L176" s="12">
        <v>7</v>
      </c>
      <c r="M176" s="12">
        <v>95</v>
      </c>
      <c r="N176" s="12">
        <v>102</v>
      </c>
      <c r="O176" s="12" t="str">
        <f>VLOOKUP(G176,calculate_field!$B$2:$C$5,2,FALSE)</f>
        <v>Clear/Partly Cloudy</v>
      </c>
      <c r="P176" s="12" t="str">
        <f t="shared" si="16"/>
        <v>Saturday</v>
      </c>
      <c r="Q176" s="12" t="str">
        <f t="shared" si="17"/>
        <v>Weekend</v>
      </c>
      <c r="R176" s="12" t="str">
        <f t="shared" si="18"/>
        <v>Afternoon</v>
      </c>
      <c r="S176" s="28" t="str">
        <f>INDEX(calculate_field!$F$2:$F$4, MATCH(H176, calculate_field!$E$2:$E$4, 1))</f>
        <v>Mild</v>
      </c>
      <c r="T176" s="33">
        <f t="shared" si="19"/>
        <v>37.208333333333336</v>
      </c>
      <c r="U176" s="33">
        <f t="shared" si="20"/>
        <v>31.643364805783282</v>
      </c>
      <c r="V176" s="33">
        <f t="shared" si="21"/>
        <v>0.83656069943728628</v>
      </c>
      <c r="W176" s="12" t="b">
        <f t="shared" si="22"/>
        <v>0</v>
      </c>
    </row>
    <row r="177" spans="1:23">
      <c r="A177" s="26">
        <v>176</v>
      </c>
      <c r="B177" s="27">
        <v>40551</v>
      </c>
      <c r="C177" s="12">
        <v>1</v>
      </c>
      <c r="D177" s="12">
        <v>14</v>
      </c>
      <c r="E177" s="12" t="b">
        <v>0</v>
      </c>
      <c r="F177" s="12">
        <v>6</v>
      </c>
      <c r="G177" s="12">
        <v>1</v>
      </c>
      <c r="H177" s="12">
        <v>0.2</v>
      </c>
      <c r="I177" s="12">
        <v>0.16669999999999999</v>
      </c>
      <c r="J177" s="12">
        <v>0.32</v>
      </c>
      <c r="K177" s="12">
        <v>0.49249999999999999</v>
      </c>
      <c r="L177" s="12">
        <v>12</v>
      </c>
      <c r="M177" s="12">
        <v>83</v>
      </c>
      <c r="N177" s="12">
        <v>95</v>
      </c>
      <c r="O177" s="12" t="str">
        <f>VLOOKUP(G177,calculate_field!$B$2:$C$5,2,FALSE)</f>
        <v>Clear/Partly Cloudy</v>
      </c>
      <c r="P177" s="12" t="str">
        <f t="shared" si="16"/>
        <v>Saturday</v>
      </c>
      <c r="Q177" s="12" t="str">
        <f t="shared" si="17"/>
        <v>Weekend</v>
      </c>
      <c r="R177" s="12" t="str">
        <f t="shared" si="18"/>
        <v>Afternoon</v>
      </c>
      <c r="S177" s="28" t="str">
        <f>INDEX(calculate_field!$F$2:$F$4, MATCH(H177, calculate_field!$E$2:$E$4, 1))</f>
        <v>Mild</v>
      </c>
      <c r="T177" s="33">
        <f t="shared" si="19"/>
        <v>36.083333333333336</v>
      </c>
      <c r="U177" s="33">
        <f t="shared" si="20"/>
        <v>29.657342615522598</v>
      </c>
      <c r="V177" s="33">
        <f t="shared" si="21"/>
        <v>0.69608932292063019</v>
      </c>
      <c r="W177" s="12" t="b">
        <f t="shared" si="22"/>
        <v>0</v>
      </c>
    </row>
    <row r="178" spans="1:23">
      <c r="A178" s="26">
        <v>177</v>
      </c>
      <c r="B178" s="27">
        <v>40551</v>
      </c>
      <c r="C178" s="12">
        <v>1</v>
      </c>
      <c r="D178" s="12">
        <v>15</v>
      </c>
      <c r="E178" s="12" t="b">
        <v>0</v>
      </c>
      <c r="F178" s="12">
        <v>6</v>
      </c>
      <c r="G178" s="12">
        <v>1</v>
      </c>
      <c r="H178" s="12">
        <v>0.2</v>
      </c>
      <c r="I178" s="12">
        <v>0.16669999999999999</v>
      </c>
      <c r="J178" s="12">
        <v>0.32</v>
      </c>
      <c r="K178" s="12">
        <v>0.44779999999999998</v>
      </c>
      <c r="L178" s="12">
        <v>5</v>
      </c>
      <c r="M178" s="12">
        <v>69</v>
      </c>
      <c r="N178" s="12">
        <v>74</v>
      </c>
      <c r="O178" s="12" t="str">
        <f>VLOOKUP(G178,calculate_field!$B$2:$C$5,2,FALSE)</f>
        <v>Clear/Partly Cloudy</v>
      </c>
      <c r="P178" s="12" t="str">
        <f t="shared" si="16"/>
        <v>Saturday</v>
      </c>
      <c r="Q178" s="12" t="str">
        <f t="shared" si="17"/>
        <v>Weekend</v>
      </c>
      <c r="R178" s="12" t="str">
        <f t="shared" si="18"/>
        <v>Afternoon</v>
      </c>
      <c r="S178" s="28" t="str">
        <f>INDEX(calculate_field!$F$2:$F$4, MATCH(H178, calculate_field!$E$2:$E$4, 1))</f>
        <v>Mild</v>
      </c>
      <c r="T178" s="33">
        <f t="shared" si="19"/>
        <v>35.125</v>
      </c>
      <c r="U178" s="33">
        <f t="shared" si="20"/>
        <v>27.995826552324296</v>
      </c>
      <c r="V178" s="33">
        <f t="shared" si="21"/>
        <v>0.65385372930036001</v>
      </c>
      <c r="W178" s="12" t="b">
        <f t="shared" si="22"/>
        <v>0</v>
      </c>
    </row>
    <row r="179" spans="1:23">
      <c r="A179" s="26">
        <v>178</v>
      </c>
      <c r="B179" s="27">
        <v>40551</v>
      </c>
      <c r="C179" s="12">
        <v>1</v>
      </c>
      <c r="D179" s="12">
        <v>16</v>
      </c>
      <c r="E179" s="12" t="b">
        <v>0</v>
      </c>
      <c r="F179" s="12">
        <v>6</v>
      </c>
      <c r="G179" s="12">
        <v>1</v>
      </c>
      <c r="H179" s="12">
        <v>0.18</v>
      </c>
      <c r="I179" s="12">
        <v>0.13639999999999999</v>
      </c>
      <c r="J179" s="12">
        <v>0.28999999999999998</v>
      </c>
      <c r="K179" s="12">
        <v>0.44779999999999998</v>
      </c>
      <c r="L179" s="12">
        <v>8</v>
      </c>
      <c r="M179" s="12">
        <v>68</v>
      </c>
      <c r="N179" s="12">
        <v>76</v>
      </c>
      <c r="O179" s="12" t="str">
        <f>VLOOKUP(G179,calculate_field!$B$2:$C$5,2,FALSE)</f>
        <v>Clear/Partly Cloudy</v>
      </c>
      <c r="P179" s="12" t="str">
        <f t="shared" si="16"/>
        <v>Saturday</v>
      </c>
      <c r="Q179" s="12" t="str">
        <f t="shared" si="17"/>
        <v>Weekend</v>
      </c>
      <c r="R179" s="12" t="str">
        <f t="shared" si="18"/>
        <v>Afternoon</v>
      </c>
      <c r="S179" s="28" t="str">
        <f>INDEX(calculate_field!$F$2:$F$4, MATCH(H179, calculate_field!$E$2:$E$4, 1))</f>
        <v>Cold</v>
      </c>
      <c r="T179" s="33">
        <f t="shared" si="19"/>
        <v>35.458333333333336</v>
      </c>
      <c r="U179" s="33">
        <f t="shared" si="20"/>
        <v>28.521508537862477</v>
      </c>
      <c r="V179" s="33">
        <f t="shared" si="21"/>
        <v>0.91777304852465624</v>
      </c>
      <c r="W179" s="12" t="b">
        <f t="shared" si="22"/>
        <v>0</v>
      </c>
    </row>
    <row r="180" spans="1:23">
      <c r="A180" s="26">
        <v>179</v>
      </c>
      <c r="B180" s="27">
        <v>40551</v>
      </c>
      <c r="C180" s="12">
        <v>1</v>
      </c>
      <c r="D180" s="12">
        <v>17</v>
      </c>
      <c r="E180" s="12" t="b">
        <v>0</v>
      </c>
      <c r="F180" s="12">
        <v>6</v>
      </c>
      <c r="G180" s="12">
        <v>1</v>
      </c>
      <c r="H180" s="12">
        <v>0.16</v>
      </c>
      <c r="I180" s="12">
        <v>0.1212</v>
      </c>
      <c r="J180" s="12">
        <v>0.37</v>
      </c>
      <c r="K180" s="12">
        <v>0.55220000000000002</v>
      </c>
      <c r="L180" s="12">
        <v>5</v>
      </c>
      <c r="M180" s="12">
        <v>64</v>
      </c>
      <c r="N180" s="12">
        <v>69</v>
      </c>
      <c r="O180" s="12" t="str">
        <f>VLOOKUP(G180,calculate_field!$B$2:$C$5,2,FALSE)</f>
        <v>Clear/Partly Cloudy</v>
      </c>
      <c r="P180" s="12" t="str">
        <f t="shared" si="16"/>
        <v>Saturday</v>
      </c>
      <c r="Q180" s="12" t="str">
        <f t="shared" si="17"/>
        <v>Weekend</v>
      </c>
      <c r="R180" s="12" t="str">
        <f t="shared" si="18"/>
        <v>Evening</v>
      </c>
      <c r="S180" s="28" t="str">
        <f>INDEX(calculate_field!$F$2:$F$4, MATCH(H180, calculate_field!$E$2:$E$4, 1))</f>
        <v>Cold</v>
      </c>
      <c r="T180" s="33">
        <f t="shared" si="19"/>
        <v>36.125</v>
      </c>
      <c r="U180" s="33">
        <f t="shared" si="20"/>
        <v>29.674044433536157</v>
      </c>
      <c r="V180" s="33">
        <f t="shared" si="21"/>
        <v>1.2101970636611967</v>
      </c>
      <c r="W180" s="12" t="b">
        <f t="shared" si="22"/>
        <v>1</v>
      </c>
    </row>
    <row r="181" spans="1:23">
      <c r="A181" s="26">
        <v>180</v>
      </c>
      <c r="B181" s="27">
        <v>40551</v>
      </c>
      <c r="C181" s="12">
        <v>1</v>
      </c>
      <c r="D181" s="12">
        <v>18</v>
      </c>
      <c r="E181" s="12" t="b">
        <v>0</v>
      </c>
      <c r="F181" s="12">
        <v>6</v>
      </c>
      <c r="G181" s="12">
        <v>1</v>
      </c>
      <c r="H181" s="12">
        <v>0.14000000000000001</v>
      </c>
      <c r="I181" s="12">
        <v>0.1212</v>
      </c>
      <c r="J181" s="12">
        <v>0.39</v>
      </c>
      <c r="K181" s="12">
        <v>0.29849999999999999</v>
      </c>
      <c r="L181" s="12">
        <v>3</v>
      </c>
      <c r="M181" s="12">
        <v>52</v>
      </c>
      <c r="N181" s="12">
        <v>55</v>
      </c>
      <c r="O181" s="12" t="str">
        <f>VLOOKUP(G181,calculate_field!$B$2:$C$5,2,FALSE)</f>
        <v>Clear/Partly Cloudy</v>
      </c>
      <c r="P181" s="12" t="str">
        <f t="shared" si="16"/>
        <v>Saturday</v>
      </c>
      <c r="Q181" s="12" t="str">
        <f t="shared" si="17"/>
        <v>Weekend</v>
      </c>
      <c r="R181" s="12" t="str">
        <f t="shared" si="18"/>
        <v>Evening</v>
      </c>
      <c r="S181" s="28" t="str">
        <f>INDEX(calculate_field!$F$2:$F$4, MATCH(H181, calculate_field!$E$2:$E$4, 1))</f>
        <v>Cold</v>
      </c>
      <c r="T181" s="33">
        <f t="shared" si="19"/>
        <v>35.833333333333336</v>
      </c>
      <c r="U181" s="33">
        <f t="shared" si="20"/>
        <v>29.369707355452615</v>
      </c>
      <c r="V181" s="33">
        <f t="shared" si="21"/>
        <v>0.5243115080437708</v>
      </c>
      <c r="W181" s="12" t="b">
        <f t="shared" si="22"/>
        <v>0</v>
      </c>
    </row>
    <row r="182" spans="1:23">
      <c r="A182" s="26">
        <v>181</v>
      </c>
      <c r="B182" s="27">
        <v>40551</v>
      </c>
      <c r="C182" s="12">
        <v>1</v>
      </c>
      <c r="D182" s="12">
        <v>19</v>
      </c>
      <c r="E182" s="12" t="b">
        <v>0</v>
      </c>
      <c r="F182" s="12">
        <v>6</v>
      </c>
      <c r="G182" s="12">
        <v>1</v>
      </c>
      <c r="H182" s="12">
        <v>0.14000000000000001</v>
      </c>
      <c r="I182" s="12">
        <v>0.1212</v>
      </c>
      <c r="J182" s="12">
        <v>0.36</v>
      </c>
      <c r="K182" s="12">
        <v>0.25369999999999998</v>
      </c>
      <c r="L182" s="12">
        <v>4</v>
      </c>
      <c r="M182" s="12">
        <v>26</v>
      </c>
      <c r="N182" s="12">
        <v>30</v>
      </c>
      <c r="O182" s="12" t="str">
        <f>VLOOKUP(G182,calculate_field!$B$2:$C$5,2,FALSE)</f>
        <v>Clear/Partly Cloudy</v>
      </c>
      <c r="P182" s="12" t="str">
        <f t="shared" si="16"/>
        <v>Saturday</v>
      </c>
      <c r="Q182" s="12" t="str">
        <f t="shared" si="17"/>
        <v>Weekend</v>
      </c>
      <c r="R182" s="12" t="str">
        <f t="shared" si="18"/>
        <v>Evening</v>
      </c>
      <c r="S182" s="28" t="str">
        <f>INDEX(calculate_field!$F$2:$F$4, MATCH(H182, calculate_field!$E$2:$E$4, 1))</f>
        <v>Cold</v>
      </c>
      <c r="T182" s="33">
        <f t="shared" si="19"/>
        <v>35.541666666666664</v>
      </c>
      <c r="U182" s="33">
        <f t="shared" si="20"/>
        <v>29.205388375177062</v>
      </c>
      <c r="V182" s="33">
        <f t="shared" si="21"/>
        <v>5.6059018948878776E-2</v>
      </c>
      <c r="W182" s="12" t="b">
        <f t="shared" si="22"/>
        <v>0</v>
      </c>
    </row>
    <row r="183" spans="1:23">
      <c r="A183" s="26">
        <v>182</v>
      </c>
      <c r="B183" s="27">
        <v>40551</v>
      </c>
      <c r="C183" s="12">
        <v>1</v>
      </c>
      <c r="D183" s="12">
        <v>20</v>
      </c>
      <c r="E183" s="12" t="b">
        <v>0</v>
      </c>
      <c r="F183" s="12">
        <v>6</v>
      </c>
      <c r="G183" s="12">
        <v>1</v>
      </c>
      <c r="H183" s="12">
        <v>0.12</v>
      </c>
      <c r="I183" s="12">
        <v>0.1212</v>
      </c>
      <c r="J183" s="12">
        <v>0.36</v>
      </c>
      <c r="K183" s="12">
        <v>0.25369999999999998</v>
      </c>
      <c r="L183" s="12">
        <v>0</v>
      </c>
      <c r="M183" s="12">
        <v>28</v>
      </c>
      <c r="N183" s="12">
        <v>28</v>
      </c>
      <c r="O183" s="12" t="str">
        <f>VLOOKUP(G183,calculate_field!$B$2:$C$5,2,FALSE)</f>
        <v>Clear/Partly Cloudy</v>
      </c>
      <c r="P183" s="12" t="str">
        <f t="shared" si="16"/>
        <v>Saturday</v>
      </c>
      <c r="Q183" s="12" t="str">
        <f t="shared" si="17"/>
        <v>Weekend</v>
      </c>
      <c r="R183" s="12" t="str">
        <f t="shared" si="18"/>
        <v>Evening</v>
      </c>
      <c r="S183" s="28" t="str">
        <f>INDEX(calculate_field!$F$2:$F$4, MATCH(H183, calculate_field!$E$2:$E$4, 1))</f>
        <v>Cold</v>
      </c>
      <c r="T183" s="33">
        <f t="shared" si="19"/>
        <v>36</v>
      </c>
      <c r="U183" s="33">
        <f t="shared" si="20"/>
        <v>29.200952932634117</v>
      </c>
      <c r="V183" s="33">
        <f t="shared" si="21"/>
        <v>-0.15868312391666287</v>
      </c>
      <c r="W183" s="12" t="b">
        <f t="shared" si="22"/>
        <v>0</v>
      </c>
    </row>
    <row r="184" spans="1:23">
      <c r="A184" s="26">
        <v>183</v>
      </c>
      <c r="B184" s="27">
        <v>40551</v>
      </c>
      <c r="C184" s="12">
        <v>1</v>
      </c>
      <c r="D184" s="12">
        <v>21</v>
      </c>
      <c r="E184" s="12" t="b">
        <v>0</v>
      </c>
      <c r="F184" s="12">
        <v>6</v>
      </c>
      <c r="G184" s="12">
        <v>1</v>
      </c>
      <c r="H184" s="12">
        <v>0.12</v>
      </c>
      <c r="I184" s="12">
        <v>0.1061</v>
      </c>
      <c r="J184" s="12">
        <v>0.39</v>
      </c>
      <c r="K184" s="12">
        <v>0.35820000000000002</v>
      </c>
      <c r="L184" s="12">
        <v>2</v>
      </c>
      <c r="M184" s="12">
        <v>35</v>
      </c>
      <c r="N184" s="12">
        <v>37</v>
      </c>
      <c r="O184" s="12" t="str">
        <f>VLOOKUP(G184,calculate_field!$B$2:$C$5,2,FALSE)</f>
        <v>Clear/Partly Cloudy</v>
      </c>
      <c r="P184" s="12" t="str">
        <f t="shared" si="16"/>
        <v>Saturday</v>
      </c>
      <c r="Q184" s="12" t="str">
        <f t="shared" si="17"/>
        <v>Weekend</v>
      </c>
      <c r="R184" s="12" t="str">
        <f t="shared" si="18"/>
        <v>Night</v>
      </c>
      <c r="S184" s="28" t="str">
        <f>INDEX(calculate_field!$F$2:$F$4, MATCH(H184, calculate_field!$E$2:$E$4, 1))</f>
        <v>Cold</v>
      </c>
      <c r="T184" s="33">
        <f t="shared" si="19"/>
        <v>36.416666666666664</v>
      </c>
      <c r="U184" s="33">
        <f t="shared" si="20"/>
        <v>29.153143863080174</v>
      </c>
      <c r="V184" s="33">
        <f t="shared" si="21"/>
        <v>-0.25142580364760958</v>
      </c>
      <c r="W184" s="12" t="b">
        <f t="shared" si="22"/>
        <v>0</v>
      </c>
    </row>
    <row r="185" spans="1:23">
      <c r="A185" s="26">
        <v>184</v>
      </c>
      <c r="B185" s="27">
        <v>40551</v>
      </c>
      <c r="C185" s="12">
        <v>1</v>
      </c>
      <c r="D185" s="12">
        <v>22</v>
      </c>
      <c r="E185" s="12" t="b">
        <v>0</v>
      </c>
      <c r="F185" s="12">
        <v>6</v>
      </c>
      <c r="G185" s="12">
        <v>1</v>
      </c>
      <c r="H185" s="12">
        <v>0.12</v>
      </c>
      <c r="I185" s="12">
        <v>0.1061</v>
      </c>
      <c r="J185" s="12">
        <v>0.36</v>
      </c>
      <c r="K185" s="12">
        <v>0.3881</v>
      </c>
      <c r="L185" s="12">
        <v>1</v>
      </c>
      <c r="M185" s="12">
        <v>33</v>
      </c>
      <c r="N185" s="12">
        <v>34</v>
      </c>
      <c r="O185" s="12" t="str">
        <f>VLOOKUP(G185,calculate_field!$B$2:$C$5,2,FALSE)</f>
        <v>Clear/Partly Cloudy</v>
      </c>
      <c r="P185" s="12" t="str">
        <f t="shared" si="16"/>
        <v>Saturday</v>
      </c>
      <c r="Q185" s="12" t="str">
        <f t="shared" si="17"/>
        <v>Weekend</v>
      </c>
      <c r="R185" s="12" t="str">
        <f t="shared" si="18"/>
        <v>Night</v>
      </c>
      <c r="S185" s="28" t="str">
        <f>INDEX(calculate_field!$F$2:$F$4, MATCH(H185, calculate_field!$E$2:$E$4, 1))</f>
        <v>Cold</v>
      </c>
      <c r="T185" s="33">
        <f t="shared" si="19"/>
        <v>35.708333333333336</v>
      </c>
      <c r="U185" s="33">
        <f t="shared" si="20"/>
        <v>29.344252332058762</v>
      </c>
      <c r="V185" s="33">
        <f t="shared" si="21"/>
        <v>-0.60269754437035872</v>
      </c>
      <c r="W185" s="12" t="b">
        <f t="shared" si="22"/>
        <v>0</v>
      </c>
    </row>
    <row r="186" spans="1:23">
      <c r="A186" s="26">
        <v>185</v>
      </c>
      <c r="B186" s="27">
        <v>40551</v>
      </c>
      <c r="C186" s="12">
        <v>1</v>
      </c>
      <c r="D186" s="12">
        <v>23</v>
      </c>
      <c r="E186" s="12" t="b">
        <v>0</v>
      </c>
      <c r="F186" s="12">
        <v>6</v>
      </c>
      <c r="G186" s="12">
        <v>1</v>
      </c>
      <c r="H186" s="12">
        <v>0.1</v>
      </c>
      <c r="I186" s="12">
        <v>6.0600000000000001E-2</v>
      </c>
      <c r="J186" s="12">
        <v>0.39</v>
      </c>
      <c r="K186" s="12">
        <v>0.44779999999999998</v>
      </c>
      <c r="L186" s="12">
        <v>0</v>
      </c>
      <c r="M186" s="12">
        <v>22</v>
      </c>
      <c r="N186" s="12">
        <v>22</v>
      </c>
      <c r="O186" s="12" t="str">
        <f>VLOOKUP(G186,calculate_field!$B$2:$C$5,2,FALSE)</f>
        <v>Clear/Partly Cloudy</v>
      </c>
      <c r="P186" s="12" t="str">
        <f t="shared" si="16"/>
        <v>Saturday</v>
      </c>
      <c r="Q186" s="12" t="str">
        <f t="shared" si="17"/>
        <v>Weekend</v>
      </c>
      <c r="R186" s="12" t="str">
        <f t="shared" si="18"/>
        <v>Night</v>
      </c>
      <c r="S186" s="28" t="str">
        <f>INDEX(calculate_field!$F$2:$F$4, MATCH(H186, calculate_field!$E$2:$E$4, 1))</f>
        <v>Cold</v>
      </c>
      <c r="T186" s="33">
        <f t="shared" si="19"/>
        <v>34.916666666666664</v>
      </c>
      <c r="U186" s="33">
        <f t="shared" si="20"/>
        <v>29.647078698622547</v>
      </c>
      <c r="V186" s="33">
        <f t="shared" si="21"/>
        <v>-0.71090462988609171</v>
      </c>
      <c r="W186" s="12" t="b">
        <f t="shared" si="22"/>
        <v>0</v>
      </c>
    </row>
    <row r="187" spans="1:23">
      <c r="A187" s="26">
        <v>186</v>
      </c>
      <c r="B187" s="27">
        <v>40552</v>
      </c>
      <c r="C187" s="12">
        <v>1</v>
      </c>
      <c r="D187" s="12">
        <v>0</v>
      </c>
      <c r="E187" s="12" t="b">
        <v>0</v>
      </c>
      <c r="F187" s="12">
        <v>0</v>
      </c>
      <c r="G187" s="12">
        <v>1</v>
      </c>
      <c r="H187" s="12">
        <v>0.1</v>
      </c>
      <c r="I187" s="12">
        <v>7.5800000000000006E-2</v>
      </c>
      <c r="J187" s="12">
        <v>0.42</v>
      </c>
      <c r="K187" s="12">
        <v>0.3881</v>
      </c>
      <c r="L187" s="12">
        <v>1</v>
      </c>
      <c r="M187" s="12">
        <v>24</v>
      </c>
      <c r="N187" s="12">
        <v>25</v>
      </c>
      <c r="O187" s="12" t="str">
        <f>VLOOKUP(G187,calculate_field!$B$2:$C$5,2,FALSE)</f>
        <v>Clear/Partly Cloudy</v>
      </c>
      <c r="P187" s="12" t="str">
        <f t="shared" si="16"/>
        <v>Sunday</v>
      </c>
      <c r="Q187" s="12" t="str">
        <f t="shared" si="17"/>
        <v>Weekend</v>
      </c>
      <c r="R187" s="12" t="str">
        <f t="shared" si="18"/>
        <v>Night</v>
      </c>
      <c r="S187" s="28" t="str">
        <f>INDEX(calculate_field!$F$2:$F$4, MATCH(H187, calculate_field!$E$2:$E$4, 1))</f>
        <v>Cold</v>
      </c>
      <c r="T187" s="33">
        <f t="shared" si="19"/>
        <v>34.25</v>
      </c>
      <c r="U187" s="33">
        <f t="shared" si="20"/>
        <v>30.126183902408535</v>
      </c>
      <c r="V187" s="33">
        <f t="shared" si="21"/>
        <v>-0.88505369830647185</v>
      </c>
      <c r="W187" s="12" t="b">
        <f t="shared" si="22"/>
        <v>0</v>
      </c>
    </row>
    <row r="188" spans="1:23">
      <c r="A188" s="26">
        <v>187</v>
      </c>
      <c r="B188" s="27">
        <v>40552</v>
      </c>
      <c r="C188" s="12">
        <v>1</v>
      </c>
      <c r="D188" s="12">
        <v>1</v>
      </c>
      <c r="E188" s="12" t="b">
        <v>0</v>
      </c>
      <c r="F188" s="12">
        <v>0</v>
      </c>
      <c r="G188" s="12">
        <v>1</v>
      </c>
      <c r="H188" s="12">
        <v>0.1</v>
      </c>
      <c r="I188" s="12">
        <v>6.0600000000000001E-2</v>
      </c>
      <c r="J188" s="12">
        <v>0.42</v>
      </c>
      <c r="K188" s="12">
        <v>0.4627</v>
      </c>
      <c r="L188" s="12">
        <v>0</v>
      </c>
      <c r="M188" s="12">
        <v>12</v>
      </c>
      <c r="N188" s="12">
        <v>12</v>
      </c>
      <c r="O188" s="12" t="str">
        <f>VLOOKUP(G188,calculate_field!$B$2:$C$5,2,FALSE)</f>
        <v>Clear/Partly Cloudy</v>
      </c>
      <c r="P188" s="12" t="str">
        <f t="shared" si="16"/>
        <v>Sunday</v>
      </c>
      <c r="Q188" s="12" t="str">
        <f t="shared" si="17"/>
        <v>Weekend</v>
      </c>
      <c r="R188" s="12" t="str">
        <f t="shared" si="18"/>
        <v>Night</v>
      </c>
      <c r="S188" s="28" t="str">
        <f>INDEX(calculate_field!$F$2:$F$4, MATCH(H188, calculate_field!$E$2:$E$4, 1))</f>
        <v>Cold</v>
      </c>
      <c r="T188" s="33">
        <f t="shared" si="19"/>
        <v>33.416666666666664</v>
      </c>
      <c r="U188" s="33">
        <f t="shared" si="20"/>
        <v>30.664973173152212</v>
      </c>
      <c r="V188" s="33">
        <f t="shared" si="21"/>
        <v>-0.91925121261866016</v>
      </c>
      <c r="W188" s="12" t="b">
        <f t="shared" si="22"/>
        <v>0</v>
      </c>
    </row>
    <row r="189" spans="1:23">
      <c r="A189" s="26">
        <v>188</v>
      </c>
      <c r="B189" s="27">
        <v>40552</v>
      </c>
      <c r="C189" s="12">
        <v>1</v>
      </c>
      <c r="D189" s="12">
        <v>2</v>
      </c>
      <c r="E189" s="12" t="b">
        <v>0</v>
      </c>
      <c r="F189" s="12">
        <v>0</v>
      </c>
      <c r="G189" s="12">
        <v>1</v>
      </c>
      <c r="H189" s="12">
        <v>0.1</v>
      </c>
      <c r="I189" s="12">
        <v>6.0600000000000001E-2</v>
      </c>
      <c r="J189" s="12">
        <v>0.46</v>
      </c>
      <c r="K189" s="12">
        <v>0.4627</v>
      </c>
      <c r="L189" s="12">
        <v>0</v>
      </c>
      <c r="M189" s="12">
        <v>11</v>
      </c>
      <c r="N189" s="12">
        <v>11</v>
      </c>
      <c r="O189" s="12" t="str">
        <f>VLOOKUP(G189,calculate_field!$B$2:$C$5,2,FALSE)</f>
        <v>Clear/Partly Cloudy</v>
      </c>
      <c r="P189" s="12" t="str">
        <f t="shared" si="16"/>
        <v>Sunday</v>
      </c>
      <c r="Q189" s="12" t="str">
        <f t="shared" si="17"/>
        <v>Weekend</v>
      </c>
      <c r="R189" s="12" t="str">
        <f t="shared" si="18"/>
        <v>Night</v>
      </c>
      <c r="S189" s="28" t="str">
        <f>INDEX(calculate_field!$F$2:$F$4, MATCH(H189, calculate_field!$E$2:$E$4, 1))</f>
        <v>Cold</v>
      </c>
      <c r="T189" s="33">
        <f t="shared" si="19"/>
        <v>32.958333333333336</v>
      </c>
      <c r="U189" s="33">
        <f t="shared" si="20"/>
        <v>31.078412984307747</v>
      </c>
      <c r="V189" s="33">
        <f t="shared" si="21"/>
        <v>-1.002908297977487</v>
      </c>
      <c r="W189" s="12" t="b">
        <f t="shared" si="22"/>
        <v>1</v>
      </c>
    </row>
    <row r="190" spans="1:23">
      <c r="A190" s="26">
        <v>189</v>
      </c>
      <c r="B190" s="27">
        <v>40552</v>
      </c>
      <c r="C190" s="12">
        <v>1</v>
      </c>
      <c r="D190" s="12">
        <v>3</v>
      </c>
      <c r="E190" s="12" t="b">
        <v>0</v>
      </c>
      <c r="F190" s="12">
        <v>0</v>
      </c>
      <c r="G190" s="12">
        <v>1</v>
      </c>
      <c r="H190" s="12">
        <v>0.1</v>
      </c>
      <c r="I190" s="12">
        <v>7.5800000000000006E-2</v>
      </c>
      <c r="J190" s="12">
        <v>0.46</v>
      </c>
      <c r="K190" s="12">
        <v>0.41789999999999999</v>
      </c>
      <c r="L190" s="12">
        <v>0</v>
      </c>
      <c r="M190" s="12">
        <v>4</v>
      </c>
      <c r="N190" s="12">
        <v>4</v>
      </c>
      <c r="O190" s="12" t="str">
        <f>VLOOKUP(G190,calculate_field!$B$2:$C$5,2,FALSE)</f>
        <v>Clear/Partly Cloudy</v>
      </c>
      <c r="P190" s="12" t="str">
        <f t="shared" si="16"/>
        <v>Sunday</v>
      </c>
      <c r="Q190" s="12" t="str">
        <f t="shared" si="17"/>
        <v>Weekend</v>
      </c>
      <c r="R190" s="12" t="str">
        <f t="shared" si="18"/>
        <v>Night</v>
      </c>
      <c r="S190" s="28" t="str">
        <f>INDEX(calculate_field!$F$2:$F$4, MATCH(H190, calculate_field!$E$2:$E$4, 1))</f>
        <v>Cold</v>
      </c>
      <c r="T190" s="33">
        <f t="shared" si="19"/>
        <v>32.625</v>
      </c>
      <c r="U190" s="33">
        <f t="shared" si="20"/>
        <v>31.365742181697147</v>
      </c>
      <c r="V190" s="33">
        <f t="shared" si="21"/>
        <v>-0.96906327915597479</v>
      </c>
      <c r="W190" s="12" t="b">
        <f t="shared" si="22"/>
        <v>1</v>
      </c>
    </row>
    <row r="191" spans="1:23">
      <c r="A191" s="26">
        <v>190</v>
      </c>
      <c r="B191" s="27">
        <v>40552</v>
      </c>
      <c r="C191" s="12">
        <v>1</v>
      </c>
      <c r="D191" s="12">
        <v>4</v>
      </c>
      <c r="E191" s="12" t="b">
        <v>0</v>
      </c>
      <c r="F191" s="12">
        <v>0</v>
      </c>
      <c r="G191" s="12">
        <v>1</v>
      </c>
      <c r="H191" s="12">
        <v>0.08</v>
      </c>
      <c r="I191" s="12">
        <v>9.0899999999999995E-2</v>
      </c>
      <c r="J191" s="12">
        <v>0.53</v>
      </c>
      <c r="K191" s="12">
        <v>0.19400000000000001</v>
      </c>
      <c r="L191" s="12">
        <v>0</v>
      </c>
      <c r="M191" s="12">
        <v>1</v>
      </c>
      <c r="N191" s="12">
        <v>1</v>
      </c>
      <c r="O191" s="12" t="str">
        <f>VLOOKUP(G191,calculate_field!$B$2:$C$5,2,FALSE)</f>
        <v>Clear/Partly Cloudy</v>
      </c>
      <c r="P191" s="12" t="str">
        <f t="shared" si="16"/>
        <v>Sunday</v>
      </c>
      <c r="Q191" s="12" t="str">
        <f t="shared" si="17"/>
        <v>Weekend</v>
      </c>
      <c r="R191" s="12" t="str">
        <f t="shared" si="18"/>
        <v>Night</v>
      </c>
      <c r="S191" s="28" t="str">
        <f>INDEX(calculate_field!$F$2:$F$4, MATCH(H191, calculate_field!$E$2:$E$4, 1))</f>
        <v>Cold</v>
      </c>
      <c r="T191" s="33">
        <f t="shared" si="19"/>
        <v>32.5</v>
      </c>
      <c r="U191" s="33">
        <f t="shared" si="20"/>
        <v>31.490509267286285</v>
      </c>
      <c r="V191" s="33">
        <f t="shared" si="21"/>
        <v>-1.0060386665959484</v>
      </c>
      <c r="W191" s="12" t="b">
        <f t="shared" si="22"/>
        <v>0</v>
      </c>
    </row>
    <row r="192" spans="1:23">
      <c r="A192" s="26">
        <v>191</v>
      </c>
      <c r="B192" s="27">
        <v>40552</v>
      </c>
      <c r="C192" s="12">
        <v>1</v>
      </c>
      <c r="D192" s="12">
        <v>5</v>
      </c>
      <c r="E192" s="12" t="b">
        <v>0</v>
      </c>
      <c r="F192" s="12">
        <v>0</v>
      </c>
      <c r="G192" s="12">
        <v>1</v>
      </c>
      <c r="H192" s="12">
        <v>0.08</v>
      </c>
      <c r="I192" s="12">
        <v>9.0899999999999995E-2</v>
      </c>
      <c r="J192" s="12">
        <v>0.53</v>
      </c>
      <c r="K192" s="12">
        <v>0.19400000000000001</v>
      </c>
      <c r="L192" s="12">
        <v>0</v>
      </c>
      <c r="M192" s="12">
        <v>1</v>
      </c>
      <c r="N192" s="12">
        <v>1</v>
      </c>
      <c r="O192" s="12" t="str">
        <f>VLOOKUP(G192,calculate_field!$B$2:$C$5,2,FALSE)</f>
        <v>Clear/Partly Cloudy</v>
      </c>
      <c r="P192" s="12" t="str">
        <f t="shared" si="16"/>
        <v>Sunday</v>
      </c>
      <c r="Q192" s="12" t="str">
        <f t="shared" si="17"/>
        <v>Weekend</v>
      </c>
      <c r="R192" s="12" t="str">
        <f t="shared" si="18"/>
        <v>Night</v>
      </c>
      <c r="S192" s="28" t="str">
        <f>INDEX(calculate_field!$F$2:$F$4, MATCH(H192, calculate_field!$E$2:$E$4, 1))</f>
        <v>Cold</v>
      </c>
      <c r="T192" s="33">
        <f t="shared" si="19"/>
        <v>32.583333333333336</v>
      </c>
      <c r="U192" s="33">
        <f t="shared" si="20"/>
        <v>31.406059601773428</v>
      </c>
      <c r="V192" s="33">
        <f t="shared" si="21"/>
        <v>-0.97669745040546141</v>
      </c>
      <c r="W192" s="12" t="b">
        <f t="shared" si="22"/>
        <v>0</v>
      </c>
    </row>
    <row r="193" spans="1:23">
      <c r="A193" s="26">
        <v>192</v>
      </c>
      <c r="B193" s="27">
        <v>40552</v>
      </c>
      <c r="C193" s="12">
        <v>1</v>
      </c>
      <c r="D193" s="12">
        <v>6</v>
      </c>
      <c r="E193" s="12" t="b">
        <v>0</v>
      </c>
      <c r="F193" s="12">
        <v>0</v>
      </c>
      <c r="G193" s="12">
        <v>1</v>
      </c>
      <c r="H193" s="12">
        <v>0.1</v>
      </c>
      <c r="I193" s="12">
        <v>9.0899999999999995E-2</v>
      </c>
      <c r="J193" s="12">
        <v>0.49</v>
      </c>
      <c r="K193" s="12">
        <v>0.28360000000000002</v>
      </c>
      <c r="L193" s="12">
        <v>0</v>
      </c>
      <c r="M193" s="12">
        <v>1</v>
      </c>
      <c r="N193" s="12">
        <v>1</v>
      </c>
      <c r="O193" s="12" t="str">
        <f>VLOOKUP(G193,calculate_field!$B$2:$C$5,2,FALSE)</f>
        <v>Clear/Partly Cloudy</v>
      </c>
      <c r="P193" s="12" t="str">
        <f t="shared" si="16"/>
        <v>Sunday</v>
      </c>
      <c r="Q193" s="12" t="str">
        <f t="shared" si="17"/>
        <v>Weekend</v>
      </c>
      <c r="R193" s="12" t="str">
        <f t="shared" si="18"/>
        <v>Morning</v>
      </c>
      <c r="S193" s="28" t="str">
        <f>INDEX(calculate_field!$F$2:$F$4, MATCH(H193, calculate_field!$E$2:$E$4, 1))</f>
        <v>Cold</v>
      </c>
      <c r="T193" s="33">
        <f t="shared" si="19"/>
        <v>32.666666666666664</v>
      </c>
      <c r="U193" s="33">
        <f t="shared" si="20"/>
        <v>31.321150884883256</v>
      </c>
      <c r="V193" s="33">
        <f t="shared" si="21"/>
        <v>-1.0103030850003585</v>
      </c>
      <c r="W193" s="12" t="b">
        <f t="shared" si="22"/>
        <v>0</v>
      </c>
    </row>
    <row r="194" spans="1:23">
      <c r="A194" s="26">
        <v>193</v>
      </c>
      <c r="B194" s="27">
        <v>40552</v>
      </c>
      <c r="C194" s="12">
        <v>1</v>
      </c>
      <c r="D194" s="12">
        <v>7</v>
      </c>
      <c r="E194" s="12" t="b">
        <v>0</v>
      </c>
      <c r="F194" s="12">
        <v>0</v>
      </c>
      <c r="G194" s="12">
        <v>1</v>
      </c>
      <c r="H194" s="12">
        <v>0.08</v>
      </c>
      <c r="I194" s="12">
        <v>9.0899999999999995E-2</v>
      </c>
      <c r="J194" s="12">
        <v>0.53</v>
      </c>
      <c r="K194" s="12">
        <v>0.19400000000000001</v>
      </c>
      <c r="L194" s="12">
        <v>1</v>
      </c>
      <c r="M194" s="12">
        <v>5</v>
      </c>
      <c r="N194" s="12">
        <v>6</v>
      </c>
      <c r="O194" s="12" t="str">
        <f>VLOOKUP(G194,calculate_field!$B$2:$C$5,2,FALSE)</f>
        <v>Clear/Partly Cloudy</v>
      </c>
      <c r="P194" s="12" t="str">
        <f t="shared" ref="P194:P257" si="23">CHOOSE(F194+1,"Sunday","Monday","Tuesday","Wednesday","Thursday","Friday","Saturday")</f>
        <v>Sunday</v>
      </c>
      <c r="Q194" s="12" t="str">
        <f t="shared" ref="Q194:Q257" si="24">IF(OR(F194=0,F194=6),"Weekend","Weekday")</f>
        <v>Weekend</v>
      </c>
      <c r="R194" s="12" t="str">
        <f t="shared" ref="R194:R257" si="25">IF(D194&lt;6,"Night",IF(D194&lt;12,"Morning",IF(D194&lt;17,"Afternoon",IF(D194&lt;21,"Evening","Night"))))</f>
        <v>Morning</v>
      </c>
      <c r="S194" s="28" t="str">
        <f>INDEX(calculate_field!$F$2:$F$4, MATCH(H194, calculate_field!$E$2:$E$4, 1))</f>
        <v>Cold</v>
      </c>
      <c r="T194" s="33">
        <f t="shared" ref="T194:T257" si="26">AVERAGE(N194:N217)</f>
        <v>33.916666666666664</v>
      </c>
      <c r="U194" s="33">
        <f t="shared" ref="U194:U257" si="27">_xlfn.STDEV.S(N194:N217)</f>
        <v>30.592577483785984</v>
      </c>
      <c r="V194" s="33">
        <f t="shared" ref="V194:V257" si="28">(N217-T217)/U217</f>
        <v>-0.56455349960658396</v>
      </c>
      <c r="W194" s="12" t="b">
        <f t="shared" ref="W194:W257" si="29">IFERROR(ABS(V210)&gt;1.5,FALSE)</f>
        <v>0</v>
      </c>
    </row>
    <row r="195" spans="1:23">
      <c r="A195" s="26">
        <v>194</v>
      </c>
      <c r="B195" s="27">
        <v>40552</v>
      </c>
      <c r="C195" s="12">
        <v>1</v>
      </c>
      <c r="D195" s="12">
        <v>8</v>
      </c>
      <c r="E195" s="12" t="b">
        <v>0</v>
      </c>
      <c r="F195" s="12">
        <v>0</v>
      </c>
      <c r="G195" s="12">
        <v>1</v>
      </c>
      <c r="H195" s="12">
        <v>0.1</v>
      </c>
      <c r="I195" s="12">
        <v>9.0899999999999995E-2</v>
      </c>
      <c r="J195" s="12">
        <v>0.49</v>
      </c>
      <c r="K195" s="12">
        <v>0.28360000000000002</v>
      </c>
      <c r="L195" s="12">
        <v>0</v>
      </c>
      <c r="M195" s="12">
        <v>10</v>
      </c>
      <c r="N195" s="12">
        <v>10</v>
      </c>
      <c r="O195" s="12" t="str">
        <f>VLOOKUP(G195,calculate_field!$B$2:$C$5,2,FALSE)</f>
        <v>Clear/Partly Cloudy</v>
      </c>
      <c r="P195" s="12" t="str">
        <f t="shared" si="23"/>
        <v>Sunday</v>
      </c>
      <c r="Q195" s="12" t="str">
        <f t="shared" si="24"/>
        <v>Weekend</v>
      </c>
      <c r="R195" s="12" t="str">
        <f t="shared" si="25"/>
        <v>Morning</v>
      </c>
      <c r="S195" s="28" t="str">
        <f>INDEX(calculate_field!$F$2:$F$4, MATCH(H195, calculate_field!$E$2:$E$4, 1))</f>
        <v>Cold</v>
      </c>
      <c r="T195" s="33">
        <f t="shared" si="26"/>
        <v>36.875</v>
      </c>
      <c r="U195" s="33">
        <f t="shared" si="27"/>
        <v>31.20244207276648</v>
      </c>
      <c r="V195" s="33">
        <f t="shared" si="28"/>
        <v>0.14148884580472681</v>
      </c>
      <c r="W195" s="12" t="b">
        <f t="shared" si="29"/>
        <v>0</v>
      </c>
    </row>
    <row r="196" spans="1:23">
      <c r="A196" s="26">
        <v>195</v>
      </c>
      <c r="B196" s="27">
        <v>40552</v>
      </c>
      <c r="C196" s="12">
        <v>1</v>
      </c>
      <c r="D196" s="12">
        <v>9</v>
      </c>
      <c r="E196" s="12" t="b">
        <v>0</v>
      </c>
      <c r="F196" s="12">
        <v>0</v>
      </c>
      <c r="G196" s="12">
        <v>1</v>
      </c>
      <c r="H196" s="12">
        <v>0.12</v>
      </c>
      <c r="I196" s="12">
        <v>7.5800000000000006E-2</v>
      </c>
      <c r="J196" s="12">
        <v>0.46</v>
      </c>
      <c r="K196" s="12">
        <v>0.52239999999999998</v>
      </c>
      <c r="L196" s="12">
        <v>0</v>
      </c>
      <c r="M196" s="12">
        <v>19</v>
      </c>
      <c r="N196" s="12">
        <v>19</v>
      </c>
      <c r="O196" s="12" t="str">
        <f>VLOOKUP(G196,calculate_field!$B$2:$C$5,2,FALSE)</f>
        <v>Clear/Partly Cloudy</v>
      </c>
      <c r="P196" s="12" t="str">
        <f t="shared" si="23"/>
        <v>Sunday</v>
      </c>
      <c r="Q196" s="12" t="str">
        <f t="shared" si="24"/>
        <v>Weekend</v>
      </c>
      <c r="R196" s="12" t="str">
        <f t="shared" si="25"/>
        <v>Morning</v>
      </c>
      <c r="S196" s="28" t="str">
        <f>INDEX(calculate_field!$F$2:$F$4, MATCH(H196, calculate_field!$E$2:$E$4, 1))</f>
        <v>Cold</v>
      </c>
      <c r="T196" s="33">
        <f t="shared" si="26"/>
        <v>44.291666666666664</v>
      </c>
      <c r="U196" s="33">
        <f t="shared" si="27"/>
        <v>43.333368171669385</v>
      </c>
      <c r="V196" s="33">
        <f t="shared" si="28"/>
        <v>1.8867683987073456</v>
      </c>
      <c r="W196" s="12" t="b">
        <f t="shared" si="29"/>
        <v>0</v>
      </c>
    </row>
    <row r="197" spans="1:23">
      <c r="A197" s="26">
        <v>196</v>
      </c>
      <c r="B197" s="27">
        <v>40552</v>
      </c>
      <c r="C197" s="12">
        <v>1</v>
      </c>
      <c r="D197" s="12">
        <v>10</v>
      </c>
      <c r="E197" s="12" t="b">
        <v>0</v>
      </c>
      <c r="F197" s="12">
        <v>0</v>
      </c>
      <c r="G197" s="12">
        <v>1</v>
      </c>
      <c r="H197" s="12">
        <v>0.14000000000000001</v>
      </c>
      <c r="I197" s="12">
        <v>0.1061</v>
      </c>
      <c r="J197" s="12">
        <v>0.43</v>
      </c>
      <c r="K197" s="12">
        <v>0.3881</v>
      </c>
      <c r="L197" s="12">
        <v>0</v>
      </c>
      <c r="M197" s="12">
        <v>49</v>
      </c>
      <c r="N197" s="12">
        <v>49</v>
      </c>
      <c r="O197" s="12" t="str">
        <f>VLOOKUP(G197,calculate_field!$B$2:$C$5,2,FALSE)</f>
        <v>Clear/Partly Cloudy</v>
      </c>
      <c r="P197" s="12" t="str">
        <f t="shared" si="23"/>
        <v>Sunday</v>
      </c>
      <c r="Q197" s="12" t="str">
        <f t="shared" si="24"/>
        <v>Weekend</v>
      </c>
      <c r="R197" s="12" t="str">
        <f t="shared" si="25"/>
        <v>Morning</v>
      </c>
      <c r="S197" s="28" t="str">
        <f>INDEX(calculate_field!$F$2:$F$4, MATCH(H197, calculate_field!$E$2:$E$4, 1))</f>
        <v>Cold</v>
      </c>
      <c r="T197" s="33">
        <f t="shared" si="26"/>
        <v>47.416666666666664</v>
      </c>
      <c r="U197" s="33">
        <f t="shared" si="27"/>
        <v>44.127204136762806</v>
      </c>
      <c r="V197" s="33">
        <f t="shared" si="28"/>
        <v>0.50847602241678136</v>
      </c>
      <c r="W197" s="12" t="b">
        <f t="shared" si="29"/>
        <v>0</v>
      </c>
    </row>
    <row r="198" spans="1:23">
      <c r="A198" s="26">
        <v>197</v>
      </c>
      <c r="B198" s="27">
        <v>40552</v>
      </c>
      <c r="C198" s="12">
        <v>1</v>
      </c>
      <c r="D198" s="12">
        <v>11</v>
      </c>
      <c r="E198" s="12" t="b">
        <v>0</v>
      </c>
      <c r="F198" s="12">
        <v>0</v>
      </c>
      <c r="G198" s="12">
        <v>1</v>
      </c>
      <c r="H198" s="12">
        <v>0.16</v>
      </c>
      <c r="I198" s="12">
        <v>0.1212</v>
      </c>
      <c r="J198" s="12">
        <v>0.4</v>
      </c>
      <c r="K198" s="12">
        <v>0.52239999999999998</v>
      </c>
      <c r="L198" s="12">
        <v>2</v>
      </c>
      <c r="M198" s="12">
        <v>47</v>
      </c>
      <c r="N198" s="12">
        <v>49</v>
      </c>
      <c r="O198" s="12" t="str">
        <f>VLOOKUP(G198,calculate_field!$B$2:$C$5,2,FALSE)</f>
        <v>Clear/Partly Cloudy</v>
      </c>
      <c r="P198" s="12" t="str">
        <f t="shared" si="23"/>
        <v>Sunday</v>
      </c>
      <c r="Q198" s="12" t="str">
        <f t="shared" si="24"/>
        <v>Weekend</v>
      </c>
      <c r="R198" s="12" t="str">
        <f t="shared" si="25"/>
        <v>Morning</v>
      </c>
      <c r="S198" s="28" t="str">
        <f>INDEX(calculate_field!$F$2:$F$4, MATCH(H198, calculate_field!$E$2:$E$4, 1))</f>
        <v>Cold</v>
      </c>
      <c r="T198" s="33">
        <f t="shared" si="26"/>
        <v>46.666666666666664</v>
      </c>
      <c r="U198" s="33">
        <f t="shared" si="27"/>
        <v>44.251913902767768</v>
      </c>
      <c r="V198" s="33">
        <f t="shared" si="28"/>
        <v>-0.55335902484578114</v>
      </c>
      <c r="W198" s="12" t="b">
        <f t="shared" si="29"/>
        <v>0</v>
      </c>
    </row>
    <row r="199" spans="1:23">
      <c r="A199" s="26">
        <v>198</v>
      </c>
      <c r="B199" s="27">
        <v>40552</v>
      </c>
      <c r="C199" s="12">
        <v>1</v>
      </c>
      <c r="D199" s="12">
        <v>12</v>
      </c>
      <c r="E199" s="12" t="b">
        <v>0</v>
      </c>
      <c r="F199" s="12">
        <v>0</v>
      </c>
      <c r="G199" s="12">
        <v>1</v>
      </c>
      <c r="H199" s="12">
        <v>0.18</v>
      </c>
      <c r="I199" s="12">
        <v>0.13639999999999999</v>
      </c>
      <c r="J199" s="12">
        <v>0.37</v>
      </c>
      <c r="K199" s="12">
        <v>0.44779999999999998</v>
      </c>
      <c r="L199" s="12">
        <v>4</v>
      </c>
      <c r="M199" s="12">
        <v>79</v>
      </c>
      <c r="N199" s="12">
        <v>83</v>
      </c>
      <c r="O199" s="12" t="str">
        <f>VLOOKUP(G199,calculate_field!$B$2:$C$5,2,FALSE)</f>
        <v>Clear/Partly Cloudy</v>
      </c>
      <c r="P199" s="12" t="str">
        <f t="shared" si="23"/>
        <v>Sunday</v>
      </c>
      <c r="Q199" s="12" t="str">
        <f t="shared" si="24"/>
        <v>Weekend</v>
      </c>
      <c r="R199" s="12" t="str">
        <f t="shared" si="25"/>
        <v>Afternoon</v>
      </c>
      <c r="S199" s="28" t="str">
        <f>INDEX(calculate_field!$F$2:$F$4, MATCH(H199, calculate_field!$E$2:$E$4, 1))</f>
        <v>Cold</v>
      </c>
      <c r="T199" s="33">
        <f t="shared" si="26"/>
        <v>45.875</v>
      </c>
      <c r="U199" s="33">
        <f t="shared" si="27"/>
        <v>44.378130630535459</v>
      </c>
      <c r="V199" s="33">
        <f t="shared" si="28"/>
        <v>-0.59386472331183549</v>
      </c>
      <c r="W199" s="12" t="b">
        <f t="shared" si="29"/>
        <v>0</v>
      </c>
    </row>
    <row r="200" spans="1:23">
      <c r="A200" s="26">
        <v>199</v>
      </c>
      <c r="B200" s="27">
        <v>40552</v>
      </c>
      <c r="C200" s="12">
        <v>1</v>
      </c>
      <c r="D200" s="12">
        <v>13</v>
      </c>
      <c r="E200" s="12" t="b">
        <v>0</v>
      </c>
      <c r="F200" s="12">
        <v>0</v>
      </c>
      <c r="G200" s="12">
        <v>1</v>
      </c>
      <c r="H200" s="12">
        <v>0.2</v>
      </c>
      <c r="I200" s="12">
        <v>0.16669999999999999</v>
      </c>
      <c r="J200" s="12">
        <v>0.34</v>
      </c>
      <c r="K200" s="12">
        <v>0.44779999999999998</v>
      </c>
      <c r="L200" s="12">
        <v>6</v>
      </c>
      <c r="M200" s="12">
        <v>69</v>
      </c>
      <c r="N200" s="12">
        <v>75</v>
      </c>
      <c r="O200" s="12" t="str">
        <f>VLOOKUP(G200,calculate_field!$B$2:$C$5,2,FALSE)</f>
        <v>Clear/Partly Cloudy</v>
      </c>
      <c r="P200" s="12" t="str">
        <f t="shared" si="23"/>
        <v>Sunday</v>
      </c>
      <c r="Q200" s="12" t="str">
        <f t="shared" si="24"/>
        <v>Weekend</v>
      </c>
      <c r="R200" s="12" t="str">
        <f t="shared" si="25"/>
        <v>Afternoon</v>
      </c>
      <c r="S200" s="28" t="str">
        <f>INDEX(calculate_field!$F$2:$F$4, MATCH(H200, calculate_field!$E$2:$E$4, 1))</f>
        <v>Mild</v>
      </c>
      <c r="T200" s="33">
        <f t="shared" si="26"/>
        <v>44.583333333333336</v>
      </c>
      <c r="U200" s="33">
        <f t="shared" si="27"/>
        <v>43.69649937890923</v>
      </c>
      <c r="V200" s="33">
        <f t="shared" si="28"/>
        <v>-0.22304493277080084</v>
      </c>
      <c r="W200" s="12" t="b">
        <f t="shared" si="29"/>
        <v>0</v>
      </c>
    </row>
    <row r="201" spans="1:23">
      <c r="A201" s="26">
        <v>200</v>
      </c>
      <c r="B201" s="27">
        <v>40552</v>
      </c>
      <c r="C201" s="12">
        <v>1</v>
      </c>
      <c r="D201" s="12">
        <v>14</v>
      </c>
      <c r="E201" s="12" t="b">
        <v>0</v>
      </c>
      <c r="F201" s="12">
        <v>0</v>
      </c>
      <c r="G201" s="12">
        <v>1</v>
      </c>
      <c r="H201" s="12">
        <v>0.22</v>
      </c>
      <c r="I201" s="12">
        <v>0.18179999999999999</v>
      </c>
      <c r="J201" s="12">
        <v>0.32</v>
      </c>
      <c r="K201" s="12">
        <v>0.4627</v>
      </c>
      <c r="L201" s="12">
        <v>8</v>
      </c>
      <c r="M201" s="12">
        <v>64</v>
      </c>
      <c r="N201" s="12">
        <v>72</v>
      </c>
      <c r="O201" s="12" t="str">
        <f>VLOOKUP(G201,calculate_field!$B$2:$C$5,2,FALSE)</f>
        <v>Clear/Partly Cloudy</v>
      </c>
      <c r="P201" s="12" t="str">
        <f t="shared" si="23"/>
        <v>Sunday</v>
      </c>
      <c r="Q201" s="12" t="str">
        <f t="shared" si="24"/>
        <v>Weekend</v>
      </c>
      <c r="R201" s="12" t="str">
        <f t="shared" si="25"/>
        <v>Afternoon</v>
      </c>
      <c r="S201" s="28" t="str">
        <f>INDEX(calculate_field!$F$2:$F$4, MATCH(H201, calculate_field!$E$2:$E$4, 1))</f>
        <v>Mild</v>
      </c>
      <c r="T201" s="33">
        <f t="shared" si="26"/>
        <v>43.708333333333336</v>
      </c>
      <c r="U201" s="33">
        <f t="shared" si="27"/>
        <v>43.269106527754246</v>
      </c>
      <c r="V201" s="33">
        <f t="shared" si="28"/>
        <v>-0.1958429607367119</v>
      </c>
      <c r="W201" s="12" t="b">
        <f t="shared" si="29"/>
        <v>0</v>
      </c>
    </row>
    <row r="202" spans="1:23">
      <c r="A202" s="26">
        <v>201</v>
      </c>
      <c r="B202" s="27">
        <v>40552</v>
      </c>
      <c r="C202" s="12">
        <v>1</v>
      </c>
      <c r="D202" s="12">
        <v>15</v>
      </c>
      <c r="E202" s="12" t="b">
        <v>0</v>
      </c>
      <c r="F202" s="12">
        <v>0</v>
      </c>
      <c r="G202" s="12">
        <v>1</v>
      </c>
      <c r="H202" s="12">
        <v>0.22</v>
      </c>
      <c r="I202" s="12">
        <v>0.19700000000000001</v>
      </c>
      <c r="J202" s="12">
        <v>0.35</v>
      </c>
      <c r="K202" s="12">
        <v>0.35820000000000002</v>
      </c>
      <c r="L202" s="12">
        <v>5</v>
      </c>
      <c r="M202" s="12">
        <v>77</v>
      </c>
      <c r="N202" s="12">
        <v>82</v>
      </c>
      <c r="O202" s="12" t="str">
        <f>VLOOKUP(G202,calculate_field!$B$2:$C$5,2,FALSE)</f>
        <v>Clear/Partly Cloudy</v>
      </c>
      <c r="P202" s="12" t="str">
        <f t="shared" si="23"/>
        <v>Sunday</v>
      </c>
      <c r="Q202" s="12" t="str">
        <f t="shared" si="24"/>
        <v>Weekend</v>
      </c>
      <c r="R202" s="12" t="str">
        <f t="shared" si="25"/>
        <v>Afternoon</v>
      </c>
      <c r="S202" s="28" t="str">
        <f>INDEX(calculate_field!$F$2:$F$4, MATCH(H202, calculate_field!$E$2:$E$4, 1))</f>
        <v>Mild</v>
      </c>
      <c r="T202" s="33">
        <f t="shared" si="26"/>
        <v>42.666666666666664</v>
      </c>
      <c r="U202" s="33">
        <f t="shared" si="27"/>
        <v>42.857363698533838</v>
      </c>
      <c r="V202" s="33">
        <f t="shared" si="28"/>
        <v>-0.31484181046054865</v>
      </c>
      <c r="W202" s="12" t="b">
        <f t="shared" si="29"/>
        <v>1</v>
      </c>
    </row>
    <row r="203" spans="1:23">
      <c r="A203" s="26">
        <v>202</v>
      </c>
      <c r="B203" s="27">
        <v>40552</v>
      </c>
      <c r="C203" s="12">
        <v>1</v>
      </c>
      <c r="D203" s="12">
        <v>16</v>
      </c>
      <c r="E203" s="12" t="b">
        <v>0</v>
      </c>
      <c r="F203" s="12">
        <v>0</v>
      </c>
      <c r="G203" s="12">
        <v>1</v>
      </c>
      <c r="H203" s="12">
        <v>0.2</v>
      </c>
      <c r="I203" s="12">
        <v>0.16669999999999999</v>
      </c>
      <c r="J203" s="12">
        <v>0.34</v>
      </c>
      <c r="K203" s="12">
        <v>0.44779999999999998</v>
      </c>
      <c r="L203" s="12">
        <v>13</v>
      </c>
      <c r="M203" s="12">
        <v>79</v>
      </c>
      <c r="N203" s="12">
        <v>92</v>
      </c>
      <c r="O203" s="12" t="str">
        <f>VLOOKUP(G203,calculate_field!$B$2:$C$5,2,FALSE)</f>
        <v>Clear/Partly Cloudy</v>
      </c>
      <c r="P203" s="12" t="str">
        <f t="shared" si="23"/>
        <v>Sunday</v>
      </c>
      <c r="Q203" s="12" t="str">
        <f t="shared" si="24"/>
        <v>Weekend</v>
      </c>
      <c r="R203" s="12" t="str">
        <f t="shared" si="25"/>
        <v>Afternoon</v>
      </c>
      <c r="S203" s="28" t="str">
        <f>INDEX(calculate_field!$F$2:$F$4, MATCH(H203, calculate_field!$E$2:$E$4, 1))</f>
        <v>Mild</v>
      </c>
      <c r="T203" s="33">
        <f t="shared" si="26"/>
        <v>41.125</v>
      </c>
      <c r="U203" s="33">
        <f t="shared" si="27"/>
        <v>42.038608031396464</v>
      </c>
      <c r="V203" s="33">
        <f t="shared" si="28"/>
        <v>-0.37245011845496839</v>
      </c>
      <c r="W203" s="12" t="b">
        <f t="shared" si="29"/>
        <v>1</v>
      </c>
    </row>
    <row r="204" spans="1:23">
      <c r="A204" s="26">
        <v>203</v>
      </c>
      <c r="B204" s="27">
        <v>40552</v>
      </c>
      <c r="C204" s="12">
        <v>1</v>
      </c>
      <c r="D204" s="12">
        <v>17</v>
      </c>
      <c r="E204" s="12" t="b">
        <v>0</v>
      </c>
      <c r="F204" s="12">
        <v>0</v>
      </c>
      <c r="G204" s="12">
        <v>1</v>
      </c>
      <c r="H204" s="12">
        <v>0.18</v>
      </c>
      <c r="I204" s="12">
        <v>0.1515</v>
      </c>
      <c r="J204" s="12">
        <v>0.37</v>
      </c>
      <c r="K204" s="12">
        <v>0.3881</v>
      </c>
      <c r="L204" s="12">
        <v>3</v>
      </c>
      <c r="M204" s="12">
        <v>59</v>
      </c>
      <c r="N204" s="12">
        <v>62</v>
      </c>
      <c r="O204" s="12" t="str">
        <f>VLOOKUP(G204,calculate_field!$B$2:$C$5,2,FALSE)</f>
        <v>Clear/Partly Cloudy</v>
      </c>
      <c r="P204" s="12" t="str">
        <f t="shared" si="23"/>
        <v>Sunday</v>
      </c>
      <c r="Q204" s="12" t="str">
        <f t="shared" si="24"/>
        <v>Weekend</v>
      </c>
      <c r="R204" s="12" t="str">
        <f t="shared" si="25"/>
        <v>Evening</v>
      </c>
      <c r="S204" s="28" t="str">
        <f>INDEX(calculate_field!$F$2:$F$4, MATCH(H204, calculate_field!$E$2:$E$4, 1))</f>
        <v>Cold</v>
      </c>
      <c r="T204" s="33">
        <f t="shared" si="26"/>
        <v>40.375</v>
      </c>
      <c r="U204" s="33">
        <f t="shared" si="27"/>
        <v>41.244564859321557</v>
      </c>
      <c r="V204" s="33">
        <f t="shared" si="28"/>
        <v>7.4332736215245609E-2</v>
      </c>
      <c r="W204" s="12" t="b">
        <f t="shared" si="29"/>
        <v>0</v>
      </c>
    </row>
    <row r="205" spans="1:23">
      <c r="A205" s="26">
        <v>204</v>
      </c>
      <c r="B205" s="27">
        <v>40552</v>
      </c>
      <c r="C205" s="12">
        <v>1</v>
      </c>
      <c r="D205" s="12">
        <v>18</v>
      </c>
      <c r="E205" s="12" t="b">
        <v>0</v>
      </c>
      <c r="F205" s="12">
        <v>0</v>
      </c>
      <c r="G205" s="12">
        <v>1</v>
      </c>
      <c r="H205" s="12">
        <v>0.16</v>
      </c>
      <c r="I205" s="12">
        <v>0.13639999999999999</v>
      </c>
      <c r="J205" s="12">
        <v>0.4</v>
      </c>
      <c r="K205" s="12">
        <v>0.32840000000000003</v>
      </c>
      <c r="L205" s="12">
        <v>4</v>
      </c>
      <c r="M205" s="12">
        <v>44</v>
      </c>
      <c r="N205" s="12">
        <v>48</v>
      </c>
      <c r="O205" s="12" t="str">
        <f>VLOOKUP(G205,calculate_field!$B$2:$C$5,2,FALSE)</f>
        <v>Clear/Partly Cloudy</v>
      </c>
      <c r="P205" s="12" t="str">
        <f t="shared" si="23"/>
        <v>Sunday</v>
      </c>
      <c r="Q205" s="12" t="str">
        <f t="shared" si="24"/>
        <v>Weekend</v>
      </c>
      <c r="R205" s="12" t="str">
        <f t="shared" si="25"/>
        <v>Evening</v>
      </c>
      <c r="S205" s="28" t="str">
        <f>INDEX(calculate_field!$F$2:$F$4, MATCH(H205, calculate_field!$E$2:$E$4, 1))</f>
        <v>Cold</v>
      </c>
      <c r="T205" s="33">
        <f t="shared" si="26"/>
        <v>45.208333333333336</v>
      </c>
      <c r="U205" s="33">
        <f t="shared" si="27"/>
        <v>49.798707130648062</v>
      </c>
      <c r="V205" s="33">
        <f t="shared" si="28"/>
        <v>1.8532114770301304</v>
      </c>
      <c r="W205" s="12" t="b">
        <f t="shared" si="29"/>
        <v>0</v>
      </c>
    </row>
    <row r="206" spans="1:23">
      <c r="A206" s="26">
        <v>205</v>
      </c>
      <c r="B206" s="27">
        <v>40552</v>
      </c>
      <c r="C206" s="12">
        <v>1</v>
      </c>
      <c r="D206" s="12">
        <v>19</v>
      </c>
      <c r="E206" s="12" t="b">
        <v>0</v>
      </c>
      <c r="F206" s="12">
        <v>0</v>
      </c>
      <c r="G206" s="12">
        <v>1</v>
      </c>
      <c r="H206" s="12">
        <v>0.16</v>
      </c>
      <c r="I206" s="12">
        <v>0.13639999999999999</v>
      </c>
      <c r="J206" s="12">
        <v>0.43</v>
      </c>
      <c r="K206" s="12">
        <v>0.32840000000000003</v>
      </c>
      <c r="L206" s="12">
        <v>1</v>
      </c>
      <c r="M206" s="12">
        <v>40</v>
      </c>
      <c r="N206" s="12">
        <v>41</v>
      </c>
      <c r="O206" s="12" t="str">
        <f>VLOOKUP(G206,calculate_field!$B$2:$C$5,2,FALSE)</f>
        <v>Clear/Partly Cloudy</v>
      </c>
      <c r="P206" s="12" t="str">
        <f t="shared" si="23"/>
        <v>Sunday</v>
      </c>
      <c r="Q206" s="12" t="str">
        <f t="shared" si="24"/>
        <v>Weekend</v>
      </c>
      <c r="R206" s="12" t="str">
        <f t="shared" si="25"/>
        <v>Evening</v>
      </c>
      <c r="S206" s="28" t="str">
        <f>INDEX(calculate_field!$F$2:$F$4, MATCH(H206, calculate_field!$E$2:$E$4, 1))</f>
        <v>Cold</v>
      </c>
      <c r="T206" s="33">
        <f t="shared" si="26"/>
        <v>49.666666666666664</v>
      </c>
      <c r="U206" s="33">
        <f t="shared" si="27"/>
        <v>54.61618383072809</v>
      </c>
      <c r="V206" s="33">
        <f t="shared" si="28"/>
        <v>1.6817390489472932</v>
      </c>
      <c r="W206" s="12" t="b">
        <f t="shared" si="29"/>
        <v>0</v>
      </c>
    </row>
    <row r="207" spans="1:23">
      <c r="A207" s="26">
        <v>206</v>
      </c>
      <c r="B207" s="27">
        <v>40552</v>
      </c>
      <c r="C207" s="12">
        <v>1</v>
      </c>
      <c r="D207" s="12">
        <v>20</v>
      </c>
      <c r="E207" s="12" t="b">
        <v>0</v>
      </c>
      <c r="F207" s="12">
        <v>0</v>
      </c>
      <c r="G207" s="12">
        <v>1</v>
      </c>
      <c r="H207" s="12">
        <v>0.14000000000000001</v>
      </c>
      <c r="I207" s="12">
        <v>0.1212</v>
      </c>
      <c r="J207" s="12">
        <v>0.46</v>
      </c>
      <c r="K207" s="12">
        <v>0.25369999999999998</v>
      </c>
      <c r="L207" s="12">
        <v>0</v>
      </c>
      <c r="M207" s="12">
        <v>38</v>
      </c>
      <c r="N207" s="12">
        <v>38</v>
      </c>
      <c r="O207" s="12" t="str">
        <f>VLOOKUP(G207,calculate_field!$B$2:$C$5,2,FALSE)</f>
        <v>Clear/Partly Cloudy</v>
      </c>
      <c r="P207" s="12" t="str">
        <f t="shared" si="23"/>
        <v>Sunday</v>
      </c>
      <c r="Q207" s="12" t="str">
        <f t="shared" si="24"/>
        <v>Weekend</v>
      </c>
      <c r="R207" s="12" t="str">
        <f t="shared" si="25"/>
        <v>Evening</v>
      </c>
      <c r="S207" s="28" t="str">
        <f>INDEX(calculate_field!$F$2:$F$4, MATCH(H207, calculate_field!$E$2:$E$4, 1))</f>
        <v>Cold</v>
      </c>
      <c r="T207" s="33">
        <f t="shared" si="26"/>
        <v>51.916666666666664</v>
      </c>
      <c r="U207" s="33">
        <f t="shared" si="27"/>
        <v>55.350988103718358</v>
      </c>
      <c r="V207" s="33">
        <f t="shared" si="28"/>
        <v>0.69440397953567956</v>
      </c>
      <c r="W207" s="12" t="b">
        <f t="shared" si="29"/>
        <v>0</v>
      </c>
    </row>
    <row r="208" spans="1:23">
      <c r="A208" s="26">
        <v>207</v>
      </c>
      <c r="B208" s="27">
        <v>40552</v>
      </c>
      <c r="C208" s="12">
        <v>1</v>
      </c>
      <c r="D208" s="12">
        <v>21</v>
      </c>
      <c r="E208" s="12" t="b">
        <v>0</v>
      </c>
      <c r="F208" s="12">
        <v>0</v>
      </c>
      <c r="G208" s="12">
        <v>1</v>
      </c>
      <c r="H208" s="12">
        <v>0.14000000000000001</v>
      </c>
      <c r="I208" s="12">
        <v>0.1061</v>
      </c>
      <c r="J208" s="12">
        <v>0.46</v>
      </c>
      <c r="K208" s="12">
        <v>0.41789999999999999</v>
      </c>
      <c r="L208" s="12">
        <v>1</v>
      </c>
      <c r="M208" s="12">
        <v>19</v>
      </c>
      <c r="N208" s="12">
        <v>20</v>
      </c>
      <c r="O208" s="12" t="str">
        <f>VLOOKUP(G208,calculate_field!$B$2:$C$5,2,FALSE)</f>
        <v>Clear/Partly Cloudy</v>
      </c>
      <c r="P208" s="12" t="str">
        <f t="shared" si="23"/>
        <v>Sunday</v>
      </c>
      <c r="Q208" s="12" t="str">
        <f t="shared" si="24"/>
        <v>Weekend</v>
      </c>
      <c r="R208" s="12" t="str">
        <f t="shared" si="25"/>
        <v>Night</v>
      </c>
      <c r="S208" s="28" t="str">
        <f>INDEX(calculate_field!$F$2:$F$4, MATCH(H208, calculate_field!$E$2:$E$4, 1))</f>
        <v>Cold</v>
      </c>
      <c r="T208" s="33">
        <f t="shared" si="26"/>
        <v>53.416666666666664</v>
      </c>
      <c r="U208" s="33">
        <f t="shared" si="27"/>
        <v>55.445168109283124</v>
      </c>
      <c r="V208" s="33">
        <f t="shared" si="28"/>
        <v>0.33758240140043894</v>
      </c>
      <c r="W208" s="12" t="b">
        <f t="shared" si="29"/>
        <v>0</v>
      </c>
    </row>
    <row r="209" spans="1:23">
      <c r="A209" s="26">
        <v>208</v>
      </c>
      <c r="B209" s="27">
        <v>40552</v>
      </c>
      <c r="C209" s="12">
        <v>1</v>
      </c>
      <c r="D209" s="12">
        <v>22</v>
      </c>
      <c r="E209" s="12" t="b">
        <v>0</v>
      </c>
      <c r="F209" s="12">
        <v>0</v>
      </c>
      <c r="G209" s="12">
        <v>1</v>
      </c>
      <c r="H209" s="12">
        <v>0.14000000000000001</v>
      </c>
      <c r="I209" s="12">
        <v>0.1212</v>
      </c>
      <c r="J209" s="12">
        <v>0.46</v>
      </c>
      <c r="K209" s="12">
        <v>0.29849999999999999</v>
      </c>
      <c r="L209" s="12">
        <v>5</v>
      </c>
      <c r="M209" s="12">
        <v>10</v>
      </c>
      <c r="N209" s="12">
        <v>15</v>
      </c>
      <c r="O209" s="12" t="str">
        <f>VLOOKUP(G209,calculate_field!$B$2:$C$5,2,FALSE)</f>
        <v>Clear/Partly Cloudy</v>
      </c>
      <c r="P209" s="12" t="str">
        <f t="shared" si="23"/>
        <v>Sunday</v>
      </c>
      <c r="Q209" s="12" t="str">
        <f t="shared" si="24"/>
        <v>Weekend</v>
      </c>
      <c r="R209" s="12" t="str">
        <f t="shared" si="25"/>
        <v>Night</v>
      </c>
      <c r="S209" s="28" t="str">
        <f>INDEX(calculate_field!$F$2:$F$4, MATCH(H209, calculate_field!$E$2:$E$4, 1))</f>
        <v>Cold</v>
      </c>
      <c r="T209" s="33">
        <f t="shared" si="26"/>
        <v>54.166666666666664</v>
      </c>
      <c r="U209" s="33">
        <f t="shared" si="27"/>
        <v>55.094122362014076</v>
      </c>
      <c r="V209" s="33">
        <f t="shared" si="28"/>
        <v>-0.34051623404806719</v>
      </c>
      <c r="W209" s="12" t="b">
        <f t="shared" si="29"/>
        <v>0</v>
      </c>
    </row>
    <row r="210" spans="1:23">
      <c r="A210" s="26">
        <v>209</v>
      </c>
      <c r="B210" s="27">
        <v>40552</v>
      </c>
      <c r="C210" s="12">
        <v>1</v>
      </c>
      <c r="D210" s="12">
        <v>23</v>
      </c>
      <c r="E210" s="12" t="b">
        <v>0</v>
      </c>
      <c r="F210" s="12">
        <v>0</v>
      </c>
      <c r="G210" s="12">
        <v>1</v>
      </c>
      <c r="H210" s="12">
        <v>0.12</v>
      </c>
      <c r="I210" s="12">
        <v>0.13639999999999999</v>
      </c>
      <c r="J210" s="12">
        <v>0.5</v>
      </c>
      <c r="K210" s="12">
        <v>0.19400000000000001</v>
      </c>
      <c r="L210" s="12">
        <v>0</v>
      </c>
      <c r="M210" s="12">
        <v>6</v>
      </c>
      <c r="N210" s="12">
        <v>6</v>
      </c>
      <c r="O210" s="12" t="str">
        <f>VLOOKUP(G210,calculate_field!$B$2:$C$5,2,FALSE)</f>
        <v>Clear/Partly Cloudy</v>
      </c>
      <c r="P210" s="12" t="str">
        <f t="shared" si="23"/>
        <v>Sunday</v>
      </c>
      <c r="Q210" s="12" t="str">
        <f t="shared" si="24"/>
        <v>Weekend</v>
      </c>
      <c r="R210" s="12" t="str">
        <f t="shared" si="25"/>
        <v>Night</v>
      </c>
      <c r="S210" s="28" t="str">
        <f>INDEX(calculate_field!$F$2:$F$4, MATCH(H210, calculate_field!$E$2:$E$4, 1))</f>
        <v>Cold</v>
      </c>
      <c r="T210" s="33">
        <f t="shared" si="26"/>
        <v>54.541666666666664</v>
      </c>
      <c r="U210" s="33">
        <f t="shared" si="27"/>
        <v>54.846013026723611</v>
      </c>
      <c r="V210" s="33">
        <f t="shared" si="28"/>
        <v>-0.59743551343314505</v>
      </c>
      <c r="W210" s="12" t="b">
        <f t="shared" si="29"/>
        <v>0</v>
      </c>
    </row>
    <row r="211" spans="1:23">
      <c r="A211" s="26">
        <v>210</v>
      </c>
      <c r="B211" s="27">
        <v>40553</v>
      </c>
      <c r="C211" s="12">
        <v>1</v>
      </c>
      <c r="D211" s="12">
        <v>0</v>
      </c>
      <c r="E211" s="12" t="b">
        <v>0</v>
      </c>
      <c r="F211" s="12">
        <v>1</v>
      </c>
      <c r="G211" s="12">
        <v>1</v>
      </c>
      <c r="H211" s="12">
        <v>0.12</v>
      </c>
      <c r="I211" s="12">
        <v>0.1212</v>
      </c>
      <c r="J211" s="12">
        <v>0.5</v>
      </c>
      <c r="K211" s="12">
        <v>0.28360000000000002</v>
      </c>
      <c r="L211" s="12">
        <v>2</v>
      </c>
      <c r="M211" s="12">
        <v>3</v>
      </c>
      <c r="N211" s="12">
        <v>5</v>
      </c>
      <c r="O211" s="12" t="str">
        <f>VLOOKUP(G211,calculate_field!$B$2:$C$5,2,FALSE)</f>
        <v>Clear/Partly Cloudy</v>
      </c>
      <c r="P211" s="12" t="str">
        <f t="shared" si="23"/>
        <v>Monday</v>
      </c>
      <c r="Q211" s="12" t="str">
        <f t="shared" si="24"/>
        <v>Weekday</v>
      </c>
      <c r="R211" s="12" t="str">
        <f t="shared" si="25"/>
        <v>Night</v>
      </c>
      <c r="S211" s="28" t="str">
        <f>INDEX(calculate_field!$F$2:$F$4, MATCH(H211, calculate_field!$E$2:$E$4, 1))</f>
        <v>Cold</v>
      </c>
      <c r="T211" s="33">
        <f t="shared" si="26"/>
        <v>55.041666666666664</v>
      </c>
      <c r="U211" s="33">
        <f t="shared" si="27"/>
        <v>54.437422523614146</v>
      </c>
      <c r="V211" s="33">
        <f t="shared" si="28"/>
        <v>-0.69391399395688647</v>
      </c>
      <c r="W211" s="12" t="b">
        <f t="shared" si="29"/>
        <v>1</v>
      </c>
    </row>
    <row r="212" spans="1:23">
      <c r="A212" s="26">
        <v>211</v>
      </c>
      <c r="B212" s="27">
        <v>40553</v>
      </c>
      <c r="C212" s="12">
        <v>1</v>
      </c>
      <c r="D212" s="12">
        <v>1</v>
      </c>
      <c r="E212" s="12" t="b">
        <v>0</v>
      </c>
      <c r="F212" s="12">
        <v>1</v>
      </c>
      <c r="G212" s="12">
        <v>1</v>
      </c>
      <c r="H212" s="12">
        <v>0.12</v>
      </c>
      <c r="I212" s="12">
        <v>0.1212</v>
      </c>
      <c r="J212" s="12">
        <v>0.5</v>
      </c>
      <c r="K212" s="12">
        <v>0.28360000000000002</v>
      </c>
      <c r="L212" s="12">
        <v>1</v>
      </c>
      <c r="M212" s="12">
        <v>0</v>
      </c>
      <c r="N212" s="12">
        <v>1</v>
      </c>
      <c r="O212" s="12" t="str">
        <f>VLOOKUP(G212,calculate_field!$B$2:$C$5,2,FALSE)</f>
        <v>Clear/Partly Cloudy</v>
      </c>
      <c r="P212" s="12" t="str">
        <f t="shared" si="23"/>
        <v>Monday</v>
      </c>
      <c r="Q212" s="12" t="str">
        <f t="shared" si="24"/>
        <v>Weekday</v>
      </c>
      <c r="R212" s="12" t="str">
        <f t="shared" si="25"/>
        <v>Night</v>
      </c>
      <c r="S212" s="28" t="str">
        <f>INDEX(calculate_field!$F$2:$F$4, MATCH(H212, calculate_field!$E$2:$E$4, 1))</f>
        <v>Cold</v>
      </c>
      <c r="T212" s="33">
        <f t="shared" si="26"/>
        <v>55.333333333333336</v>
      </c>
      <c r="U212" s="33">
        <f t="shared" si="27"/>
        <v>54.175774039266138</v>
      </c>
      <c r="V212" s="33">
        <f t="shared" si="28"/>
        <v>-0.79444777560308277</v>
      </c>
      <c r="W212" s="12" t="b">
        <f t="shared" si="29"/>
        <v>0</v>
      </c>
    </row>
    <row r="213" spans="1:23">
      <c r="A213" s="26">
        <v>212</v>
      </c>
      <c r="B213" s="27">
        <v>40553</v>
      </c>
      <c r="C213" s="12">
        <v>1</v>
      </c>
      <c r="D213" s="12">
        <v>2</v>
      </c>
      <c r="E213" s="12" t="b">
        <v>0</v>
      </c>
      <c r="F213" s="12">
        <v>1</v>
      </c>
      <c r="G213" s="12">
        <v>1</v>
      </c>
      <c r="H213" s="12">
        <v>0.12</v>
      </c>
      <c r="I213" s="12">
        <v>0.1212</v>
      </c>
      <c r="J213" s="12">
        <v>0.5</v>
      </c>
      <c r="K213" s="12">
        <v>0.22389999999999999</v>
      </c>
      <c r="L213" s="12">
        <v>0</v>
      </c>
      <c r="M213" s="12">
        <v>3</v>
      </c>
      <c r="N213" s="12">
        <v>3</v>
      </c>
      <c r="O213" s="12" t="str">
        <f>VLOOKUP(G213,calculate_field!$B$2:$C$5,2,FALSE)</f>
        <v>Clear/Partly Cloudy</v>
      </c>
      <c r="P213" s="12" t="str">
        <f t="shared" si="23"/>
        <v>Monday</v>
      </c>
      <c r="Q213" s="12" t="str">
        <f t="shared" si="24"/>
        <v>Weekday</v>
      </c>
      <c r="R213" s="12" t="str">
        <f t="shared" si="25"/>
        <v>Night</v>
      </c>
      <c r="S213" s="28" t="str">
        <f>INDEX(calculate_field!$F$2:$F$4, MATCH(H213, calculate_field!$E$2:$E$4, 1))</f>
        <v>Cold</v>
      </c>
      <c r="T213" s="33">
        <f t="shared" si="26"/>
        <v>55.416666666666664</v>
      </c>
      <c r="U213" s="33">
        <f t="shared" si="27"/>
        <v>54.090034979263706</v>
      </c>
      <c r="V213" s="33">
        <f t="shared" si="28"/>
        <v>-0.95145021216008085</v>
      </c>
      <c r="W213" s="12" t="b">
        <f t="shared" si="29"/>
        <v>0</v>
      </c>
    </row>
    <row r="214" spans="1:23">
      <c r="A214" s="26">
        <v>213</v>
      </c>
      <c r="B214" s="27">
        <v>40553</v>
      </c>
      <c r="C214" s="12">
        <v>1</v>
      </c>
      <c r="D214" s="12">
        <v>3</v>
      </c>
      <c r="E214" s="12" t="b">
        <v>0</v>
      </c>
      <c r="F214" s="12">
        <v>1</v>
      </c>
      <c r="G214" s="12">
        <v>1</v>
      </c>
      <c r="H214" s="12">
        <v>0.12</v>
      </c>
      <c r="I214" s="12">
        <v>0.1212</v>
      </c>
      <c r="J214" s="12">
        <v>0.5</v>
      </c>
      <c r="K214" s="12">
        <v>0.22389999999999999</v>
      </c>
      <c r="L214" s="12">
        <v>0</v>
      </c>
      <c r="M214" s="12">
        <v>1</v>
      </c>
      <c r="N214" s="12">
        <v>1</v>
      </c>
      <c r="O214" s="12" t="str">
        <f>VLOOKUP(G214,calculate_field!$B$2:$C$5,2,FALSE)</f>
        <v>Clear/Partly Cloudy</v>
      </c>
      <c r="P214" s="12" t="str">
        <f t="shared" si="23"/>
        <v>Monday</v>
      </c>
      <c r="Q214" s="12" t="str">
        <f t="shared" si="24"/>
        <v>Weekday</v>
      </c>
      <c r="R214" s="12" t="str">
        <f t="shared" si="25"/>
        <v>Night</v>
      </c>
      <c r="S214" s="28" t="str">
        <f>INDEX(calculate_field!$F$2:$F$4, MATCH(H214, calculate_field!$E$2:$E$4, 1))</f>
        <v>Cold</v>
      </c>
      <c r="T214" s="33">
        <f t="shared" si="26"/>
        <v>55.416666666666664</v>
      </c>
      <c r="U214" s="33">
        <f t="shared" si="27"/>
        <v>54.090034979263706</v>
      </c>
      <c r="V214" s="33">
        <f t="shared" si="28"/>
        <v>-0.95452886833660866</v>
      </c>
      <c r="W214" s="12" t="b">
        <f t="shared" si="29"/>
        <v>0</v>
      </c>
    </row>
    <row r="215" spans="1:23">
      <c r="A215" s="26">
        <v>214</v>
      </c>
      <c r="B215" s="27">
        <v>40553</v>
      </c>
      <c r="C215" s="12">
        <v>1</v>
      </c>
      <c r="D215" s="12">
        <v>4</v>
      </c>
      <c r="E215" s="12" t="b">
        <v>0</v>
      </c>
      <c r="F215" s="12">
        <v>1</v>
      </c>
      <c r="G215" s="12">
        <v>1</v>
      </c>
      <c r="H215" s="12">
        <v>0.1</v>
      </c>
      <c r="I215" s="12">
        <v>0.1212</v>
      </c>
      <c r="J215" s="12">
        <v>0.54</v>
      </c>
      <c r="K215" s="12">
        <v>0.1343</v>
      </c>
      <c r="L215" s="12">
        <v>1</v>
      </c>
      <c r="M215" s="12">
        <v>2</v>
      </c>
      <c r="N215" s="12">
        <v>3</v>
      </c>
      <c r="O215" s="12" t="str">
        <f>VLOOKUP(G215,calculate_field!$B$2:$C$5,2,FALSE)</f>
        <v>Clear/Partly Cloudy</v>
      </c>
      <c r="P215" s="12" t="str">
        <f t="shared" si="23"/>
        <v>Monday</v>
      </c>
      <c r="Q215" s="12" t="str">
        <f t="shared" si="24"/>
        <v>Weekday</v>
      </c>
      <c r="R215" s="12" t="str">
        <f t="shared" si="25"/>
        <v>Night</v>
      </c>
      <c r="S215" s="28" t="str">
        <f>INDEX(calculate_field!$F$2:$F$4, MATCH(H215, calculate_field!$E$2:$E$4, 1))</f>
        <v>Cold</v>
      </c>
      <c r="T215" s="33">
        <f t="shared" si="26"/>
        <v>55.625</v>
      </c>
      <c r="U215" s="33">
        <f t="shared" si="27"/>
        <v>53.880554288488739</v>
      </c>
      <c r="V215" s="33">
        <f t="shared" si="28"/>
        <v>-0.91572559367645934</v>
      </c>
      <c r="W215" s="12" t="b">
        <f t="shared" si="29"/>
        <v>0</v>
      </c>
    </row>
    <row r="216" spans="1:23">
      <c r="A216" s="26">
        <v>215</v>
      </c>
      <c r="B216" s="27">
        <v>40553</v>
      </c>
      <c r="C216" s="12">
        <v>1</v>
      </c>
      <c r="D216" s="12">
        <v>5</v>
      </c>
      <c r="E216" s="12" t="b">
        <v>0</v>
      </c>
      <c r="F216" s="12">
        <v>1</v>
      </c>
      <c r="G216" s="12">
        <v>1</v>
      </c>
      <c r="H216" s="12">
        <v>0.1</v>
      </c>
      <c r="I216" s="12">
        <v>0.1061</v>
      </c>
      <c r="J216" s="12">
        <v>0.54</v>
      </c>
      <c r="K216" s="12">
        <v>0.25369999999999998</v>
      </c>
      <c r="L216" s="12">
        <v>0</v>
      </c>
      <c r="M216" s="12">
        <v>3</v>
      </c>
      <c r="N216" s="12">
        <v>3</v>
      </c>
      <c r="O216" s="12" t="str">
        <f>VLOOKUP(G216,calculate_field!$B$2:$C$5,2,FALSE)</f>
        <v>Clear/Partly Cloudy</v>
      </c>
      <c r="P216" s="12" t="str">
        <f t="shared" si="23"/>
        <v>Monday</v>
      </c>
      <c r="Q216" s="12" t="str">
        <f t="shared" si="24"/>
        <v>Weekday</v>
      </c>
      <c r="R216" s="12" t="str">
        <f t="shared" si="25"/>
        <v>Night</v>
      </c>
      <c r="S216" s="28" t="str">
        <f>INDEX(calculate_field!$F$2:$F$4, MATCH(H216, calculate_field!$E$2:$E$4, 1))</f>
        <v>Cold</v>
      </c>
      <c r="T216" s="33">
        <f t="shared" si="26"/>
        <v>56.625</v>
      </c>
      <c r="U216" s="33">
        <f t="shared" si="27"/>
        <v>53.078131499500444</v>
      </c>
      <c r="V216" s="33">
        <f t="shared" si="28"/>
        <v>-0.55887092677217665</v>
      </c>
      <c r="W216" s="12" t="b">
        <f t="shared" si="29"/>
        <v>0</v>
      </c>
    </row>
    <row r="217" spans="1:23">
      <c r="A217" s="26">
        <v>216</v>
      </c>
      <c r="B217" s="27">
        <v>40553</v>
      </c>
      <c r="C217" s="12">
        <v>1</v>
      </c>
      <c r="D217" s="12">
        <v>6</v>
      </c>
      <c r="E217" s="12" t="b">
        <v>0</v>
      </c>
      <c r="F217" s="12">
        <v>1</v>
      </c>
      <c r="G217" s="12">
        <v>1</v>
      </c>
      <c r="H217" s="12">
        <v>0.12</v>
      </c>
      <c r="I217" s="12">
        <v>0.1212</v>
      </c>
      <c r="J217" s="12">
        <v>0.5</v>
      </c>
      <c r="K217" s="12">
        <v>0.28360000000000002</v>
      </c>
      <c r="L217" s="12">
        <v>0</v>
      </c>
      <c r="M217" s="12">
        <v>31</v>
      </c>
      <c r="N217" s="12">
        <v>31</v>
      </c>
      <c r="O217" s="12" t="str">
        <f>VLOOKUP(G217,calculate_field!$B$2:$C$5,2,FALSE)</f>
        <v>Clear/Partly Cloudy</v>
      </c>
      <c r="P217" s="12" t="str">
        <f t="shared" si="23"/>
        <v>Monday</v>
      </c>
      <c r="Q217" s="12" t="str">
        <f t="shared" si="24"/>
        <v>Weekday</v>
      </c>
      <c r="R217" s="12" t="str">
        <f t="shared" si="25"/>
        <v>Morning</v>
      </c>
      <c r="S217" s="28" t="str">
        <f>INDEX(calculate_field!$F$2:$F$4, MATCH(H217, calculate_field!$E$2:$E$4, 1))</f>
        <v>Cold</v>
      </c>
      <c r="T217" s="33">
        <f t="shared" si="26"/>
        <v>60.625</v>
      </c>
      <c r="U217" s="33">
        <f t="shared" si="27"/>
        <v>52.475097613679743</v>
      </c>
      <c r="V217" s="33">
        <f t="shared" si="28"/>
        <v>0.75292936468199656</v>
      </c>
      <c r="W217" s="12" t="b">
        <f t="shared" si="29"/>
        <v>0</v>
      </c>
    </row>
    <row r="218" spans="1:23">
      <c r="A218" s="26">
        <v>217</v>
      </c>
      <c r="B218" s="27">
        <v>40553</v>
      </c>
      <c r="C218" s="12">
        <v>1</v>
      </c>
      <c r="D218" s="12">
        <v>7</v>
      </c>
      <c r="E218" s="12" t="b">
        <v>0</v>
      </c>
      <c r="F218" s="12">
        <v>1</v>
      </c>
      <c r="G218" s="12">
        <v>1</v>
      </c>
      <c r="H218" s="12">
        <v>0.12</v>
      </c>
      <c r="I218" s="12">
        <v>0.1212</v>
      </c>
      <c r="J218" s="12">
        <v>0.5</v>
      </c>
      <c r="K218" s="12">
        <v>0.22389999999999999</v>
      </c>
      <c r="L218" s="12">
        <v>2</v>
      </c>
      <c r="M218" s="12">
        <v>75</v>
      </c>
      <c r="N218" s="12">
        <v>77</v>
      </c>
      <c r="O218" s="12" t="str">
        <f>VLOOKUP(G218,calculate_field!$B$2:$C$5,2,FALSE)</f>
        <v>Clear/Partly Cloudy</v>
      </c>
      <c r="P218" s="12" t="str">
        <f t="shared" si="23"/>
        <v>Monday</v>
      </c>
      <c r="Q218" s="12" t="str">
        <f t="shared" si="24"/>
        <v>Weekday</v>
      </c>
      <c r="R218" s="12" t="str">
        <f t="shared" si="25"/>
        <v>Morning</v>
      </c>
      <c r="S218" s="28" t="str">
        <f>INDEX(calculate_field!$F$2:$F$4, MATCH(H218, calculate_field!$E$2:$E$4, 1))</f>
        <v>Cold</v>
      </c>
      <c r="T218" s="33">
        <f t="shared" si="26"/>
        <v>68.375</v>
      </c>
      <c r="U218" s="33">
        <f t="shared" si="27"/>
        <v>60.958868884290936</v>
      </c>
      <c r="V218" s="33">
        <f t="shared" si="28"/>
        <v>3.0457519553742345</v>
      </c>
      <c r="W218" s="12" t="b">
        <f t="shared" si="29"/>
        <v>0</v>
      </c>
    </row>
    <row r="219" spans="1:23">
      <c r="A219" s="26">
        <v>218</v>
      </c>
      <c r="B219" s="27">
        <v>40553</v>
      </c>
      <c r="C219" s="12">
        <v>1</v>
      </c>
      <c r="D219" s="12">
        <v>8</v>
      </c>
      <c r="E219" s="12" t="b">
        <v>0</v>
      </c>
      <c r="F219" s="12">
        <v>1</v>
      </c>
      <c r="G219" s="12">
        <v>2</v>
      </c>
      <c r="H219" s="12">
        <v>0.12</v>
      </c>
      <c r="I219" s="12">
        <v>0.1212</v>
      </c>
      <c r="J219" s="12">
        <v>0.5</v>
      </c>
      <c r="K219" s="12">
        <v>0.28360000000000002</v>
      </c>
      <c r="L219" s="12">
        <v>4</v>
      </c>
      <c r="M219" s="12">
        <v>184</v>
      </c>
      <c r="N219" s="12">
        <v>188</v>
      </c>
      <c r="O219" s="12" t="str">
        <f>VLOOKUP(G219,calculate_field!$B$2:$C$5,2,FALSE)</f>
        <v xml:space="preserve">Mist / cloudy </v>
      </c>
      <c r="P219" s="12" t="str">
        <f t="shared" si="23"/>
        <v>Monday</v>
      </c>
      <c r="Q219" s="12" t="str">
        <f t="shared" si="24"/>
        <v>Weekday</v>
      </c>
      <c r="R219" s="12" t="str">
        <f t="shared" si="25"/>
        <v>Morning</v>
      </c>
      <c r="S219" s="28" t="str">
        <f>INDEX(calculate_field!$F$2:$F$4, MATCH(H219, calculate_field!$E$2:$E$4, 1))</f>
        <v>Cold</v>
      </c>
      <c r="T219" s="33">
        <f t="shared" si="26"/>
        <v>70.583333333333329</v>
      </c>
      <c r="U219" s="33">
        <f t="shared" si="27"/>
        <v>62.231626704745878</v>
      </c>
      <c r="V219" s="33">
        <f t="shared" si="28"/>
        <v>1.9846011158604842</v>
      </c>
      <c r="W219" s="12" t="b">
        <f t="shared" si="29"/>
        <v>0</v>
      </c>
    </row>
    <row r="220" spans="1:23">
      <c r="A220" s="26">
        <v>219</v>
      </c>
      <c r="B220" s="27">
        <v>40553</v>
      </c>
      <c r="C220" s="12">
        <v>1</v>
      </c>
      <c r="D220" s="12">
        <v>9</v>
      </c>
      <c r="E220" s="12" t="b">
        <v>0</v>
      </c>
      <c r="F220" s="12">
        <v>1</v>
      </c>
      <c r="G220" s="12">
        <v>2</v>
      </c>
      <c r="H220" s="12">
        <v>0.14000000000000001</v>
      </c>
      <c r="I220" s="12">
        <v>0.1212</v>
      </c>
      <c r="J220" s="12">
        <v>0.5</v>
      </c>
      <c r="K220" s="12">
        <v>0.25369999999999998</v>
      </c>
      <c r="L220" s="12">
        <v>2</v>
      </c>
      <c r="M220" s="12">
        <v>92</v>
      </c>
      <c r="N220" s="12">
        <v>94</v>
      </c>
      <c r="O220" s="12" t="str">
        <f>VLOOKUP(G220,calculate_field!$B$2:$C$5,2,FALSE)</f>
        <v xml:space="preserve">Mist / cloudy </v>
      </c>
      <c r="P220" s="12" t="str">
        <f t="shared" si="23"/>
        <v>Monday</v>
      </c>
      <c r="Q220" s="12" t="str">
        <f t="shared" si="24"/>
        <v>Weekday</v>
      </c>
      <c r="R220" s="12" t="str">
        <f t="shared" si="25"/>
        <v>Morning</v>
      </c>
      <c r="S220" s="28" t="str">
        <f>INDEX(calculate_field!$F$2:$F$4, MATCH(H220, calculate_field!$E$2:$E$4, 1))</f>
        <v>Cold</v>
      </c>
      <c r="T220" s="33">
        <f t="shared" si="26"/>
        <v>65</v>
      </c>
      <c r="U220" s="33">
        <f t="shared" si="27"/>
        <v>57.033171126070592</v>
      </c>
      <c r="V220" s="33">
        <f t="shared" si="28"/>
        <v>0.18286474693234536</v>
      </c>
      <c r="W220" s="12" t="b">
        <f t="shared" si="29"/>
        <v>0</v>
      </c>
    </row>
    <row r="221" spans="1:23">
      <c r="A221" s="26">
        <v>220</v>
      </c>
      <c r="B221" s="27">
        <v>40553</v>
      </c>
      <c r="C221" s="12">
        <v>1</v>
      </c>
      <c r="D221" s="12">
        <v>10</v>
      </c>
      <c r="E221" s="12" t="b">
        <v>0</v>
      </c>
      <c r="F221" s="12">
        <v>1</v>
      </c>
      <c r="G221" s="12">
        <v>2</v>
      </c>
      <c r="H221" s="12">
        <v>0.14000000000000001</v>
      </c>
      <c r="I221" s="12">
        <v>0.1212</v>
      </c>
      <c r="J221" s="12">
        <v>0.5</v>
      </c>
      <c r="K221" s="12">
        <v>0.29849999999999999</v>
      </c>
      <c r="L221" s="12">
        <v>0</v>
      </c>
      <c r="M221" s="12">
        <v>31</v>
      </c>
      <c r="N221" s="12">
        <v>31</v>
      </c>
      <c r="O221" s="12" t="str">
        <f>VLOOKUP(G221,calculate_field!$B$2:$C$5,2,FALSE)</f>
        <v xml:space="preserve">Mist / cloudy </v>
      </c>
      <c r="P221" s="12" t="str">
        <f t="shared" si="23"/>
        <v>Monday</v>
      </c>
      <c r="Q221" s="12" t="str">
        <f t="shared" si="24"/>
        <v>Weekday</v>
      </c>
      <c r="R221" s="12" t="str">
        <f t="shared" si="25"/>
        <v>Morning</v>
      </c>
      <c r="S221" s="28" t="str">
        <f>INDEX(calculate_field!$F$2:$F$4, MATCH(H221, calculate_field!$E$2:$E$4, 1))</f>
        <v>Cold</v>
      </c>
      <c r="T221" s="33">
        <f t="shared" si="26"/>
        <v>62.541666666666664</v>
      </c>
      <c r="U221" s="33">
        <f t="shared" si="27"/>
        <v>57.000365495904205</v>
      </c>
      <c r="V221" s="33">
        <f t="shared" si="28"/>
        <v>-0.3459722154929491</v>
      </c>
      <c r="W221" s="12" t="b">
        <f t="shared" si="29"/>
        <v>0</v>
      </c>
    </row>
    <row r="222" spans="1:23">
      <c r="A222" s="26">
        <v>221</v>
      </c>
      <c r="B222" s="27">
        <v>40553</v>
      </c>
      <c r="C222" s="12">
        <v>1</v>
      </c>
      <c r="D222" s="12">
        <v>11</v>
      </c>
      <c r="E222" s="12" t="b">
        <v>0</v>
      </c>
      <c r="F222" s="12">
        <v>1</v>
      </c>
      <c r="G222" s="12">
        <v>2</v>
      </c>
      <c r="H222" s="12">
        <v>0.16</v>
      </c>
      <c r="I222" s="12">
        <v>0.13639999999999999</v>
      </c>
      <c r="J222" s="12">
        <v>0.47</v>
      </c>
      <c r="K222" s="12">
        <v>0.28360000000000002</v>
      </c>
      <c r="L222" s="12">
        <v>2</v>
      </c>
      <c r="M222" s="12">
        <v>28</v>
      </c>
      <c r="N222" s="12">
        <v>30</v>
      </c>
      <c r="O222" s="12" t="str">
        <f>VLOOKUP(G222,calculate_field!$B$2:$C$5,2,FALSE)</f>
        <v xml:space="preserve">Mist / cloudy </v>
      </c>
      <c r="P222" s="12" t="str">
        <f t="shared" si="23"/>
        <v>Monday</v>
      </c>
      <c r="Q222" s="12" t="str">
        <f t="shared" si="24"/>
        <v>Weekday</v>
      </c>
      <c r="R222" s="12" t="str">
        <f t="shared" si="25"/>
        <v>Morning</v>
      </c>
      <c r="S222" s="28" t="str">
        <f>INDEX(calculate_field!$F$2:$F$4, MATCH(H222, calculate_field!$E$2:$E$4, 1))</f>
        <v>Cold</v>
      </c>
      <c r="T222" s="33">
        <f t="shared" si="26"/>
        <v>63.625</v>
      </c>
      <c r="U222" s="33">
        <f t="shared" si="27"/>
        <v>56.620638808922273</v>
      </c>
      <c r="V222" s="33">
        <f t="shared" si="28"/>
        <v>0.24945022807295639</v>
      </c>
      <c r="W222" s="12" t="b">
        <f t="shared" si="29"/>
        <v>0</v>
      </c>
    </row>
    <row r="223" spans="1:23">
      <c r="A223" s="26">
        <v>222</v>
      </c>
      <c r="B223" s="27">
        <v>40553</v>
      </c>
      <c r="C223" s="12">
        <v>1</v>
      </c>
      <c r="D223" s="12">
        <v>12</v>
      </c>
      <c r="E223" s="12" t="b">
        <v>0</v>
      </c>
      <c r="F223" s="12">
        <v>1</v>
      </c>
      <c r="G223" s="12">
        <v>2</v>
      </c>
      <c r="H223" s="12">
        <v>0.2</v>
      </c>
      <c r="I223" s="12">
        <v>0.18179999999999999</v>
      </c>
      <c r="J223" s="12">
        <v>0.4</v>
      </c>
      <c r="K223" s="12">
        <v>0.28360000000000002</v>
      </c>
      <c r="L223" s="12">
        <v>5</v>
      </c>
      <c r="M223" s="12">
        <v>47</v>
      </c>
      <c r="N223" s="12">
        <v>52</v>
      </c>
      <c r="O223" s="12" t="str">
        <f>VLOOKUP(G223,calculate_field!$B$2:$C$5,2,FALSE)</f>
        <v xml:space="preserve">Mist / cloudy </v>
      </c>
      <c r="P223" s="12" t="str">
        <f t="shared" si="23"/>
        <v>Monday</v>
      </c>
      <c r="Q223" s="12" t="str">
        <f t="shared" si="24"/>
        <v>Weekday</v>
      </c>
      <c r="R223" s="12" t="str">
        <f t="shared" si="25"/>
        <v>Afternoon</v>
      </c>
      <c r="S223" s="28" t="str">
        <f>INDEX(calculate_field!$F$2:$F$4, MATCH(H223, calculate_field!$E$2:$E$4, 1))</f>
        <v>Mild</v>
      </c>
      <c r="T223" s="33">
        <f t="shared" si="26"/>
        <v>64.541666666666671</v>
      </c>
      <c r="U223" s="33">
        <f t="shared" si="27"/>
        <v>56.229327924496658</v>
      </c>
      <c r="V223" s="33">
        <f t="shared" si="28"/>
        <v>0.12545537491431169</v>
      </c>
      <c r="W223" s="12" t="b">
        <f t="shared" si="29"/>
        <v>0</v>
      </c>
    </row>
    <row r="224" spans="1:23">
      <c r="A224" s="26">
        <v>223</v>
      </c>
      <c r="B224" s="27">
        <v>40553</v>
      </c>
      <c r="C224" s="12">
        <v>1</v>
      </c>
      <c r="D224" s="12">
        <v>13</v>
      </c>
      <c r="E224" s="12" t="b">
        <v>0</v>
      </c>
      <c r="F224" s="12">
        <v>1</v>
      </c>
      <c r="G224" s="12">
        <v>2</v>
      </c>
      <c r="H224" s="12">
        <v>0.2</v>
      </c>
      <c r="I224" s="12">
        <v>0.18179999999999999</v>
      </c>
      <c r="J224" s="12">
        <v>0.4</v>
      </c>
      <c r="K224" s="12">
        <v>0.28360000000000002</v>
      </c>
      <c r="L224" s="12">
        <v>4</v>
      </c>
      <c r="M224" s="12">
        <v>50</v>
      </c>
      <c r="N224" s="12">
        <v>54</v>
      </c>
      <c r="O224" s="12" t="str">
        <f>VLOOKUP(G224,calculate_field!$B$2:$C$5,2,FALSE)</f>
        <v xml:space="preserve">Mist / cloudy </v>
      </c>
      <c r="P224" s="12" t="str">
        <f t="shared" si="23"/>
        <v>Monday</v>
      </c>
      <c r="Q224" s="12" t="str">
        <f t="shared" si="24"/>
        <v>Weekday</v>
      </c>
      <c r="R224" s="12" t="str">
        <f t="shared" si="25"/>
        <v>Afternoon</v>
      </c>
      <c r="S224" s="28" t="str">
        <f>INDEX(calculate_field!$F$2:$F$4, MATCH(H224, calculate_field!$E$2:$E$4, 1))</f>
        <v>Mild</v>
      </c>
      <c r="T224" s="33">
        <f t="shared" si="26"/>
        <v>65</v>
      </c>
      <c r="U224" s="33">
        <f t="shared" si="27"/>
        <v>56.167451506149469</v>
      </c>
      <c r="V224" s="33">
        <f t="shared" si="28"/>
        <v>0.4357442482560186</v>
      </c>
      <c r="W224" s="12" t="b">
        <f t="shared" si="29"/>
        <v>1</v>
      </c>
    </row>
    <row r="225" spans="1:23">
      <c r="A225" s="26">
        <v>224</v>
      </c>
      <c r="B225" s="27">
        <v>40553</v>
      </c>
      <c r="C225" s="12">
        <v>1</v>
      </c>
      <c r="D225" s="12">
        <v>14</v>
      </c>
      <c r="E225" s="12" t="b">
        <v>0</v>
      </c>
      <c r="F225" s="12">
        <v>1</v>
      </c>
      <c r="G225" s="12">
        <v>2</v>
      </c>
      <c r="H225" s="12">
        <v>0.2</v>
      </c>
      <c r="I225" s="12">
        <v>0.19700000000000001</v>
      </c>
      <c r="J225" s="12">
        <v>0.4</v>
      </c>
      <c r="K225" s="12">
        <v>0.22389999999999999</v>
      </c>
      <c r="L225" s="12">
        <v>0</v>
      </c>
      <c r="M225" s="12">
        <v>47</v>
      </c>
      <c r="N225" s="12">
        <v>47</v>
      </c>
      <c r="O225" s="12" t="str">
        <f>VLOOKUP(G225,calculate_field!$B$2:$C$5,2,FALSE)</f>
        <v xml:space="preserve">Mist / cloudy </v>
      </c>
      <c r="P225" s="12" t="str">
        <f t="shared" si="23"/>
        <v>Monday</v>
      </c>
      <c r="Q225" s="12" t="str">
        <f t="shared" si="24"/>
        <v>Weekday</v>
      </c>
      <c r="R225" s="12" t="str">
        <f t="shared" si="25"/>
        <v>Afternoon</v>
      </c>
      <c r="S225" s="28" t="str">
        <f>INDEX(calculate_field!$F$2:$F$4, MATCH(H225, calculate_field!$E$2:$E$4, 1))</f>
        <v>Mild</v>
      </c>
      <c r="T225" s="33">
        <f t="shared" si="26"/>
        <v>64.708333333333329</v>
      </c>
      <c r="U225" s="33">
        <f t="shared" si="27"/>
        <v>56.245176926881754</v>
      </c>
      <c r="V225" s="33">
        <f t="shared" si="28"/>
        <v>-1.6218446367422701E-2</v>
      </c>
      <c r="W225" s="12" t="b">
        <f t="shared" si="29"/>
        <v>0</v>
      </c>
    </row>
    <row r="226" spans="1:23">
      <c r="A226" s="26">
        <v>225</v>
      </c>
      <c r="B226" s="27">
        <v>40553</v>
      </c>
      <c r="C226" s="12">
        <v>1</v>
      </c>
      <c r="D226" s="12">
        <v>15</v>
      </c>
      <c r="E226" s="12" t="b">
        <v>0</v>
      </c>
      <c r="F226" s="12">
        <v>1</v>
      </c>
      <c r="G226" s="12">
        <v>2</v>
      </c>
      <c r="H226" s="12">
        <v>0.2</v>
      </c>
      <c r="I226" s="12">
        <v>0.19700000000000001</v>
      </c>
      <c r="J226" s="12">
        <v>0.4</v>
      </c>
      <c r="K226" s="12">
        <v>0.22389999999999999</v>
      </c>
      <c r="L226" s="12">
        <v>2</v>
      </c>
      <c r="M226" s="12">
        <v>43</v>
      </c>
      <c r="N226" s="12">
        <v>45</v>
      </c>
      <c r="O226" s="12" t="str">
        <f>VLOOKUP(G226,calculate_field!$B$2:$C$5,2,FALSE)</f>
        <v xml:space="preserve">Mist / cloudy </v>
      </c>
      <c r="P226" s="12" t="str">
        <f t="shared" si="23"/>
        <v>Monday</v>
      </c>
      <c r="Q226" s="12" t="str">
        <f t="shared" si="24"/>
        <v>Weekday</v>
      </c>
      <c r="R226" s="12" t="str">
        <f t="shared" si="25"/>
        <v>Afternoon</v>
      </c>
      <c r="S226" s="28" t="str">
        <f>INDEX(calculate_field!$F$2:$F$4, MATCH(H226, calculate_field!$E$2:$E$4, 1))</f>
        <v>Mild</v>
      </c>
      <c r="T226" s="33">
        <f t="shared" si="26"/>
        <v>65.916666666666671</v>
      </c>
      <c r="U226" s="33">
        <f t="shared" si="27"/>
        <v>56.159645628346418</v>
      </c>
      <c r="V226" s="33">
        <f t="shared" si="28"/>
        <v>0.60673794372849166</v>
      </c>
      <c r="W226" s="12" t="b">
        <f t="shared" si="29"/>
        <v>0</v>
      </c>
    </row>
    <row r="227" spans="1:23">
      <c r="A227" s="26">
        <v>226</v>
      </c>
      <c r="B227" s="27">
        <v>40553</v>
      </c>
      <c r="C227" s="12">
        <v>1</v>
      </c>
      <c r="D227" s="12">
        <v>16</v>
      </c>
      <c r="E227" s="12" t="b">
        <v>0</v>
      </c>
      <c r="F227" s="12">
        <v>1</v>
      </c>
      <c r="G227" s="12">
        <v>1</v>
      </c>
      <c r="H227" s="12">
        <v>0.2</v>
      </c>
      <c r="I227" s="12">
        <v>0.21210000000000001</v>
      </c>
      <c r="J227" s="12">
        <v>0.4</v>
      </c>
      <c r="K227" s="12">
        <v>0.1343</v>
      </c>
      <c r="L227" s="12">
        <v>4</v>
      </c>
      <c r="M227" s="12">
        <v>70</v>
      </c>
      <c r="N227" s="12">
        <v>74</v>
      </c>
      <c r="O227" s="12" t="str">
        <f>VLOOKUP(G227,calculate_field!$B$2:$C$5,2,FALSE)</f>
        <v>Clear/Partly Cloudy</v>
      </c>
      <c r="P227" s="12" t="str">
        <f t="shared" si="23"/>
        <v>Monday</v>
      </c>
      <c r="Q227" s="12" t="str">
        <f t="shared" si="24"/>
        <v>Weekday</v>
      </c>
      <c r="R227" s="12" t="str">
        <f t="shared" si="25"/>
        <v>Afternoon</v>
      </c>
      <c r="S227" s="28" t="str">
        <f>INDEX(calculate_field!$F$2:$F$4, MATCH(H227, calculate_field!$E$2:$E$4, 1))</f>
        <v>Mild</v>
      </c>
      <c r="T227" s="33">
        <f t="shared" si="26"/>
        <v>69.708333333333329</v>
      </c>
      <c r="U227" s="33">
        <f t="shared" si="27"/>
        <v>57.735889800145046</v>
      </c>
      <c r="V227" s="33">
        <f t="shared" si="28"/>
        <v>1.8688912151921224</v>
      </c>
      <c r="W227" s="12" t="b">
        <f t="shared" si="29"/>
        <v>0</v>
      </c>
    </row>
    <row r="228" spans="1:23">
      <c r="A228" s="26">
        <v>227</v>
      </c>
      <c r="B228" s="27">
        <v>40553</v>
      </c>
      <c r="C228" s="12">
        <v>1</v>
      </c>
      <c r="D228" s="12">
        <v>17</v>
      </c>
      <c r="E228" s="12" t="b">
        <v>0</v>
      </c>
      <c r="F228" s="12">
        <v>1</v>
      </c>
      <c r="G228" s="12">
        <v>1</v>
      </c>
      <c r="H228" s="12">
        <v>0.2</v>
      </c>
      <c r="I228" s="12">
        <v>0.2273</v>
      </c>
      <c r="J228" s="12">
        <v>0.4</v>
      </c>
      <c r="K228" s="12">
        <v>0.1045</v>
      </c>
      <c r="L228" s="12">
        <v>4</v>
      </c>
      <c r="M228" s="12">
        <v>174</v>
      </c>
      <c r="N228" s="12">
        <v>178</v>
      </c>
      <c r="O228" s="12" t="str">
        <f>VLOOKUP(G228,calculate_field!$B$2:$C$5,2,FALSE)</f>
        <v>Clear/Partly Cloudy</v>
      </c>
      <c r="P228" s="12" t="str">
        <f t="shared" si="23"/>
        <v>Monday</v>
      </c>
      <c r="Q228" s="12" t="str">
        <f t="shared" si="24"/>
        <v>Weekday</v>
      </c>
      <c r="R228" s="12" t="str">
        <f t="shared" si="25"/>
        <v>Evening</v>
      </c>
      <c r="S228" s="28" t="str">
        <f>INDEX(calculate_field!$F$2:$F$4, MATCH(H228, calculate_field!$E$2:$E$4, 1))</f>
        <v>Mild</v>
      </c>
      <c r="T228" s="33">
        <f t="shared" si="26"/>
        <v>70.583333333333329</v>
      </c>
      <c r="U228" s="33">
        <f t="shared" si="27"/>
        <v>57.962444112858385</v>
      </c>
      <c r="V228" s="33">
        <f t="shared" si="28"/>
        <v>1.0596093449634494</v>
      </c>
      <c r="W228" s="12" t="b">
        <f t="shared" si="29"/>
        <v>0</v>
      </c>
    </row>
    <row r="229" spans="1:23">
      <c r="A229" s="26">
        <v>228</v>
      </c>
      <c r="B229" s="27">
        <v>40553</v>
      </c>
      <c r="C229" s="12">
        <v>1</v>
      </c>
      <c r="D229" s="12">
        <v>18</v>
      </c>
      <c r="E229" s="12" t="b">
        <v>0</v>
      </c>
      <c r="F229" s="12">
        <v>1</v>
      </c>
      <c r="G229" s="12">
        <v>1</v>
      </c>
      <c r="H229" s="12">
        <v>0.2</v>
      </c>
      <c r="I229" s="12">
        <v>0.19700000000000001</v>
      </c>
      <c r="J229" s="12">
        <v>0.4</v>
      </c>
      <c r="K229" s="12">
        <v>0.22389999999999999</v>
      </c>
      <c r="L229" s="12">
        <v>1</v>
      </c>
      <c r="M229" s="12">
        <v>154</v>
      </c>
      <c r="N229" s="12">
        <v>155</v>
      </c>
      <c r="O229" s="12" t="str">
        <f>VLOOKUP(G229,calculate_field!$B$2:$C$5,2,FALSE)</f>
        <v>Clear/Partly Cloudy</v>
      </c>
      <c r="P229" s="12" t="str">
        <f t="shared" si="23"/>
        <v>Monday</v>
      </c>
      <c r="Q229" s="12" t="str">
        <f t="shared" si="24"/>
        <v>Weekday</v>
      </c>
      <c r="R229" s="12" t="str">
        <f t="shared" si="25"/>
        <v>Evening</v>
      </c>
      <c r="S229" s="28" t="str">
        <f>INDEX(calculate_field!$F$2:$F$4, MATCH(H229, calculate_field!$E$2:$E$4, 1))</f>
        <v>Mild</v>
      </c>
      <c r="T229" s="33">
        <f t="shared" si="26"/>
        <v>65.291666666666671</v>
      </c>
      <c r="U229" s="33">
        <f t="shared" si="27"/>
        <v>53.342599964891967</v>
      </c>
      <c r="V229" s="33">
        <f t="shared" si="28"/>
        <v>2.1994070869814791E-2</v>
      </c>
      <c r="W229" s="12" t="b">
        <f t="shared" si="29"/>
        <v>0</v>
      </c>
    </row>
    <row r="230" spans="1:23">
      <c r="A230" s="26">
        <v>229</v>
      </c>
      <c r="B230" s="27">
        <v>40553</v>
      </c>
      <c r="C230" s="12">
        <v>1</v>
      </c>
      <c r="D230" s="12">
        <v>19</v>
      </c>
      <c r="E230" s="12" t="b">
        <v>0</v>
      </c>
      <c r="F230" s="12">
        <v>1</v>
      </c>
      <c r="G230" s="12">
        <v>1</v>
      </c>
      <c r="H230" s="12">
        <v>0.16</v>
      </c>
      <c r="I230" s="12">
        <v>0.16669999999999999</v>
      </c>
      <c r="J230" s="12">
        <v>0.47</v>
      </c>
      <c r="K230" s="12">
        <v>0.16420000000000001</v>
      </c>
      <c r="L230" s="12">
        <v>3</v>
      </c>
      <c r="M230" s="12">
        <v>92</v>
      </c>
      <c r="N230" s="12">
        <v>95</v>
      </c>
      <c r="O230" s="12" t="str">
        <f>VLOOKUP(G230,calculate_field!$B$2:$C$5,2,FALSE)</f>
        <v>Clear/Partly Cloudy</v>
      </c>
      <c r="P230" s="12" t="str">
        <f t="shared" si="23"/>
        <v>Monday</v>
      </c>
      <c r="Q230" s="12" t="str">
        <f t="shared" si="24"/>
        <v>Weekday</v>
      </c>
      <c r="R230" s="12" t="str">
        <f t="shared" si="25"/>
        <v>Evening</v>
      </c>
      <c r="S230" s="28" t="str">
        <f>INDEX(calculate_field!$F$2:$F$4, MATCH(H230, calculate_field!$E$2:$E$4, 1))</f>
        <v>Cold</v>
      </c>
      <c r="T230" s="33">
        <f t="shared" si="26"/>
        <v>60.166666666666664</v>
      </c>
      <c r="U230" s="33">
        <f t="shared" si="27"/>
        <v>50.162922966865779</v>
      </c>
      <c r="V230" s="33">
        <f t="shared" si="28"/>
        <v>-0.46159027329955604</v>
      </c>
      <c r="W230" s="12" t="b">
        <f t="shared" si="29"/>
        <v>0</v>
      </c>
    </row>
    <row r="231" spans="1:23">
      <c r="A231" s="26">
        <v>230</v>
      </c>
      <c r="B231" s="27">
        <v>40553</v>
      </c>
      <c r="C231" s="12">
        <v>1</v>
      </c>
      <c r="D231" s="12">
        <v>20</v>
      </c>
      <c r="E231" s="12" t="b">
        <v>0</v>
      </c>
      <c r="F231" s="12">
        <v>1</v>
      </c>
      <c r="G231" s="12">
        <v>1</v>
      </c>
      <c r="H231" s="12">
        <v>0.16</v>
      </c>
      <c r="I231" s="12">
        <v>0.16669999999999999</v>
      </c>
      <c r="J231" s="12">
        <v>0.5</v>
      </c>
      <c r="K231" s="12">
        <v>0.16420000000000001</v>
      </c>
      <c r="L231" s="12">
        <v>1</v>
      </c>
      <c r="M231" s="12">
        <v>73</v>
      </c>
      <c r="N231" s="12">
        <v>74</v>
      </c>
      <c r="O231" s="12" t="str">
        <f>VLOOKUP(G231,calculate_field!$B$2:$C$5,2,FALSE)</f>
        <v>Clear/Partly Cloudy</v>
      </c>
      <c r="P231" s="12" t="str">
        <f t="shared" si="23"/>
        <v>Monday</v>
      </c>
      <c r="Q231" s="12" t="str">
        <f t="shared" si="24"/>
        <v>Weekday</v>
      </c>
      <c r="R231" s="12" t="str">
        <f t="shared" si="25"/>
        <v>Evening</v>
      </c>
      <c r="S231" s="28" t="str">
        <f>INDEX(calculate_field!$F$2:$F$4, MATCH(H231, calculate_field!$E$2:$E$4, 1))</f>
        <v>Cold</v>
      </c>
      <c r="T231" s="33">
        <f t="shared" si="26"/>
        <v>57.041666666666664</v>
      </c>
      <c r="U231" s="33">
        <f t="shared" si="27"/>
        <v>50.23464867535386</v>
      </c>
      <c r="V231" s="33">
        <f t="shared" si="28"/>
        <v>-0.76445911501215946</v>
      </c>
      <c r="W231" s="12" t="b">
        <f t="shared" si="29"/>
        <v>0</v>
      </c>
    </row>
    <row r="232" spans="1:23">
      <c r="A232" s="26">
        <v>231</v>
      </c>
      <c r="B232" s="27">
        <v>40553</v>
      </c>
      <c r="C232" s="12">
        <v>1</v>
      </c>
      <c r="D232" s="12">
        <v>21</v>
      </c>
      <c r="E232" s="12" t="b">
        <v>0</v>
      </c>
      <c r="F232" s="12">
        <v>1</v>
      </c>
      <c r="G232" s="12">
        <v>1</v>
      </c>
      <c r="H232" s="12">
        <v>0.14000000000000001</v>
      </c>
      <c r="I232" s="12">
        <v>0.13639999999999999</v>
      </c>
      <c r="J232" s="12">
        <v>0.59</v>
      </c>
      <c r="K232" s="12">
        <v>0.19400000000000001</v>
      </c>
      <c r="L232" s="12">
        <v>1</v>
      </c>
      <c r="M232" s="12">
        <v>37</v>
      </c>
      <c r="N232" s="12">
        <v>38</v>
      </c>
      <c r="O232" s="12" t="str">
        <f>VLOOKUP(G232,calculate_field!$B$2:$C$5,2,FALSE)</f>
        <v>Clear/Partly Cloudy</v>
      </c>
      <c r="P232" s="12" t="str">
        <f t="shared" si="23"/>
        <v>Monday</v>
      </c>
      <c r="Q232" s="12" t="str">
        <f t="shared" si="24"/>
        <v>Weekday</v>
      </c>
      <c r="R232" s="12" t="str">
        <f t="shared" si="25"/>
        <v>Night</v>
      </c>
      <c r="S232" s="28" t="str">
        <f>INDEX(calculate_field!$F$2:$F$4, MATCH(H232, calculate_field!$E$2:$E$4, 1))</f>
        <v>Cold</v>
      </c>
      <c r="T232" s="33">
        <f t="shared" si="26"/>
        <v>55.166666666666664</v>
      </c>
      <c r="U232" s="33">
        <f t="shared" si="27"/>
        <v>50.413651245313083</v>
      </c>
      <c r="V232" s="33">
        <f t="shared" si="28"/>
        <v>-0.53826299330993144</v>
      </c>
      <c r="W232" s="12" t="b">
        <f t="shared" si="29"/>
        <v>0</v>
      </c>
    </row>
    <row r="233" spans="1:23">
      <c r="A233" s="26">
        <v>232</v>
      </c>
      <c r="B233" s="27">
        <v>40553</v>
      </c>
      <c r="C233" s="12">
        <v>1</v>
      </c>
      <c r="D233" s="12">
        <v>22</v>
      </c>
      <c r="E233" s="12" t="b">
        <v>0</v>
      </c>
      <c r="F233" s="12">
        <v>1</v>
      </c>
      <c r="G233" s="12">
        <v>1</v>
      </c>
      <c r="H233" s="12">
        <v>0.14000000000000001</v>
      </c>
      <c r="I233" s="12">
        <v>0.1515</v>
      </c>
      <c r="J233" s="12">
        <v>0.59</v>
      </c>
      <c r="K233" s="12">
        <v>0.16420000000000001</v>
      </c>
      <c r="L233" s="12">
        <v>2</v>
      </c>
      <c r="M233" s="12">
        <v>22</v>
      </c>
      <c r="N233" s="12">
        <v>24</v>
      </c>
      <c r="O233" s="12" t="str">
        <f>VLOOKUP(G233,calculate_field!$B$2:$C$5,2,FALSE)</f>
        <v>Clear/Partly Cloudy</v>
      </c>
      <c r="P233" s="12" t="str">
        <f t="shared" si="23"/>
        <v>Monday</v>
      </c>
      <c r="Q233" s="12" t="str">
        <f t="shared" si="24"/>
        <v>Weekday</v>
      </c>
      <c r="R233" s="12" t="str">
        <f t="shared" si="25"/>
        <v>Night</v>
      </c>
      <c r="S233" s="28" t="str">
        <f>INDEX(calculate_field!$F$2:$F$4, MATCH(H233, calculate_field!$E$2:$E$4, 1))</f>
        <v>Cold</v>
      </c>
      <c r="T233" s="33">
        <f t="shared" si="26"/>
        <v>54.375</v>
      </c>
      <c r="U233" s="33">
        <f t="shared" si="27"/>
        <v>50.842307357075214</v>
      </c>
      <c r="V233" s="33">
        <f t="shared" si="28"/>
        <v>-0.75216735158283643</v>
      </c>
      <c r="W233" s="12" t="b">
        <f t="shared" si="29"/>
        <v>1</v>
      </c>
    </row>
    <row r="234" spans="1:23">
      <c r="A234" s="26">
        <v>233</v>
      </c>
      <c r="B234" s="27">
        <v>40553</v>
      </c>
      <c r="C234" s="12">
        <v>1</v>
      </c>
      <c r="D234" s="12">
        <v>23</v>
      </c>
      <c r="E234" s="12" t="b">
        <v>0</v>
      </c>
      <c r="F234" s="12">
        <v>1</v>
      </c>
      <c r="G234" s="12">
        <v>1</v>
      </c>
      <c r="H234" s="12">
        <v>0.14000000000000001</v>
      </c>
      <c r="I234" s="12">
        <v>0.1515</v>
      </c>
      <c r="J234" s="12">
        <v>0.59</v>
      </c>
      <c r="K234" s="12">
        <v>0.16420000000000001</v>
      </c>
      <c r="L234" s="12">
        <v>0</v>
      </c>
      <c r="M234" s="12">
        <v>18</v>
      </c>
      <c r="N234" s="12">
        <v>18</v>
      </c>
      <c r="O234" s="12" t="str">
        <f>VLOOKUP(G234,calculate_field!$B$2:$C$5,2,FALSE)</f>
        <v>Clear/Partly Cloudy</v>
      </c>
      <c r="P234" s="12" t="str">
        <f t="shared" si="23"/>
        <v>Monday</v>
      </c>
      <c r="Q234" s="12" t="str">
        <f t="shared" si="24"/>
        <v>Weekday</v>
      </c>
      <c r="R234" s="12" t="str">
        <f t="shared" si="25"/>
        <v>Night</v>
      </c>
      <c r="S234" s="28" t="str">
        <f>INDEX(calculate_field!$F$2:$F$4, MATCH(H234, calculate_field!$E$2:$E$4, 1))</f>
        <v>Cold</v>
      </c>
      <c r="T234" s="33">
        <f t="shared" si="26"/>
        <v>53.666666666666664</v>
      </c>
      <c r="U234" s="33">
        <f t="shared" si="27"/>
        <v>51.399261259000738</v>
      </c>
      <c r="V234" s="33">
        <f t="shared" si="28"/>
        <v>-1.0131828223841401</v>
      </c>
      <c r="W234" s="12" t="b">
        <f t="shared" si="29"/>
        <v>0</v>
      </c>
    </row>
    <row r="235" spans="1:23">
      <c r="A235" s="26">
        <v>234</v>
      </c>
      <c r="B235" s="27">
        <v>40554</v>
      </c>
      <c r="C235" s="12">
        <v>1</v>
      </c>
      <c r="D235" s="12">
        <v>0</v>
      </c>
      <c r="E235" s="12" t="b">
        <v>0</v>
      </c>
      <c r="F235" s="12">
        <v>2</v>
      </c>
      <c r="G235" s="12">
        <v>1</v>
      </c>
      <c r="H235" s="12">
        <v>0.14000000000000001</v>
      </c>
      <c r="I235" s="12">
        <v>0.16669999999999999</v>
      </c>
      <c r="J235" s="12">
        <v>0.59</v>
      </c>
      <c r="K235" s="12">
        <v>0.1045</v>
      </c>
      <c r="L235" s="12">
        <v>2</v>
      </c>
      <c r="M235" s="12">
        <v>10</v>
      </c>
      <c r="N235" s="12">
        <v>12</v>
      </c>
      <c r="O235" s="12" t="str">
        <f>VLOOKUP(G235,calculate_field!$B$2:$C$5,2,FALSE)</f>
        <v>Clear/Partly Cloudy</v>
      </c>
      <c r="P235" s="12" t="str">
        <f t="shared" si="23"/>
        <v>Tuesday</v>
      </c>
      <c r="Q235" s="12" t="str">
        <f t="shared" si="24"/>
        <v>Weekday</v>
      </c>
      <c r="R235" s="12" t="str">
        <f t="shared" si="25"/>
        <v>Night</v>
      </c>
      <c r="S235" s="28" t="str">
        <f>INDEX(calculate_field!$F$2:$F$4, MATCH(H235, calculate_field!$E$2:$E$4, 1))</f>
        <v>Cold</v>
      </c>
      <c r="T235" s="33">
        <f t="shared" si="26"/>
        <v>53.166666666666664</v>
      </c>
      <c r="U235" s="33">
        <f t="shared" si="27"/>
        <v>51.817964541994144</v>
      </c>
      <c r="V235" s="33">
        <f t="shared" si="28"/>
        <v>-1.0265958679680862</v>
      </c>
      <c r="W235" s="12" t="b">
        <f t="shared" si="29"/>
        <v>0</v>
      </c>
    </row>
    <row r="236" spans="1:23">
      <c r="A236" s="26">
        <v>235</v>
      </c>
      <c r="B236" s="27">
        <v>40554</v>
      </c>
      <c r="C236" s="12">
        <v>1</v>
      </c>
      <c r="D236" s="12">
        <v>1</v>
      </c>
      <c r="E236" s="12" t="b">
        <v>0</v>
      </c>
      <c r="F236" s="12">
        <v>2</v>
      </c>
      <c r="G236" s="12">
        <v>1</v>
      </c>
      <c r="H236" s="12">
        <v>0.14000000000000001</v>
      </c>
      <c r="I236" s="12">
        <v>0.1515</v>
      </c>
      <c r="J236" s="12">
        <v>0.59</v>
      </c>
      <c r="K236" s="12">
        <v>0.16420000000000001</v>
      </c>
      <c r="L236" s="12">
        <v>0</v>
      </c>
      <c r="M236" s="12">
        <v>3</v>
      </c>
      <c r="N236" s="12">
        <v>3</v>
      </c>
      <c r="O236" s="12" t="str">
        <f>VLOOKUP(G236,calculate_field!$B$2:$C$5,2,FALSE)</f>
        <v>Clear/Partly Cloudy</v>
      </c>
      <c r="P236" s="12" t="str">
        <f t="shared" si="23"/>
        <v>Tuesday</v>
      </c>
      <c r="Q236" s="12" t="str">
        <f t="shared" si="24"/>
        <v>Weekday</v>
      </c>
      <c r="R236" s="12" t="str">
        <f t="shared" si="25"/>
        <v>Night</v>
      </c>
      <c r="S236" s="28" t="str">
        <f>INDEX(calculate_field!$F$2:$F$4, MATCH(H236, calculate_field!$E$2:$E$4, 1))</f>
        <v>Cold</v>
      </c>
      <c r="T236" s="33">
        <f t="shared" si="26"/>
        <v>52.708333333333336</v>
      </c>
      <c r="U236" s="33">
        <f t="shared" si="27"/>
        <v>52.244807661012892</v>
      </c>
      <c r="V236" s="33">
        <f t="shared" si="28"/>
        <v>-1.1403229470768499</v>
      </c>
      <c r="W236" s="12" t="b">
        <f t="shared" si="29"/>
        <v>0</v>
      </c>
    </row>
    <row r="237" spans="1:23">
      <c r="A237" s="26">
        <v>236</v>
      </c>
      <c r="B237" s="27">
        <v>40554</v>
      </c>
      <c r="C237" s="12">
        <v>1</v>
      </c>
      <c r="D237" s="12">
        <v>2</v>
      </c>
      <c r="E237" s="12" t="b">
        <v>0</v>
      </c>
      <c r="F237" s="12">
        <v>2</v>
      </c>
      <c r="G237" s="12">
        <v>2</v>
      </c>
      <c r="H237" s="12">
        <v>0.16</v>
      </c>
      <c r="I237" s="12">
        <v>0.1515</v>
      </c>
      <c r="J237" s="12">
        <v>0.55000000000000004</v>
      </c>
      <c r="K237" s="12">
        <v>0.19400000000000001</v>
      </c>
      <c r="L237" s="12">
        <v>0</v>
      </c>
      <c r="M237" s="12">
        <v>3</v>
      </c>
      <c r="N237" s="12">
        <v>3</v>
      </c>
      <c r="O237" s="12" t="str">
        <f>VLOOKUP(G237,calculate_field!$B$2:$C$5,2,FALSE)</f>
        <v xml:space="preserve">Mist / cloudy </v>
      </c>
      <c r="P237" s="12" t="str">
        <f t="shared" si="23"/>
        <v>Tuesday</v>
      </c>
      <c r="Q237" s="12" t="str">
        <f t="shared" si="24"/>
        <v>Weekday</v>
      </c>
      <c r="R237" s="12" t="str">
        <f t="shared" si="25"/>
        <v>Night</v>
      </c>
      <c r="S237" s="28" t="str">
        <f>INDEX(calculate_field!$F$2:$F$4, MATCH(H237, calculate_field!$E$2:$E$4, 1))</f>
        <v>Cold</v>
      </c>
      <c r="T237" s="33">
        <f t="shared" si="26"/>
        <v>52.791666666666664</v>
      </c>
      <c r="U237" s="33">
        <f t="shared" si="27"/>
        <v>52.163604808972572</v>
      </c>
      <c r="V237" s="33">
        <f t="shared" si="28"/>
        <v>-1.0508631334635423</v>
      </c>
      <c r="W237" s="12" t="b">
        <f t="shared" si="29"/>
        <v>0</v>
      </c>
    </row>
    <row r="238" spans="1:23">
      <c r="A238" s="26">
        <v>237</v>
      </c>
      <c r="B238" s="27">
        <v>40554</v>
      </c>
      <c r="C238" s="12">
        <v>1</v>
      </c>
      <c r="D238" s="12">
        <v>5</v>
      </c>
      <c r="E238" s="12" t="b">
        <v>0</v>
      </c>
      <c r="F238" s="12">
        <v>2</v>
      </c>
      <c r="G238" s="12">
        <v>2</v>
      </c>
      <c r="H238" s="12">
        <v>0.16</v>
      </c>
      <c r="I238" s="12">
        <v>0.18179999999999999</v>
      </c>
      <c r="J238" s="12">
        <v>0.55000000000000004</v>
      </c>
      <c r="K238" s="12">
        <v>0.1343</v>
      </c>
      <c r="L238" s="12">
        <v>0</v>
      </c>
      <c r="M238" s="12">
        <v>6</v>
      </c>
      <c r="N238" s="12">
        <v>6</v>
      </c>
      <c r="O238" s="12" t="str">
        <f>VLOOKUP(G238,calculate_field!$B$2:$C$5,2,FALSE)</f>
        <v xml:space="preserve">Mist / cloudy </v>
      </c>
      <c r="P238" s="12" t="str">
        <f t="shared" si="23"/>
        <v>Tuesday</v>
      </c>
      <c r="Q238" s="12" t="str">
        <f t="shared" si="24"/>
        <v>Weekday</v>
      </c>
      <c r="R238" s="12" t="str">
        <f t="shared" si="25"/>
        <v>Night</v>
      </c>
      <c r="S238" s="28" t="str">
        <f>INDEX(calculate_field!$F$2:$F$4, MATCH(H238, calculate_field!$E$2:$E$4, 1))</f>
        <v>Cold</v>
      </c>
      <c r="T238" s="33">
        <f t="shared" si="26"/>
        <v>53.333333333333336</v>
      </c>
      <c r="U238" s="33">
        <f t="shared" si="27"/>
        <v>51.689429300866486</v>
      </c>
      <c r="V238" s="33">
        <f t="shared" si="28"/>
        <v>-0.78186783571870666</v>
      </c>
      <c r="W238" s="12" t="b">
        <f t="shared" si="29"/>
        <v>0</v>
      </c>
    </row>
    <row r="239" spans="1:23">
      <c r="A239" s="26">
        <v>238</v>
      </c>
      <c r="B239" s="27">
        <v>40554</v>
      </c>
      <c r="C239" s="12">
        <v>1</v>
      </c>
      <c r="D239" s="12">
        <v>6</v>
      </c>
      <c r="E239" s="12" t="b">
        <v>0</v>
      </c>
      <c r="F239" s="12">
        <v>2</v>
      </c>
      <c r="G239" s="12">
        <v>2</v>
      </c>
      <c r="H239" s="12">
        <v>0.16</v>
      </c>
      <c r="I239" s="12">
        <v>0.18179999999999999</v>
      </c>
      <c r="J239" s="12">
        <v>0.55000000000000004</v>
      </c>
      <c r="K239" s="12">
        <v>0.1343</v>
      </c>
      <c r="L239" s="12">
        <v>0</v>
      </c>
      <c r="M239" s="12">
        <v>27</v>
      </c>
      <c r="N239" s="12">
        <v>27</v>
      </c>
      <c r="O239" s="12" t="str">
        <f>VLOOKUP(G239,calculate_field!$B$2:$C$5,2,FALSE)</f>
        <v xml:space="preserve">Mist / cloudy </v>
      </c>
      <c r="P239" s="12" t="str">
        <f t="shared" si="23"/>
        <v>Tuesday</v>
      </c>
      <c r="Q239" s="12" t="str">
        <f t="shared" si="24"/>
        <v>Weekday</v>
      </c>
      <c r="R239" s="12" t="str">
        <f t="shared" si="25"/>
        <v>Morning</v>
      </c>
      <c r="S239" s="28" t="str">
        <f>INDEX(calculate_field!$F$2:$F$4, MATCH(H239, calculate_field!$E$2:$E$4, 1))</f>
        <v>Cold</v>
      </c>
      <c r="T239" s="33">
        <f t="shared" si="26"/>
        <v>55.333333333333336</v>
      </c>
      <c r="U239" s="33">
        <f t="shared" si="27"/>
        <v>50.697454413983856</v>
      </c>
      <c r="V239" s="33">
        <f t="shared" si="28"/>
        <v>0.12127091411573514</v>
      </c>
      <c r="W239" s="12" t="b">
        <f t="shared" si="29"/>
        <v>0</v>
      </c>
    </row>
    <row r="240" spans="1:23">
      <c r="A240" s="26">
        <v>239</v>
      </c>
      <c r="B240" s="27">
        <v>40554</v>
      </c>
      <c r="C240" s="12">
        <v>1</v>
      </c>
      <c r="D240" s="12">
        <v>7</v>
      </c>
      <c r="E240" s="12" t="b">
        <v>0</v>
      </c>
      <c r="F240" s="12">
        <v>2</v>
      </c>
      <c r="G240" s="12">
        <v>2</v>
      </c>
      <c r="H240" s="12">
        <v>0.16</v>
      </c>
      <c r="I240" s="12">
        <v>0.2273</v>
      </c>
      <c r="J240" s="12">
        <v>0.55000000000000004</v>
      </c>
      <c r="K240" s="12">
        <v>0</v>
      </c>
      <c r="L240" s="12">
        <v>2</v>
      </c>
      <c r="M240" s="12">
        <v>97</v>
      </c>
      <c r="N240" s="12">
        <v>99</v>
      </c>
      <c r="O240" s="12" t="str">
        <f>VLOOKUP(G240,calculate_field!$B$2:$C$5,2,FALSE)</f>
        <v xml:space="preserve">Mist / cloudy </v>
      </c>
      <c r="P240" s="12" t="str">
        <f t="shared" si="23"/>
        <v>Tuesday</v>
      </c>
      <c r="Q240" s="12" t="str">
        <f t="shared" si="24"/>
        <v>Weekday</v>
      </c>
      <c r="R240" s="12" t="str">
        <f t="shared" si="25"/>
        <v>Morning</v>
      </c>
      <c r="S240" s="28" t="str">
        <f>INDEX(calculate_field!$F$2:$F$4, MATCH(H240, calculate_field!$E$2:$E$4, 1))</f>
        <v>Cold</v>
      </c>
      <c r="T240" s="33">
        <f t="shared" si="26"/>
        <v>59.541666666666664</v>
      </c>
      <c r="U240" s="33">
        <f t="shared" si="27"/>
        <v>52.406421085726627</v>
      </c>
      <c r="V240" s="33">
        <f t="shared" si="28"/>
        <v>1.8860957690985767</v>
      </c>
      <c r="W240" s="12" t="b">
        <f t="shared" si="29"/>
        <v>0</v>
      </c>
    </row>
    <row r="241" spans="1:23">
      <c r="A241" s="26">
        <v>240</v>
      </c>
      <c r="B241" s="27">
        <v>40554</v>
      </c>
      <c r="C241" s="12">
        <v>1</v>
      </c>
      <c r="D241" s="12">
        <v>8</v>
      </c>
      <c r="E241" s="12" t="b">
        <v>0</v>
      </c>
      <c r="F241" s="12">
        <v>2</v>
      </c>
      <c r="G241" s="12">
        <v>2</v>
      </c>
      <c r="H241" s="12">
        <v>0.18</v>
      </c>
      <c r="I241" s="12">
        <v>0.21210000000000001</v>
      </c>
      <c r="J241" s="12">
        <v>0.51</v>
      </c>
      <c r="K241" s="12">
        <v>8.9599999999999999E-2</v>
      </c>
      <c r="L241" s="12">
        <v>3</v>
      </c>
      <c r="M241" s="12">
        <v>214</v>
      </c>
      <c r="N241" s="12">
        <v>217</v>
      </c>
      <c r="O241" s="12" t="str">
        <f>VLOOKUP(G241,calculate_field!$B$2:$C$5,2,FALSE)</f>
        <v xml:space="preserve">Mist / cloudy </v>
      </c>
      <c r="P241" s="12" t="str">
        <f t="shared" si="23"/>
        <v>Tuesday</v>
      </c>
      <c r="Q241" s="12" t="str">
        <f t="shared" si="24"/>
        <v>Weekday</v>
      </c>
      <c r="R241" s="12" t="str">
        <f t="shared" si="25"/>
        <v>Morning</v>
      </c>
      <c r="S241" s="28" t="str">
        <f>INDEX(calculate_field!$F$2:$F$4, MATCH(H241, calculate_field!$E$2:$E$4, 1))</f>
        <v>Cold</v>
      </c>
      <c r="T241" s="33">
        <f t="shared" si="26"/>
        <v>58.791666666666664</v>
      </c>
      <c r="U241" s="33">
        <f t="shared" si="27"/>
        <v>51.943932287123538</v>
      </c>
      <c r="V241" s="33">
        <f t="shared" si="28"/>
        <v>0.56871292038018284</v>
      </c>
      <c r="W241" s="12" t="b">
        <f t="shared" si="29"/>
        <v>0</v>
      </c>
    </row>
    <row r="242" spans="1:23">
      <c r="A242" s="26">
        <v>241</v>
      </c>
      <c r="B242" s="27">
        <v>40554</v>
      </c>
      <c r="C242" s="12">
        <v>1</v>
      </c>
      <c r="D242" s="12">
        <v>9</v>
      </c>
      <c r="E242" s="12" t="b">
        <v>0</v>
      </c>
      <c r="F242" s="12">
        <v>2</v>
      </c>
      <c r="G242" s="12">
        <v>2</v>
      </c>
      <c r="H242" s="12">
        <v>0.18</v>
      </c>
      <c r="I242" s="12">
        <v>0.19700000000000001</v>
      </c>
      <c r="J242" s="12">
        <v>0.51</v>
      </c>
      <c r="K242" s="12">
        <v>0.16420000000000001</v>
      </c>
      <c r="L242" s="12">
        <v>3</v>
      </c>
      <c r="M242" s="12">
        <v>127</v>
      </c>
      <c r="N242" s="12">
        <v>130</v>
      </c>
      <c r="O242" s="12" t="str">
        <f>VLOOKUP(G242,calculate_field!$B$2:$C$5,2,FALSE)</f>
        <v xml:space="preserve">Mist / cloudy </v>
      </c>
      <c r="P242" s="12" t="str">
        <f t="shared" si="23"/>
        <v>Tuesday</v>
      </c>
      <c r="Q242" s="12" t="str">
        <f t="shared" si="24"/>
        <v>Weekday</v>
      </c>
      <c r="R242" s="12" t="str">
        <f t="shared" si="25"/>
        <v>Morning</v>
      </c>
      <c r="S242" s="28" t="str">
        <f>INDEX(calculate_field!$F$2:$F$4, MATCH(H242, calculate_field!$E$2:$E$4, 1))</f>
        <v>Cold</v>
      </c>
      <c r="T242" s="33">
        <f t="shared" si="26"/>
        <v>51.375</v>
      </c>
      <c r="U242" s="33">
        <f t="shared" si="27"/>
        <v>39.617532899506479</v>
      </c>
      <c r="V242" s="33">
        <f t="shared" si="28"/>
        <v>-0.3107152852552017</v>
      </c>
      <c r="W242" s="12" t="b">
        <f t="shared" si="29"/>
        <v>0</v>
      </c>
    </row>
    <row r="243" spans="1:23">
      <c r="A243" s="26">
        <v>242</v>
      </c>
      <c r="B243" s="27">
        <v>40554</v>
      </c>
      <c r="C243" s="12">
        <v>1</v>
      </c>
      <c r="D243" s="12">
        <v>10</v>
      </c>
      <c r="E243" s="12" t="b">
        <v>0</v>
      </c>
      <c r="F243" s="12">
        <v>2</v>
      </c>
      <c r="G243" s="12">
        <v>2</v>
      </c>
      <c r="H243" s="12">
        <v>0.2</v>
      </c>
      <c r="I243" s="12">
        <v>0.21210000000000001</v>
      </c>
      <c r="J243" s="12">
        <v>0.51</v>
      </c>
      <c r="K243" s="12">
        <v>0.16420000000000001</v>
      </c>
      <c r="L243" s="12">
        <v>3</v>
      </c>
      <c r="M243" s="12">
        <v>51</v>
      </c>
      <c r="N243" s="12">
        <v>54</v>
      </c>
      <c r="O243" s="12" t="str">
        <f>VLOOKUP(G243,calculate_field!$B$2:$C$5,2,FALSE)</f>
        <v xml:space="preserve">Mist / cloudy </v>
      </c>
      <c r="P243" s="12" t="str">
        <f t="shared" si="23"/>
        <v>Tuesday</v>
      </c>
      <c r="Q243" s="12" t="str">
        <f t="shared" si="24"/>
        <v>Weekday</v>
      </c>
      <c r="R243" s="12" t="str">
        <f t="shared" si="25"/>
        <v>Morning</v>
      </c>
      <c r="S243" s="28" t="str">
        <f>INDEX(calculate_field!$F$2:$F$4, MATCH(H243, calculate_field!$E$2:$E$4, 1))</f>
        <v>Mild</v>
      </c>
      <c r="T243" s="33">
        <f t="shared" si="26"/>
        <v>47.416666666666664</v>
      </c>
      <c r="U243" s="33">
        <f t="shared" si="27"/>
        <v>36.001107068323989</v>
      </c>
      <c r="V243" s="33">
        <f t="shared" si="28"/>
        <v>-0.38629962747272667</v>
      </c>
      <c r="W243" s="12" t="b">
        <f t="shared" si="29"/>
        <v>0</v>
      </c>
    </row>
    <row r="244" spans="1:23">
      <c r="A244" s="26">
        <v>243</v>
      </c>
      <c r="B244" s="27">
        <v>40554</v>
      </c>
      <c r="C244" s="12">
        <v>1</v>
      </c>
      <c r="D244" s="12">
        <v>11</v>
      </c>
      <c r="E244" s="12" t="b">
        <v>0</v>
      </c>
      <c r="F244" s="12">
        <v>2</v>
      </c>
      <c r="G244" s="12">
        <v>2</v>
      </c>
      <c r="H244" s="12">
        <v>0.2</v>
      </c>
      <c r="I244" s="12">
        <v>0.21210000000000001</v>
      </c>
      <c r="J244" s="12">
        <v>0.47</v>
      </c>
      <c r="K244" s="12">
        <v>0.1343</v>
      </c>
      <c r="L244" s="12">
        <v>4</v>
      </c>
      <c r="M244" s="12">
        <v>31</v>
      </c>
      <c r="N244" s="12">
        <v>35</v>
      </c>
      <c r="O244" s="12" t="str">
        <f>VLOOKUP(G244,calculate_field!$B$2:$C$5,2,FALSE)</f>
        <v xml:space="preserve">Mist / cloudy </v>
      </c>
      <c r="P244" s="12" t="str">
        <f t="shared" si="23"/>
        <v>Tuesday</v>
      </c>
      <c r="Q244" s="12" t="str">
        <f t="shared" si="24"/>
        <v>Weekday</v>
      </c>
      <c r="R244" s="12" t="str">
        <f t="shared" si="25"/>
        <v>Morning</v>
      </c>
      <c r="S244" s="28" t="str">
        <f>INDEX(calculate_field!$F$2:$F$4, MATCH(H244, calculate_field!$E$2:$E$4, 1))</f>
        <v>Mild</v>
      </c>
      <c r="T244" s="33">
        <f t="shared" si="26"/>
        <v>47.458333333333336</v>
      </c>
      <c r="U244" s="33">
        <f t="shared" si="27"/>
        <v>36.009635385264737</v>
      </c>
      <c r="V244" s="33">
        <f t="shared" si="28"/>
        <v>-5.5788720397109606E-3</v>
      </c>
      <c r="W244" s="12" t="b">
        <f t="shared" si="29"/>
        <v>0</v>
      </c>
    </row>
    <row r="245" spans="1:23">
      <c r="A245" s="26">
        <v>244</v>
      </c>
      <c r="B245" s="27">
        <v>40554</v>
      </c>
      <c r="C245" s="12">
        <v>1</v>
      </c>
      <c r="D245" s="12">
        <v>12</v>
      </c>
      <c r="E245" s="12" t="b">
        <v>0</v>
      </c>
      <c r="F245" s="12">
        <v>2</v>
      </c>
      <c r="G245" s="12">
        <v>2</v>
      </c>
      <c r="H245" s="12">
        <v>0.2</v>
      </c>
      <c r="I245" s="12">
        <v>0.2273</v>
      </c>
      <c r="J245" s="12">
        <v>0.51</v>
      </c>
      <c r="K245" s="12">
        <v>0.1045</v>
      </c>
      <c r="L245" s="12">
        <v>2</v>
      </c>
      <c r="M245" s="12">
        <v>55</v>
      </c>
      <c r="N245" s="12">
        <v>57</v>
      </c>
      <c r="O245" s="12" t="str">
        <f>VLOOKUP(G245,calculate_field!$B$2:$C$5,2,FALSE)</f>
        <v xml:space="preserve">Mist / cloudy </v>
      </c>
      <c r="P245" s="12" t="str">
        <f t="shared" si="23"/>
        <v>Tuesday</v>
      </c>
      <c r="Q245" s="12" t="str">
        <f t="shared" si="24"/>
        <v>Weekday</v>
      </c>
      <c r="R245" s="12" t="str">
        <f t="shared" si="25"/>
        <v>Afternoon</v>
      </c>
      <c r="S245" s="28" t="str">
        <f>INDEX(calculate_field!$F$2:$F$4, MATCH(H245, calculate_field!$E$2:$E$4, 1))</f>
        <v>Mild</v>
      </c>
      <c r="T245" s="33">
        <f t="shared" si="26"/>
        <v>48.041666666666664</v>
      </c>
      <c r="U245" s="33">
        <f t="shared" si="27"/>
        <v>35.912307647653478</v>
      </c>
      <c r="V245" s="33">
        <f t="shared" si="28"/>
        <v>-0.11794356247094583</v>
      </c>
      <c r="W245" s="12" t="b">
        <f t="shared" si="29"/>
        <v>0</v>
      </c>
    </row>
    <row r="246" spans="1:23">
      <c r="A246" s="26">
        <v>245</v>
      </c>
      <c r="B246" s="27">
        <v>40554</v>
      </c>
      <c r="C246" s="12">
        <v>1</v>
      </c>
      <c r="D246" s="12">
        <v>13</v>
      </c>
      <c r="E246" s="12" t="b">
        <v>0</v>
      </c>
      <c r="F246" s="12">
        <v>2</v>
      </c>
      <c r="G246" s="12">
        <v>2</v>
      </c>
      <c r="H246" s="12">
        <v>0.2</v>
      </c>
      <c r="I246" s="12">
        <v>0.2273</v>
      </c>
      <c r="J246" s="12">
        <v>0.59</v>
      </c>
      <c r="K246" s="12">
        <v>8.9599999999999999E-2</v>
      </c>
      <c r="L246" s="12">
        <v>6</v>
      </c>
      <c r="M246" s="12">
        <v>46</v>
      </c>
      <c r="N246" s="12">
        <v>52</v>
      </c>
      <c r="O246" s="12" t="str">
        <f>VLOOKUP(G246,calculate_field!$B$2:$C$5,2,FALSE)</f>
        <v xml:space="preserve">Mist / cloudy </v>
      </c>
      <c r="P246" s="12" t="str">
        <f t="shared" si="23"/>
        <v>Tuesday</v>
      </c>
      <c r="Q246" s="12" t="str">
        <f t="shared" si="24"/>
        <v>Weekday</v>
      </c>
      <c r="R246" s="12" t="str">
        <f t="shared" si="25"/>
        <v>Afternoon</v>
      </c>
      <c r="S246" s="28" t="str">
        <f>INDEX(calculate_field!$F$2:$F$4, MATCH(H246, calculate_field!$E$2:$E$4, 1))</f>
        <v>Mild</v>
      </c>
      <c r="T246" s="33">
        <f t="shared" si="26"/>
        <v>47.5</v>
      </c>
      <c r="U246" s="33">
        <f t="shared" si="27"/>
        <v>35.869328062457122</v>
      </c>
      <c r="V246" s="33">
        <f t="shared" si="28"/>
        <v>-0.23936165506944182</v>
      </c>
      <c r="W246" s="12" t="b">
        <f t="shared" si="29"/>
        <v>0</v>
      </c>
    </row>
    <row r="247" spans="1:23">
      <c r="A247" s="26">
        <v>246</v>
      </c>
      <c r="B247" s="27">
        <v>40554</v>
      </c>
      <c r="C247" s="12">
        <v>1</v>
      </c>
      <c r="D247" s="12">
        <v>14</v>
      </c>
      <c r="E247" s="12" t="b">
        <v>0</v>
      </c>
      <c r="F247" s="12">
        <v>2</v>
      </c>
      <c r="G247" s="12">
        <v>2</v>
      </c>
      <c r="H247" s="12">
        <v>0.2</v>
      </c>
      <c r="I247" s="12">
        <v>0.2273</v>
      </c>
      <c r="J247" s="12">
        <v>0.59</v>
      </c>
      <c r="K247" s="12">
        <v>8.9599999999999999E-2</v>
      </c>
      <c r="L247" s="12">
        <v>3</v>
      </c>
      <c r="M247" s="12">
        <v>60</v>
      </c>
      <c r="N247" s="12">
        <v>63</v>
      </c>
      <c r="O247" s="12" t="str">
        <f>VLOOKUP(G247,calculate_field!$B$2:$C$5,2,FALSE)</f>
        <v xml:space="preserve">Mist / cloudy </v>
      </c>
      <c r="P247" s="12" t="str">
        <f t="shared" si="23"/>
        <v>Tuesday</v>
      </c>
      <c r="Q247" s="12" t="str">
        <f t="shared" si="24"/>
        <v>Weekday</v>
      </c>
      <c r="R247" s="12" t="str">
        <f t="shared" si="25"/>
        <v>Afternoon</v>
      </c>
      <c r="S247" s="28" t="str">
        <f>INDEX(calculate_field!$F$2:$F$4, MATCH(H247, calculate_field!$E$2:$E$4, 1))</f>
        <v>Mild</v>
      </c>
      <c r="T247" s="33">
        <f t="shared" si="26"/>
        <v>47.375</v>
      </c>
      <c r="U247" s="33">
        <f t="shared" si="27"/>
        <v>35.858189895875888</v>
      </c>
      <c r="V247" s="33">
        <f t="shared" si="28"/>
        <v>-0.14260513874517033</v>
      </c>
      <c r="W247" s="12" t="b">
        <f t="shared" si="29"/>
        <v>0</v>
      </c>
    </row>
    <row r="248" spans="1:23">
      <c r="A248" s="26">
        <v>247</v>
      </c>
      <c r="B248" s="27">
        <v>40554</v>
      </c>
      <c r="C248" s="12">
        <v>1</v>
      </c>
      <c r="D248" s="12">
        <v>15</v>
      </c>
      <c r="E248" s="12" t="b">
        <v>0</v>
      </c>
      <c r="F248" s="12">
        <v>2</v>
      </c>
      <c r="G248" s="12">
        <v>2</v>
      </c>
      <c r="H248" s="12">
        <v>0.16</v>
      </c>
      <c r="I248" s="12">
        <v>0.19700000000000001</v>
      </c>
      <c r="J248" s="12">
        <v>0.8</v>
      </c>
      <c r="K248" s="12">
        <v>8.9599999999999999E-2</v>
      </c>
      <c r="L248" s="12">
        <v>2</v>
      </c>
      <c r="M248" s="12">
        <v>45</v>
      </c>
      <c r="N248" s="12">
        <v>47</v>
      </c>
      <c r="O248" s="12" t="str">
        <f>VLOOKUP(G248,calculate_field!$B$2:$C$5,2,FALSE)</f>
        <v xml:space="preserve">Mist / cloudy </v>
      </c>
      <c r="P248" s="12" t="str">
        <f t="shared" si="23"/>
        <v>Tuesday</v>
      </c>
      <c r="Q248" s="12" t="str">
        <f t="shared" si="24"/>
        <v>Weekday</v>
      </c>
      <c r="R248" s="12" t="str">
        <f t="shared" si="25"/>
        <v>Afternoon</v>
      </c>
      <c r="S248" s="28" t="str">
        <f>INDEX(calculate_field!$F$2:$F$4, MATCH(H248, calculate_field!$E$2:$E$4, 1))</f>
        <v>Cold</v>
      </c>
      <c r="T248" s="33">
        <f t="shared" si="26"/>
        <v>47.583333333333336</v>
      </c>
      <c r="U248" s="33">
        <f t="shared" si="27"/>
        <v>35.967275786973801</v>
      </c>
      <c r="V248" s="33">
        <f t="shared" si="28"/>
        <v>0.21002742254817117</v>
      </c>
      <c r="W248" s="12" t="b">
        <f t="shared" si="29"/>
        <v>1</v>
      </c>
    </row>
    <row r="249" spans="1:23">
      <c r="A249" s="26">
        <v>248</v>
      </c>
      <c r="B249" s="27">
        <v>40554</v>
      </c>
      <c r="C249" s="12">
        <v>1</v>
      </c>
      <c r="D249" s="12">
        <v>16</v>
      </c>
      <c r="E249" s="12" t="b">
        <v>0</v>
      </c>
      <c r="F249" s="12">
        <v>2</v>
      </c>
      <c r="G249" s="12">
        <v>2</v>
      </c>
      <c r="H249" s="12">
        <v>0.16</v>
      </c>
      <c r="I249" s="12">
        <v>0.1515</v>
      </c>
      <c r="J249" s="12">
        <v>0.86</v>
      </c>
      <c r="K249" s="12">
        <v>0.22389999999999999</v>
      </c>
      <c r="L249" s="12">
        <v>4</v>
      </c>
      <c r="M249" s="12">
        <v>72</v>
      </c>
      <c r="N249" s="12">
        <v>76</v>
      </c>
      <c r="O249" s="12" t="str">
        <f>VLOOKUP(G249,calculate_field!$B$2:$C$5,2,FALSE)</f>
        <v xml:space="preserve">Mist / cloudy </v>
      </c>
      <c r="P249" s="12" t="str">
        <f t="shared" si="23"/>
        <v>Tuesday</v>
      </c>
      <c r="Q249" s="12" t="str">
        <f t="shared" si="24"/>
        <v>Weekday</v>
      </c>
      <c r="R249" s="12" t="str">
        <f t="shared" si="25"/>
        <v>Afternoon</v>
      </c>
      <c r="S249" s="28" t="str">
        <f>INDEX(calculate_field!$F$2:$F$4, MATCH(H249, calculate_field!$E$2:$E$4, 1))</f>
        <v>Cold</v>
      </c>
      <c r="T249" s="33">
        <f t="shared" si="26"/>
        <v>51.416666666666664</v>
      </c>
      <c r="U249" s="33">
        <f t="shared" si="27"/>
        <v>40.517217667754927</v>
      </c>
      <c r="V249" s="33">
        <f t="shared" si="28"/>
        <v>1.5487650454190063</v>
      </c>
      <c r="W249" s="12" t="b">
        <f t="shared" si="29"/>
        <v>1</v>
      </c>
    </row>
    <row r="250" spans="1:23">
      <c r="A250" s="26">
        <v>249</v>
      </c>
      <c r="B250" s="27">
        <v>40554</v>
      </c>
      <c r="C250" s="12">
        <v>1</v>
      </c>
      <c r="D250" s="12">
        <v>17</v>
      </c>
      <c r="E250" s="12" t="b">
        <v>0</v>
      </c>
      <c r="F250" s="12">
        <v>2</v>
      </c>
      <c r="G250" s="12">
        <v>2</v>
      </c>
      <c r="H250" s="12">
        <v>0.16</v>
      </c>
      <c r="I250" s="12">
        <v>0.1515</v>
      </c>
      <c r="J250" s="12">
        <v>0.86</v>
      </c>
      <c r="K250" s="12">
        <v>0.22389999999999999</v>
      </c>
      <c r="L250" s="12">
        <v>6</v>
      </c>
      <c r="M250" s="12">
        <v>130</v>
      </c>
      <c r="N250" s="12">
        <v>136</v>
      </c>
      <c r="O250" s="12" t="str">
        <f>VLOOKUP(G250,calculate_field!$B$2:$C$5,2,FALSE)</f>
        <v xml:space="preserve">Mist / cloudy </v>
      </c>
      <c r="P250" s="12" t="str">
        <f t="shared" si="23"/>
        <v>Tuesday</v>
      </c>
      <c r="Q250" s="12" t="str">
        <f t="shared" si="24"/>
        <v>Weekday</v>
      </c>
      <c r="R250" s="12" t="str">
        <f t="shared" si="25"/>
        <v>Evening</v>
      </c>
      <c r="S250" s="28" t="str">
        <f>INDEX(calculate_field!$F$2:$F$4, MATCH(H250, calculate_field!$E$2:$E$4, 1))</f>
        <v>Cold</v>
      </c>
      <c r="T250" s="33">
        <f t="shared" si="26"/>
        <v>53.958333333333336</v>
      </c>
      <c r="U250" s="33">
        <f t="shared" si="27"/>
        <v>43.898577937417699</v>
      </c>
      <c r="V250" s="33">
        <f t="shared" si="28"/>
        <v>1.445207588095873</v>
      </c>
      <c r="W250" s="12" t="b">
        <f t="shared" si="29"/>
        <v>0</v>
      </c>
    </row>
    <row r="251" spans="1:23">
      <c r="A251" s="26">
        <v>250</v>
      </c>
      <c r="B251" s="27">
        <v>40554</v>
      </c>
      <c r="C251" s="12">
        <v>1</v>
      </c>
      <c r="D251" s="12">
        <v>18</v>
      </c>
      <c r="E251" s="12" t="b">
        <v>0</v>
      </c>
      <c r="F251" s="12">
        <v>2</v>
      </c>
      <c r="G251" s="12">
        <v>3</v>
      </c>
      <c r="H251" s="12">
        <v>0.16</v>
      </c>
      <c r="I251" s="12">
        <v>0.18179999999999999</v>
      </c>
      <c r="J251" s="12">
        <v>0.93</v>
      </c>
      <c r="K251" s="12">
        <v>0.1045</v>
      </c>
      <c r="L251" s="12">
        <v>1</v>
      </c>
      <c r="M251" s="12">
        <v>94</v>
      </c>
      <c r="N251" s="12">
        <v>95</v>
      </c>
      <c r="O251" s="12" t="str">
        <f>VLOOKUP(G251,calculate_field!$B$2:$C$5,2,FALSE)</f>
        <v xml:space="preserve">Light Snow / Rain </v>
      </c>
      <c r="P251" s="12" t="str">
        <f t="shared" si="23"/>
        <v>Tuesday</v>
      </c>
      <c r="Q251" s="12" t="str">
        <f t="shared" si="24"/>
        <v>Weekday</v>
      </c>
      <c r="R251" s="12" t="str">
        <f t="shared" si="25"/>
        <v>Evening</v>
      </c>
      <c r="S251" s="28" t="str">
        <f>INDEX(calculate_field!$F$2:$F$4, MATCH(H251, calculate_field!$E$2:$E$4, 1))</f>
        <v>Cold</v>
      </c>
      <c r="T251" s="33">
        <f t="shared" si="26"/>
        <v>51.75</v>
      </c>
      <c r="U251" s="33">
        <f t="shared" si="27"/>
        <v>40.816929565199224</v>
      </c>
      <c r="V251" s="33">
        <f t="shared" si="28"/>
        <v>0.44407429428042278</v>
      </c>
      <c r="W251" s="12" t="b">
        <f t="shared" si="29"/>
        <v>0</v>
      </c>
    </row>
    <row r="252" spans="1:23">
      <c r="A252" s="26">
        <v>251</v>
      </c>
      <c r="B252" s="27">
        <v>40554</v>
      </c>
      <c r="C252" s="12">
        <v>1</v>
      </c>
      <c r="D252" s="12">
        <v>19</v>
      </c>
      <c r="E252" s="12" t="b">
        <v>0</v>
      </c>
      <c r="F252" s="12">
        <v>2</v>
      </c>
      <c r="G252" s="12">
        <v>3</v>
      </c>
      <c r="H252" s="12">
        <v>0.16</v>
      </c>
      <c r="I252" s="12">
        <v>0.2273</v>
      </c>
      <c r="J252" s="12">
        <v>0.93</v>
      </c>
      <c r="K252" s="12">
        <v>0</v>
      </c>
      <c r="L252" s="12">
        <v>0</v>
      </c>
      <c r="M252" s="12">
        <v>51</v>
      </c>
      <c r="N252" s="12">
        <v>51</v>
      </c>
      <c r="O252" s="12" t="str">
        <f>VLOOKUP(G252,calculate_field!$B$2:$C$5,2,FALSE)</f>
        <v xml:space="preserve">Light Snow / Rain </v>
      </c>
      <c r="P252" s="12" t="str">
        <f t="shared" si="23"/>
        <v>Tuesday</v>
      </c>
      <c r="Q252" s="12" t="str">
        <f t="shared" si="24"/>
        <v>Weekday</v>
      </c>
      <c r="R252" s="12" t="str">
        <f t="shared" si="25"/>
        <v>Evening</v>
      </c>
      <c r="S252" s="28" t="str">
        <f>INDEX(calculate_field!$F$2:$F$4, MATCH(H252, calculate_field!$E$2:$E$4, 1))</f>
        <v>Cold</v>
      </c>
      <c r="T252" s="33">
        <f t="shared" si="26"/>
        <v>50.125</v>
      </c>
      <c r="U252" s="33">
        <f t="shared" si="27"/>
        <v>39.783449147691513</v>
      </c>
      <c r="V252" s="33">
        <f t="shared" si="28"/>
        <v>-5.9530204883527948E-2</v>
      </c>
      <c r="W252" s="12" t="b">
        <f t="shared" si="29"/>
        <v>0</v>
      </c>
    </row>
    <row r="253" spans="1:23">
      <c r="A253" s="26">
        <v>252</v>
      </c>
      <c r="B253" s="27">
        <v>40554</v>
      </c>
      <c r="C253" s="12">
        <v>1</v>
      </c>
      <c r="D253" s="12">
        <v>20</v>
      </c>
      <c r="E253" s="12" t="b">
        <v>0</v>
      </c>
      <c r="F253" s="12">
        <v>2</v>
      </c>
      <c r="G253" s="12">
        <v>3</v>
      </c>
      <c r="H253" s="12">
        <v>0.16</v>
      </c>
      <c r="I253" s="12">
        <v>0.1515</v>
      </c>
      <c r="J253" s="12">
        <v>0.93</v>
      </c>
      <c r="K253" s="12">
        <v>0.19400000000000001</v>
      </c>
      <c r="L253" s="12">
        <v>0</v>
      </c>
      <c r="M253" s="12">
        <v>32</v>
      </c>
      <c r="N253" s="12">
        <v>32</v>
      </c>
      <c r="O253" s="12" t="str">
        <f>VLOOKUP(G253,calculate_field!$B$2:$C$5,2,FALSE)</f>
        <v xml:space="preserve">Light Snow / Rain </v>
      </c>
      <c r="P253" s="12" t="str">
        <f t="shared" si="23"/>
        <v>Tuesday</v>
      </c>
      <c r="Q253" s="12" t="str">
        <f t="shared" si="24"/>
        <v>Weekday</v>
      </c>
      <c r="R253" s="12" t="str">
        <f t="shared" si="25"/>
        <v>Evening</v>
      </c>
      <c r="S253" s="28" t="str">
        <f>INDEX(calculate_field!$F$2:$F$4, MATCH(H253, calculate_field!$E$2:$E$4, 1))</f>
        <v>Cold</v>
      </c>
      <c r="T253" s="33">
        <f t="shared" si="26"/>
        <v>50.375</v>
      </c>
      <c r="U253" s="33">
        <f t="shared" si="27"/>
        <v>39.808031197562222</v>
      </c>
      <c r="V253" s="33">
        <f t="shared" si="28"/>
        <v>-4.7470529378246272E-2</v>
      </c>
      <c r="W253" s="12" t="b">
        <f t="shared" si="29"/>
        <v>0</v>
      </c>
    </row>
    <row r="254" spans="1:23">
      <c r="A254" s="26">
        <v>253</v>
      </c>
      <c r="B254" s="27">
        <v>40554</v>
      </c>
      <c r="C254" s="12">
        <v>1</v>
      </c>
      <c r="D254" s="12">
        <v>21</v>
      </c>
      <c r="E254" s="12" t="b">
        <v>0</v>
      </c>
      <c r="F254" s="12">
        <v>2</v>
      </c>
      <c r="G254" s="12">
        <v>3</v>
      </c>
      <c r="H254" s="12">
        <v>0.16</v>
      </c>
      <c r="I254" s="12">
        <v>0.19700000000000001</v>
      </c>
      <c r="J254" s="12">
        <v>0.86</v>
      </c>
      <c r="K254" s="12">
        <v>8.9599999999999999E-2</v>
      </c>
      <c r="L254" s="12">
        <v>0</v>
      </c>
      <c r="M254" s="12">
        <v>20</v>
      </c>
      <c r="N254" s="12">
        <v>20</v>
      </c>
      <c r="O254" s="12" t="str">
        <f>VLOOKUP(G254,calculate_field!$B$2:$C$5,2,FALSE)</f>
        <v xml:space="preserve">Light Snow / Rain </v>
      </c>
      <c r="P254" s="12" t="str">
        <f t="shared" si="23"/>
        <v>Tuesday</v>
      </c>
      <c r="Q254" s="12" t="str">
        <f t="shared" si="24"/>
        <v>Weekday</v>
      </c>
      <c r="R254" s="12" t="str">
        <f t="shared" si="25"/>
        <v>Night</v>
      </c>
      <c r="S254" s="28" t="str">
        <f>INDEX(calculate_field!$F$2:$F$4, MATCH(H254, calculate_field!$E$2:$E$4, 1))</f>
        <v>Cold</v>
      </c>
      <c r="T254" s="33">
        <f t="shared" si="26"/>
        <v>50.416666666666664</v>
      </c>
      <c r="U254" s="33">
        <f t="shared" si="27"/>
        <v>39.78848059936189</v>
      </c>
      <c r="V254" s="33">
        <f t="shared" si="28"/>
        <v>-0.46746182680246168</v>
      </c>
      <c r="W254" s="12" t="b">
        <f t="shared" si="29"/>
        <v>0</v>
      </c>
    </row>
    <row r="255" spans="1:23">
      <c r="A255" s="26">
        <v>254</v>
      </c>
      <c r="B255" s="27">
        <v>40554</v>
      </c>
      <c r="C255" s="12">
        <v>1</v>
      </c>
      <c r="D255" s="12">
        <v>22</v>
      </c>
      <c r="E255" s="12" t="b">
        <v>0</v>
      </c>
      <c r="F255" s="12">
        <v>2</v>
      </c>
      <c r="G255" s="12">
        <v>3</v>
      </c>
      <c r="H255" s="12">
        <v>0.16</v>
      </c>
      <c r="I255" s="12">
        <v>0.18179999999999999</v>
      </c>
      <c r="J255" s="12">
        <v>0.93</v>
      </c>
      <c r="K255" s="12">
        <v>0.1045</v>
      </c>
      <c r="L255" s="12">
        <v>1</v>
      </c>
      <c r="M255" s="12">
        <v>28</v>
      </c>
      <c r="N255" s="12">
        <v>29</v>
      </c>
      <c r="O255" s="12" t="str">
        <f>VLOOKUP(G255,calculate_field!$B$2:$C$5,2,FALSE)</f>
        <v xml:space="preserve">Light Snow / Rain </v>
      </c>
      <c r="P255" s="12" t="str">
        <f t="shared" si="23"/>
        <v>Tuesday</v>
      </c>
      <c r="Q255" s="12" t="str">
        <f t="shared" si="24"/>
        <v>Weekday</v>
      </c>
      <c r="R255" s="12" t="str">
        <f t="shared" si="25"/>
        <v>Night</v>
      </c>
      <c r="S255" s="28" t="str">
        <f>INDEX(calculate_field!$F$2:$F$4, MATCH(H255, calculate_field!$E$2:$E$4, 1))</f>
        <v>Cold</v>
      </c>
      <c r="T255" s="33">
        <f t="shared" si="26"/>
        <v>50.416666666666664</v>
      </c>
      <c r="U255" s="33">
        <f t="shared" si="27"/>
        <v>39.78848059936189</v>
      </c>
      <c r="V255" s="33">
        <f t="shared" si="28"/>
        <v>-0.69887887130741877</v>
      </c>
      <c r="W255" s="12" t="b">
        <f t="shared" si="29"/>
        <v>0</v>
      </c>
    </row>
    <row r="256" spans="1:23">
      <c r="A256" s="26">
        <v>255</v>
      </c>
      <c r="B256" s="27">
        <v>40554</v>
      </c>
      <c r="C256" s="12">
        <v>1</v>
      </c>
      <c r="D256" s="12">
        <v>23</v>
      </c>
      <c r="E256" s="12" t="b">
        <v>0</v>
      </c>
      <c r="F256" s="12">
        <v>2</v>
      </c>
      <c r="G256" s="12">
        <v>3</v>
      </c>
      <c r="H256" s="12">
        <v>0.16</v>
      </c>
      <c r="I256" s="12">
        <v>0.19700000000000001</v>
      </c>
      <c r="J256" s="12">
        <v>0.93</v>
      </c>
      <c r="K256" s="12">
        <v>8.9599999999999999E-2</v>
      </c>
      <c r="L256" s="12">
        <v>1</v>
      </c>
      <c r="M256" s="12">
        <v>18</v>
      </c>
      <c r="N256" s="12">
        <v>19</v>
      </c>
      <c r="O256" s="12" t="str">
        <f>VLOOKUP(G256,calculate_field!$B$2:$C$5,2,FALSE)</f>
        <v xml:space="preserve">Light Snow / Rain </v>
      </c>
      <c r="P256" s="12" t="str">
        <f t="shared" si="23"/>
        <v>Tuesday</v>
      </c>
      <c r="Q256" s="12" t="str">
        <f t="shared" si="24"/>
        <v>Weekday</v>
      </c>
      <c r="R256" s="12" t="str">
        <f t="shared" si="25"/>
        <v>Night</v>
      </c>
      <c r="S256" s="28" t="str">
        <f>INDEX(calculate_field!$F$2:$F$4, MATCH(H256, calculate_field!$E$2:$E$4, 1))</f>
        <v>Cold</v>
      </c>
      <c r="T256" s="33">
        <f t="shared" si="26"/>
        <v>49.5</v>
      </c>
      <c r="U256" s="33">
        <f t="shared" si="27"/>
        <v>40.549486674497096</v>
      </c>
      <c r="V256" s="33">
        <f t="shared" si="28"/>
        <v>-0.9266470677418589</v>
      </c>
      <c r="W256" s="12" t="b">
        <f t="shared" si="29"/>
        <v>0</v>
      </c>
    </row>
    <row r="257" spans="1:23">
      <c r="A257" s="26">
        <v>256</v>
      </c>
      <c r="B257" s="27">
        <v>40555</v>
      </c>
      <c r="C257" s="12">
        <v>1</v>
      </c>
      <c r="D257" s="12">
        <v>0</v>
      </c>
      <c r="E257" s="12" t="b">
        <v>0</v>
      </c>
      <c r="F257" s="12">
        <v>3</v>
      </c>
      <c r="G257" s="12">
        <v>2</v>
      </c>
      <c r="H257" s="12">
        <v>0.16</v>
      </c>
      <c r="I257" s="12">
        <v>0.19700000000000001</v>
      </c>
      <c r="J257" s="12">
        <v>0.86</v>
      </c>
      <c r="K257" s="12">
        <v>8.9599999999999999E-2</v>
      </c>
      <c r="L257" s="12">
        <v>0</v>
      </c>
      <c r="M257" s="12">
        <v>7</v>
      </c>
      <c r="N257" s="12">
        <v>7</v>
      </c>
      <c r="O257" s="12" t="str">
        <f>VLOOKUP(G257,calculate_field!$B$2:$C$5,2,FALSE)</f>
        <v xml:space="preserve">Mist / cloudy </v>
      </c>
      <c r="P257" s="12" t="str">
        <f t="shared" si="23"/>
        <v>Wednesday</v>
      </c>
      <c r="Q257" s="12" t="str">
        <f t="shared" si="24"/>
        <v>Weekday</v>
      </c>
      <c r="R257" s="12" t="str">
        <f t="shared" si="25"/>
        <v>Night</v>
      </c>
      <c r="S257" s="28" t="str">
        <f>INDEX(calculate_field!$F$2:$F$4, MATCH(H257, calculate_field!$E$2:$E$4, 1))</f>
        <v>Cold</v>
      </c>
      <c r="T257" s="33">
        <f t="shared" si="26"/>
        <v>48.791666666666664</v>
      </c>
      <c r="U257" s="33">
        <f t="shared" si="27"/>
        <v>41.247902889160599</v>
      </c>
      <c r="V257" s="33">
        <f t="shared" si="28"/>
        <v>-1.0265813213765262</v>
      </c>
      <c r="W257" s="12" t="b">
        <f t="shared" si="29"/>
        <v>1</v>
      </c>
    </row>
    <row r="258" spans="1:23">
      <c r="A258" s="26">
        <v>257</v>
      </c>
      <c r="B258" s="27">
        <v>40555</v>
      </c>
      <c r="C258" s="12">
        <v>1</v>
      </c>
      <c r="D258" s="12">
        <v>1</v>
      </c>
      <c r="E258" s="12" t="b">
        <v>0</v>
      </c>
      <c r="F258" s="12">
        <v>3</v>
      </c>
      <c r="G258" s="12">
        <v>2</v>
      </c>
      <c r="H258" s="12">
        <v>0.16</v>
      </c>
      <c r="I258" s="12">
        <v>0.18179999999999999</v>
      </c>
      <c r="J258" s="12">
        <v>0.86</v>
      </c>
      <c r="K258" s="12">
        <v>0.1045</v>
      </c>
      <c r="L258" s="12">
        <v>0</v>
      </c>
      <c r="M258" s="12">
        <v>6</v>
      </c>
      <c r="N258" s="12">
        <v>6</v>
      </c>
      <c r="O258" s="12" t="str">
        <f>VLOOKUP(G258,calculate_field!$B$2:$C$5,2,FALSE)</f>
        <v xml:space="preserve">Mist / cloudy </v>
      </c>
      <c r="P258" s="12" t="str">
        <f t="shared" ref="P258:P321" si="30">CHOOSE(F258+1,"Sunday","Monday","Tuesday","Wednesday","Thursday","Friday","Saturday")</f>
        <v>Wednesday</v>
      </c>
      <c r="Q258" s="12" t="str">
        <f t="shared" ref="Q258:Q321" si="31">IF(OR(F258=0,F258=6),"Weekend","Weekday")</f>
        <v>Weekday</v>
      </c>
      <c r="R258" s="12" t="str">
        <f t="shared" ref="R258:R321" si="32">IF(D258&lt;6,"Night",IF(D258&lt;12,"Morning",IF(D258&lt;17,"Afternoon",IF(D258&lt;21,"Evening","Night"))))</f>
        <v>Night</v>
      </c>
      <c r="S258" s="28" t="str">
        <f>INDEX(calculate_field!$F$2:$F$4, MATCH(H258, calculate_field!$E$2:$E$4, 1))</f>
        <v>Cold</v>
      </c>
      <c r="T258" s="33">
        <f t="shared" ref="T258:T321" si="33">AVERAGE(N258:N281)</f>
        <v>48.583333333333336</v>
      </c>
      <c r="U258" s="33">
        <f t="shared" ref="U258:U321" si="34">_xlfn.STDEV.S(N258:N281)</f>
        <v>41.480133187772701</v>
      </c>
      <c r="V258" s="33">
        <f t="shared" ref="V258:V321" si="35">(N281-T281)/U281</f>
        <v>-1.031269892317433</v>
      </c>
      <c r="W258" s="12" t="b">
        <f t="shared" ref="W258:W321" si="36">IFERROR(ABS(V274)&gt;1.5,FALSE)</f>
        <v>1</v>
      </c>
    </row>
    <row r="259" spans="1:23">
      <c r="A259" s="26">
        <v>258</v>
      </c>
      <c r="B259" s="27">
        <v>40555</v>
      </c>
      <c r="C259" s="12">
        <v>1</v>
      </c>
      <c r="D259" s="12">
        <v>2</v>
      </c>
      <c r="E259" s="12" t="b">
        <v>0</v>
      </c>
      <c r="F259" s="12">
        <v>3</v>
      </c>
      <c r="G259" s="12">
        <v>1</v>
      </c>
      <c r="H259" s="12">
        <v>0.14000000000000001</v>
      </c>
      <c r="I259" s="12">
        <v>0.1515</v>
      </c>
      <c r="J259" s="12">
        <v>0.86</v>
      </c>
      <c r="K259" s="12">
        <v>0.1343</v>
      </c>
      <c r="L259" s="12">
        <v>0</v>
      </c>
      <c r="M259" s="12">
        <v>1</v>
      </c>
      <c r="N259" s="12">
        <v>1</v>
      </c>
      <c r="O259" s="12" t="str">
        <f>VLOOKUP(G259,calculate_field!$B$2:$C$5,2,FALSE)</f>
        <v>Clear/Partly Cloudy</v>
      </c>
      <c r="P259" s="12" t="str">
        <f t="shared" si="30"/>
        <v>Wednesday</v>
      </c>
      <c r="Q259" s="12" t="str">
        <f t="shared" si="31"/>
        <v>Weekday</v>
      </c>
      <c r="R259" s="12" t="str">
        <f t="shared" si="32"/>
        <v>Night</v>
      </c>
      <c r="S259" s="28" t="str">
        <f>INDEX(calculate_field!$F$2:$F$4, MATCH(H259, calculate_field!$E$2:$E$4, 1))</f>
        <v>Cold</v>
      </c>
      <c r="T259" s="33">
        <f t="shared" si="33"/>
        <v>48.458333333333336</v>
      </c>
      <c r="U259" s="33">
        <f t="shared" si="34"/>
        <v>41.618327031820201</v>
      </c>
      <c r="V259" s="33">
        <f t="shared" si="35"/>
        <v>-1.0115963918783788</v>
      </c>
      <c r="W259" s="12" t="b">
        <f t="shared" si="36"/>
        <v>0</v>
      </c>
    </row>
    <row r="260" spans="1:23">
      <c r="A260" s="26">
        <v>259</v>
      </c>
      <c r="B260" s="27">
        <v>40555</v>
      </c>
      <c r="C260" s="12">
        <v>1</v>
      </c>
      <c r="D260" s="12">
        <v>5</v>
      </c>
      <c r="E260" s="12" t="b">
        <v>0</v>
      </c>
      <c r="F260" s="12">
        <v>3</v>
      </c>
      <c r="G260" s="12">
        <v>1</v>
      </c>
      <c r="H260" s="12">
        <v>0.14000000000000001</v>
      </c>
      <c r="I260" s="12">
        <v>0.1515</v>
      </c>
      <c r="J260" s="12">
        <v>0.86</v>
      </c>
      <c r="K260" s="12">
        <v>0.16420000000000001</v>
      </c>
      <c r="L260" s="12">
        <v>0</v>
      </c>
      <c r="M260" s="12">
        <v>5</v>
      </c>
      <c r="N260" s="12">
        <v>5</v>
      </c>
      <c r="O260" s="12" t="str">
        <f>VLOOKUP(G260,calculate_field!$B$2:$C$5,2,FALSE)</f>
        <v>Clear/Partly Cloudy</v>
      </c>
      <c r="P260" s="12" t="str">
        <f t="shared" si="30"/>
        <v>Wednesday</v>
      </c>
      <c r="Q260" s="12" t="str">
        <f t="shared" si="31"/>
        <v>Weekday</v>
      </c>
      <c r="R260" s="12" t="str">
        <f t="shared" si="32"/>
        <v>Night</v>
      </c>
      <c r="S260" s="28" t="str">
        <f>INDEX(calculate_field!$F$2:$F$4, MATCH(H260, calculate_field!$E$2:$E$4, 1))</f>
        <v>Cold</v>
      </c>
      <c r="T260" s="33">
        <f t="shared" si="33"/>
        <v>48.583333333333336</v>
      </c>
      <c r="U260" s="33">
        <f t="shared" si="34"/>
        <v>41.473843686653012</v>
      </c>
      <c r="V260" s="33">
        <f t="shared" si="35"/>
        <v>-0.99041161509193576</v>
      </c>
      <c r="W260" s="12" t="b">
        <f t="shared" si="36"/>
        <v>0</v>
      </c>
    </row>
    <row r="261" spans="1:23">
      <c r="A261" s="26">
        <v>260</v>
      </c>
      <c r="B261" s="27">
        <v>40555</v>
      </c>
      <c r="C261" s="12">
        <v>1</v>
      </c>
      <c r="D261" s="12">
        <v>6</v>
      </c>
      <c r="E261" s="12" t="b">
        <v>0</v>
      </c>
      <c r="F261" s="12">
        <v>3</v>
      </c>
      <c r="G261" s="12">
        <v>1</v>
      </c>
      <c r="H261" s="12">
        <v>0.12</v>
      </c>
      <c r="I261" s="12">
        <v>0.1515</v>
      </c>
      <c r="J261" s="12">
        <v>0.93</v>
      </c>
      <c r="K261" s="12">
        <v>0.1343</v>
      </c>
      <c r="L261" s="12">
        <v>0</v>
      </c>
      <c r="M261" s="12">
        <v>16</v>
      </c>
      <c r="N261" s="12">
        <v>16</v>
      </c>
      <c r="O261" s="12" t="str">
        <f>VLOOKUP(G261,calculate_field!$B$2:$C$5,2,FALSE)</f>
        <v>Clear/Partly Cloudy</v>
      </c>
      <c r="P261" s="12" t="str">
        <f t="shared" si="30"/>
        <v>Wednesday</v>
      </c>
      <c r="Q261" s="12" t="str">
        <f t="shared" si="31"/>
        <v>Weekday</v>
      </c>
      <c r="R261" s="12" t="str">
        <f t="shared" si="32"/>
        <v>Morning</v>
      </c>
      <c r="S261" s="28" t="str">
        <f>INDEX(calculate_field!$F$2:$F$4, MATCH(H261, calculate_field!$E$2:$E$4, 1))</f>
        <v>Cold</v>
      </c>
      <c r="T261" s="33">
        <f t="shared" si="33"/>
        <v>48.5</v>
      </c>
      <c r="U261" s="33">
        <f t="shared" si="34"/>
        <v>41.567127480215923</v>
      </c>
      <c r="V261" s="33">
        <f t="shared" si="35"/>
        <v>-1.014516524807118</v>
      </c>
      <c r="W261" s="12" t="b">
        <f t="shared" si="36"/>
        <v>0</v>
      </c>
    </row>
    <row r="262" spans="1:23">
      <c r="A262" s="26">
        <v>261</v>
      </c>
      <c r="B262" s="27">
        <v>40555</v>
      </c>
      <c r="C262" s="12">
        <v>1</v>
      </c>
      <c r="D262" s="12">
        <v>7</v>
      </c>
      <c r="E262" s="12" t="b">
        <v>0</v>
      </c>
      <c r="F262" s="12">
        <v>3</v>
      </c>
      <c r="G262" s="12">
        <v>1</v>
      </c>
      <c r="H262" s="12">
        <v>0.14000000000000001</v>
      </c>
      <c r="I262" s="12">
        <v>0.1515</v>
      </c>
      <c r="J262" s="12">
        <v>0.69</v>
      </c>
      <c r="K262" s="12">
        <v>0.1343</v>
      </c>
      <c r="L262" s="12">
        <v>0</v>
      </c>
      <c r="M262" s="12">
        <v>54</v>
      </c>
      <c r="N262" s="12">
        <v>54</v>
      </c>
      <c r="O262" s="12" t="str">
        <f>VLOOKUP(G262,calculate_field!$B$2:$C$5,2,FALSE)</f>
        <v>Clear/Partly Cloudy</v>
      </c>
      <c r="P262" s="12" t="str">
        <f t="shared" si="30"/>
        <v>Wednesday</v>
      </c>
      <c r="Q262" s="12" t="str">
        <f t="shared" si="31"/>
        <v>Weekday</v>
      </c>
      <c r="R262" s="12" t="str">
        <f t="shared" si="32"/>
        <v>Morning</v>
      </c>
      <c r="S262" s="28" t="str">
        <f>INDEX(calculate_field!$F$2:$F$4, MATCH(H262, calculate_field!$E$2:$E$4, 1))</f>
        <v>Cold</v>
      </c>
      <c r="T262" s="33">
        <f t="shared" si="33"/>
        <v>49</v>
      </c>
      <c r="U262" s="33">
        <f t="shared" si="34"/>
        <v>41.230001739974021</v>
      </c>
      <c r="V262" s="33">
        <f t="shared" si="35"/>
        <v>-0.57822265605323397</v>
      </c>
      <c r="W262" s="12" t="b">
        <f t="shared" si="36"/>
        <v>0</v>
      </c>
    </row>
    <row r="263" spans="1:23">
      <c r="A263" s="26">
        <v>262</v>
      </c>
      <c r="B263" s="27">
        <v>40555</v>
      </c>
      <c r="C263" s="12">
        <v>1</v>
      </c>
      <c r="D263" s="12">
        <v>8</v>
      </c>
      <c r="E263" s="12" t="b">
        <v>0</v>
      </c>
      <c r="F263" s="12">
        <v>3</v>
      </c>
      <c r="G263" s="12">
        <v>1</v>
      </c>
      <c r="H263" s="12">
        <v>0.16</v>
      </c>
      <c r="I263" s="12">
        <v>0.16669999999999999</v>
      </c>
      <c r="J263" s="12">
        <v>0.59</v>
      </c>
      <c r="K263" s="12">
        <v>0.16420000000000001</v>
      </c>
      <c r="L263" s="12">
        <v>3</v>
      </c>
      <c r="M263" s="12">
        <v>125</v>
      </c>
      <c r="N263" s="12">
        <v>128</v>
      </c>
      <c r="O263" s="12" t="str">
        <f>VLOOKUP(G263,calculate_field!$B$2:$C$5,2,FALSE)</f>
        <v>Clear/Partly Cloudy</v>
      </c>
      <c r="P263" s="12" t="str">
        <f t="shared" si="30"/>
        <v>Wednesday</v>
      </c>
      <c r="Q263" s="12" t="str">
        <f t="shared" si="31"/>
        <v>Weekday</v>
      </c>
      <c r="R263" s="12" t="str">
        <f t="shared" si="32"/>
        <v>Morning</v>
      </c>
      <c r="S263" s="28" t="str">
        <f>INDEX(calculate_field!$F$2:$F$4, MATCH(H263, calculate_field!$E$2:$E$4, 1))</f>
        <v>Cold</v>
      </c>
      <c r="T263" s="33">
        <f t="shared" si="33"/>
        <v>49.75</v>
      </c>
      <c r="U263" s="33">
        <f t="shared" si="34"/>
        <v>41.487819060957911</v>
      </c>
      <c r="V263" s="33">
        <f t="shared" si="35"/>
        <v>0.19564283227752652</v>
      </c>
      <c r="W263" s="12" t="b">
        <f t="shared" si="36"/>
        <v>0</v>
      </c>
    </row>
    <row r="264" spans="1:23">
      <c r="A264" s="26">
        <v>263</v>
      </c>
      <c r="B264" s="27">
        <v>40555</v>
      </c>
      <c r="C264" s="12">
        <v>1</v>
      </c>
      <c r="D264" s="12">
        <v>9</v>
      </c>
      <c r="E264" s="12" t="b">
        <v>0</v>
      </c>
      <c r="F264" s="12">
        <v>3</v>
      </c>
      <c r="G264" s="12">
        <v>1</v>
      </c>
      <c r="H264" s="12">
        <v>0.16</v>
      </c>
      <c r="I264" s="12">
        <v>0.13639999999999999</v>
      </c>
      <c r="J264" s="12">
        <v>0.59</v>
      </c>
      <c r="K264" s="12">
        <v>0.32840000000000003</v>
      </c>
      <c r="L264" s="12">
        <v>3</v>
      </c>
      <c r="M264" s="12">
        <v>78</v>
      </c>
      <c r="N264" s="12">
        <v>81</v>
      </c>
      <c r="O264" s="12" t="str">
        <f>VLOOKUP(G264,calculate_field!$B$2:$C$5,2,FALSE)</f>
        <v>Clear/Partly Cloudy</v>
      </c>
      <c r="P264" s="12" t="str">
        <f t="shared" si="30"/>
        <v>Wednesday</v>
      </c>
      <c r="Q264" s="12" t="str">
        <f t="shared" si="31"/>
        <v>Weekday</v>
      </c>
      <c r="R264" s="12" t="str">
        <f t="shared" si="32"/>
        <v>Morning</v>
      </c>
      <c r="S264" s="28" t="str">
        <f>INDEX(calculate_field!$F$2:$F$4, MATCH(H264, calculate_field!$E$2:$E$4, 1))</f>
        <v>Cold</v>
      </c>
      <c r="T264" s="33">
        <f t="shared" si="33"/>
        <v>52.833333333333336</v>
      </c>
      <c r="U264" s="33">
        <f t="shared" si="34"/>
        <v>49.527038435907755</v>
      </c>
      <c r="V264" s="33">
        <f t="shared" si="35"/>
        <v>2.3723275169888662</v>
      </c>
      <c r="W264" s="12" t="b">
        <f t="shared" si="36"/>
        <v>0</v>
      </c>
    </row>
    <row r="265" spans="1:23">
      <c r="A265" s="26">
        <v>264</v>
      </c>
      <c r="B265" s="27">
        <v>40555</v>
      </c>
      <c r="C265" s="12">
        <v>1</v>
      </c>
      <c r="D265" s="12">
        <v>10</v>
      </c>
      <c r="E265" s="12" t="b">
        <v>0</v>
      </c>
      <c r="F265" s="12">
        <v>3</v>
      </c>
      <c r="G265" s="12">
        <v>1</v>
      </c>
      <c r="H265" s="12">
        <v>0.18</v>
      </c>
      <c r="I265" s="12">
        <v>0.18179999999999999</v>
      </c>
      <c r="J265" s="12">
        <v>0.55000000000000004</v>
      </c>
      <c r="K265" s="12">
        <v>0.22389999999999999</v>
      </c>
      <c r="L265" s="12">
        <v>0</v>
      </c>
      <c r="M265" s="12">
        <v>39</v>
      </c>
      <c r="N265" s="12">
        <v>39</v>
      </c>
      <c r="O265" s="12" t="str">
        <f>VLOOKUP(G265,calculate_field!$B$2:$C$5,2,FALSE)</f>
        <v>Clear/Partly Cloudy</v>
      </c>
      <c r="P265" s="12" t="str">
        <f t="shared" si="30"/>
        <v>Wednesday</v>
      </c>
      <c r="Q265" s="12" t="str">
        <f t="shared" si="31"/>
        <v>Weekday</v>
      </c>
      <c r="R265" s="12" t="str">
        <f t="shared" si="32"/>
        <v>Morning</v>
      </c>
      <c r="S265" s="28" t="str">
        <f>INDEX(calculate_field!$F$2:$F$4, MATCH(H265, calculate_field!$E$2:$E$4, 1))</f>
        <v>Cold</v>
      </c>
      <c r="T265" s="33">
        <f t="shared" si="33"/>
        <v>55.25</v>
      </c>
      <c r="U265" s="33">
        <f t="shared" si="34"/>
        <v>52.298682334386243</v>
      </c>
      <c r="V265" s="33">
        <f t="shared" si="35"/>
        <v>1.5142360828793096</v>
      </c>
      <c r="W265" s="12" t="b">
        <f t="shared" si="36"/>
        <v>0</v>
      </c>
    </row>
    <row r="266" spans="1:23">
      <c r="A266" s="26">
        <v>265</v>
      </c>
      <c r="B266" s="27">
        <v>40555</v>
      </c>
      <c r="C266" s="12">
        <v>1</v>
      </c>
      <c r="D266" s="12">
        <v>11</v>
      </c>
      <c r="E266" s="12" t="b">
        <v>0</v>
      </c>
      <c r="F266" s="12">
        <v>3</v>
      </c>
      <c r="G266" s="12">
        <v>1</v>
      </c>
      <c r="H266" s="12">
        <v>0.2</v>
      </c>
      <c r="I266" s="12">
        <v>0.18179999999999999</v>
      </c>
      <c r="J266" s="12">
        <v>0.51</v>
      </c>
      <c r="K266" s="12">
        <v>0.3881</v>
      </c>
      <c r="L266" s="12">
        <v>3</v>
      </c>
      <c r="M266" s="12">
        <v>32</v>
      </c>
      <c r="N266" s="12">
        <v>35</v>
      </c>
      <c r="O266" s="12" t="str">
        <f>VLOOKUP(G266,calculate_field!$B$2:$C$5,2,FALSE)</f>
        <v>Clear/Partly Cloudy</v>
      </c>
      <c r="P266" s="12" t="str">
        <f t="shared" si="30"/>
        <v>Wednesday</v>
      </c>
      <c r="Q266" s="12" t="str">
        <f t="shared" si="31"/>
        <v>Weekday</v>
      </c>
      <c r="R266" s="12" t="str">
        <f t="shared" si="32"/>
        <v>Morning</v>
      </c>
      <c r="S266" s="28" t="str">
        <f>INDEX(calculate_field!$F$2:$F$4, MATCH(H266, calculate_field!$E$2:$E$4, 1))</f>
        <v>Mild</v>
      </c>
      <c r="T266" s="33">
        <f t="shared" si="33"/>
        <v>55.208333333333336</v>
      </c>
      <c r="U266" s="33">
        <f t="shared" si="34"/>
        <v>52.312588198807092</v>
      </c>
      <c r="V266" s="33">
        <f t="shared" si="35"/>
        <v>-0.4005214708332856</v>
      </c>
      <c r="W266" s="12" t="b">
        <f t="shared" si="36"/>
        <v>0</v>
      </c>
    </row>
    <row r="267" spans="1:23">
      <c r="A267" s="26">
        <v>266</v>
      </c>
      <c r="B267" s="27">
        <v>40555</v>
      </c>
      <c r="C267" s="12">
        <v>1</v>
      </c>
      <c r="D267" s="12">
        <v>12</v>
      </c>
      <c r="E267" s="12" t="b">
        <v>0</v>
      </c>
      <c r="F267" s="12">
        <v>3</v>
      </c>
      <c r="G267" s="12">
        <v>1</v>
      </c>
      <c r="H267" s="12">
        <v>0.2</v>
      </c>
      <c r="I267" s="12">
        <v>0.1515</v>
      </c>
      <c r="J267" s="12">
        <v>0.47</v>
      </c>
      <c r="K267" s="12">
        <v>0.58209999999999995</v>
      </c>
      <c r="L267" s="12">
        <v>3</v>
      </c>
      <c r="M267" s="12">
        <v>52</v>
      </c>
      <c r="N267" s="12">
        <v>55</v>
      </c>
      <c r="O267" s="12" t="str">
        <f>VLOOKUP(G267,calculate_field!$B$2:$C$5,2,FALSE)</f>
        <v>Clear/Partly Cloudy</v>
      </c>
      <c r="P267" s="12" t="str">
        <f t="shared" si="30"/>
        <v>Wednesday</v>
      </c>
      <c r="Q267" s="12" t="str">
        <f t="shared" si="31"/>
        <v>Weekday</v>
      </c>
      <c r="R267" s="12" t="str">
        <f t="shared" si="32"/>
        <v>Afternoon</v>
      </c>
      <c r="S267" s="28" t="str">
        <f>INDEX(calculate_field!$F$2:$F$4, MATCH(H267, calculate_field!$E$2:$E$4, 1))</f>
        <v>Mild</v>
      </c>
      <c r="T267" s="33">
        <f t="shared" si="33"/>
        <v>55.291666666666664</v>
      </c>
      <c r="U267" s="33">
        <f t="shared" si="34"/>
        <v>52.280580122747438</v>
      </c>
      <c r="V267" s="33">
        <f t="shared" si="35"/>
        <v>-0.43544867878210047</v>
      </c>
      <c r="W267" s="12" t="b">
        <f t="shared" si="36"/>
        <v>0</v>
      </c>
    </row>
    <row r="268" spans="1:23">
      <c r="A268" s="26">
        <v>267</v>
      </c>
      <c r="B268" s="27">
        <v>40555</v>
      </c>
      <c r="C268" s="12">
        <v>1</v>
      </c>
      <c r="D268" s="12">
        <v>13</v>
      </c>
      <c r="E268" s="12" t="b">
        <v>0</v>
      </c>
      <c r="F268" s="12">
        <v>3</v>
      </c>
      <c r="G268" s="12">
        <v>1</v>
      </c>
      <c r="H268" s="12">
        <v>0.22</v>
      </c>
      <c r="I268" s="12">
        <v>0.19700000000000001</v>
      </c>
      <c r="J268" s="12">
        <v>0.44</v>
      </c>
      <c r="K268" s="12">
        <v>0.35820000000000002</v>
      </c>
      <c r="L268" s="12">
        <v>0</v>
      </c>
      <c r="M268" s="12">
        <v>49</v>
      </c>
      <c r="N268" s="12">
        <v>49</v>
      </c>
      <c r="O268" s="12" t="str">
        <f>VLOOKUP(G268,calculate_field!$B$2:$C$5,2,FALSE)</f>
        <v>Clear/Partly Cloudy</v>
      </c>
      <c r="P268" s="12" t="str">
        <f t="shared" si="30"/>
        <v>Wednesday</v>
      </c>
      <c r="Q268" s="12" t="str">
        <f t="shared" si="31"/>
        <v>Weekday</v>
      </c>
      <c r="R268" s="12" t="str">
        <f t="shared" si="32"/>
        <v>Afternoon</v>
      </c>
      <c r="S268" s="28" t="str">
        <f>INDEX(calculate_field!$F$2:$F$4, MATCH(H268, calculate_field!$E$2:$E$4, 1))</f>
        <v>Mild</v>
      </c>
      <c r="T268" s="33">
        <f t="shared" si="33"/>
        <v>55.166666666666664</v>
      </c>
      <c r="U268" s="33">
        <f t="shared" si="34"/>
        <v>52.284894041468</v>
      </c>
      <c r="V268" s="33">
        <f t="shared" si="35"/>
        <v>-0.1469250750914225</v>
      </c>
      <c r="W268" s="12" t="b">
        <f t="shared" si="36"/>
        <v>0</v>
      </c>
    </row>
    <row r="269" spans="1:23">
      <c r="A269" s="26">
        <v>268</v>
      </c>
      <c r="B269" s="27">
        <v>40555</v>
      </c>
      <c r="C269" s="12">
        <v>1</v>
      </c>
      <c r="D269" s="12">
        <v>14</v>
      </c>
      <c r="E269" s="12" t="b">
        <v>0</v>
      </c>
      <c r="F269" s="12">
        <v>3</v>
      </c>
      <c r="G269" s="12">
        <v>1</v>
      </c>
      <c r="H269" s="12">
        <v>0.2</v>
      </c>
      <c r="I269" s="12">
        <v>0.18179999999999999</v>
      </c>
      <c r="J269" s="12">
        <v>0.47</v>
      </c>
      <c r="K269" s="12">
        <v>0.32840000000000003</v>
      </c>
      <c r="L269" s="12">
        <v>0</v>
      </c>
      <c r="M269" s="12">
        <v>44</v>
      </c>
      <c r="N269" s="12">
        <v>44</v>
      </c>
      <c r="O269" s="12" t="str">
        <f>VLOOKUP(G269,calculate_field!$B$2:$C$5,2,FALSE)</f>
        <v>Clear/Partly Cloudy</v>
      </c>
      <c r="P269" s="12" t="str">
        <f t="shared" si="30"/>
        <v>Wednesday</v>
      </c>
      <c r="Q269" s="12" t="str">
        <f t="shared" si="31"/>
        <v>Weekday</v>
      </c>
      <c r="R269" s="12" t="str">
        <f t="shared" si="32"/>
        <v>Afternoon</v>
      </c>
      <c r="S269" s="28" t="str">
        <f>INDEX(calculate_field!$F$2:$F$4, MATCH(H269, calculate_field!$E$2:$E$4, 1))</f>
        <v>Mild</v>
      </c>
      <c r="T269" s="33">
        <f t="shared" si="33"/>
        <v>56.583333333333336</v>
      </c>
      <c r="U269" s="33">
        <f t="shared" si="34"/>
        <v>52.570380705642904</v>
      </c>
      <c r="V269" s="33">
        <f t="shared" si="35"/>
        <v>0.47339892066651557</v>
      </c>
      <c r="W269" s="12" t="b">
        <f t="shared" si="36"/>
        <v>0</v>
      </c>
    </row>
    <row r="270" spans="1:23">
      <c r="A270" s="26">
        <v>269</v>
      </c>
      <c r="B270" s="27">
        <v>40555</v>
      </c>
      <c r="C270" s="12">
        <v>1</v>
      </c>
      <c r="D270" s="12">
        <v>15</v>
      </c>
      <c r="E270" s="12" t="b">
        <v>0</v>
      </c>
      <c r="F270" s="12">
        <v>3</v>
      </c>
      <c r="G270" s="12">
        <v>1</v>
      </c>
      <c r="H270" s="12">
        <v>0.2</v>
      </c>
      <c r="I270" s="12">
        <v>0.16669999999999999</v>
      </c>
      <c r="J270" s="12">
        <v>0.47</v>
      </c>
      <c r="K270" s="12">
        <v>0.41789999999999999</v>
      </c>
      <c r="L270" s="12">
        <v>1</v>
      </c>
      <c r="M270" s="12">
        <v>48</v>
      </c>
      <c r="N270" s="12">
        <v>49</v>
      </c>
      <c r="O270" s="12" t="str">
        <f>VLOOKUP(G270,calculate_field!$B$2:$C$5,2,FALSE)</f>
        <v>Clear/Partly Cloudy</v>
      </c>
      <c r="P270" s="12" t="str">
        <f t="shared" si="30"/>
        <v>Wednesday</v>
      </c>
      <c r="Q270" s="12" t="str">
        <f t="shared" si="31"/>
        <v>Weekday</v>
      </c>
      <c r="R270" s="12" t="str">
        <f t="shared" si="32"/>
        <v>Afternoon</v>
      </c>
      <c r="S270" s="28" t="str">
        <f>INDEX(calculate_field!$F$2:$F$4, MATCH(H270, calculate_field!$E$2:$E$4, 1))</f>
        <v>Mild</v>
      </c>
      <c r="T270" s="33">
        <f t="shared" si="33"/>
        <v>56.5</v>
      </c>
      <c r="U270" s="33">
        <f t="shared" si="34"/>
        <v>52.592775169218825</v>
      </c>
      <c r="V270" s="33">
        <f t="shared" si="35"/>
        <v>-0.36047451203565445</v>
      </c>
      <c r="W270" s="12" t="b">
        <f t="shared" si="36"/>
        <v>0</v>
      </c>
    </row>
    <row r="271" spans="1:23">
      <c r="A271" s="26">
        <v>270</v>
      </c>
      <c r="B271" s="27">
        <v>40555</v>
      </c>
      <c r="C271" s="12">
        <v>1</v>
      </c>
      <c r="D271" s="12">
        <v>16</v>
      </c>
      <c r="E271" s="12" t="b">
        <v>0</v>
      </c>
      <c r="F271" s="12">
        <v>3</v>
      </c>
      <c r="G271" s="12">
        <v>1</v>
      </c>
      <c r="H271" s="12">
        <v>0.22</v>
      </c>
      <c r="I271" s="12">
        <v>0.19700000000000001</v>
      </c>
      <c r="J271" s="12">
        <v>0.44</v>
      </c>
      <c r="K271" s="12">
        <v>0.32840000000000003</v>
      </c>
      <c r="L271" s="12">
        <v>5</v>
      </c>
      <c r="M271" s="12">
        <v>63</v>
      </c>
      <c r="N271" s="12">
        <v>68</v>
      </c>
      <c r="O271" s="12" t="str">
        <f>VLOOKUP(G271,calculate_field!$B$2:$C$5,2,FALSE)</f>
        <v>Clear/Partly Cloudy</v>
      </c>
      <c r="P271" s="12" t="str">
        <f t="shared" si="30"/>
        <v>Wednesday</v>
      </c>
      <c r="Q271" s="12" t="str">
        <f t="shared" si="31"/>
        <v>Weekday</v>
      </c>
      <c r="R271" s="12" t="str">
        <f t="shared" si="32"/>
        <v>Afternoon</v>
      </c>
      <c r="S271" s="28" t="str">
        <f>INDEX(calculate_field!$F$2:$F$4, MATCH(H271, calculate_field!$E$2:$E$4, 1))</f>
        <v>Mild</v>
      </c>
      <c r="T271" s="33">
        <f t="shared" si="33"/>
        <v>56.958333333333336</v>
      </c>
      <c r="U271" s="33">
        <f t="shared" si="34"/>
        <v>52.572499975017244</v>
      </c>
      <c r="V271" s="33">
        <f t="shared" si="35"/>
        <v>-8.6859799767491103E-3</v>
      </c>
      <c r="W271" s="12" t="b">
        <f t="shared" si="36"/>
        <v>1</v>
      </c>
    </row>
    <row r="272" spans="1:23">
      <c r="A272" s="26">
        <v>271</v>
      </c>
      <c r="B272" s="27">
        <v>40555</v>
      </c>
      <c r="C272" s="12">
        <v>1</v>
      </c>
      <c r="D272" s="12">
        <v>17</v>
      </c>
      <c r="E272" s="12" t="b">
        <v>0</v>
      </c>
      <c r="F272" s="12">
        <v>3</v>
      </c>
      <c r="G272" s="12">
        <v>1</v>
      </c>
      <c r="H272" s="12">
        <v>0.2</v>
      </c>
      <c r="I272" s="12">
        <v>0.18179999999999999</v>
      </c>
      <c r="J272" s="12">
        <v>0.47</v>
      </c>
      <c r="K272" s="12">
        <v>0.35820000000000002</v>
      </c>
      <c r="L272" s="12">
        <v>0</v>
      </c>
      <c r="M272" s="12">
        <v>139</v>
      </c>
      <c r="N272" s="12">
        <v>139</v>
      </c>
      <c r="O272" s="12" t="str">
        <f>VLOOKUP(G272,calculate_field!$B$2:$C$5,2,FALSE)</f>
        <v>Clear/Partly Cloudy</v>
      </c>
      <c r="P272" s="12" t="str">
        <f t="shared" si="30"/>
        <v>Wednesday</v>
      </c>
      <c r="Q272" s="12" t="str">
        <f t="shared" si="31"/>
        <v>Weekday</v>
      </c>
      <c r="R272" s="12" t="str">
        <f t="shared" si="32"/>
        <v>Evening</v>
      </c>
      <c r="S272" s="28" t="str">
        <f>INDEX(calculate_field!$F$2:$F$4, MATCH(H272, calculate_field!$E$2:$E$4, 1))</f>
        <v>Mild</v>
      </c>
      <c r="T272" s="33">
        <f t="shared" si="33"/>
        <v>57.375</v>
      </c>
      <c r="U272" s="33">
        <f t="shared" si="34"/>
        <v>52.703281392767352</v>
      </c>
      <c r="V272" s="33">
        <f t="shared" si="35"/>
        <v>0.33782800592736023</v>
      </c>
      <c r="W272" s="12" t="b">
        <f t="shared" si="36"/>
        <v>0</v>
      </c>
    </row>
    <row r="273" spans="1:23">
      <c r="A273" s="26">
        <v>272</v>
      </c>
      <c r="B273" s="27">
        <v>40555</v>
      </c>
      <c r="C273" s="12">
        <v>1</v>
      </c>
      <c r="D273" s="12">
        <v>18</v>
      </c>
      <c r="E273" s="12" t="b">
        <v>0</v>
      </c>
      <c r="F273" s="12">
        <v>3</v>
      </c>
      <c r="G273" s="12">
        <v>1</v>
      </c>
      <c r="H273" s="12">
        <v>0.2</v>
      </c>
      <c r="I273" s="12">
        <v>0.1515</v>
      </c>
      <c r="J273" s="12">
        <v>0.47</v>
      </c>
      <c r="K273" s="12">
        <v>0.52239999999999998</v>
      </c>
      <c r="L273" s="12">
        <v>2</v>
      </c>
      <c r="M273" s="12">
        <v>135</v>
      </c>
      <c r="N273" s="12">
        <v>137</v>
      </c>
      <c r="O273" s="12" t="str">
        <f>VLOOKUP(G273,calculate_field!$B$2:$C$5,2,FALSE)</f>
        <v>Clear/Partly Cloudy</v>
      </c>
      <c r="P273" s="12" t="str">
        <f t="shared" si="30"/>
        <v>Wednesday</v>
      </c>
      <c r="Q273" s="12" t="str">
        <f t="shared" si="31"/>
        <v>Weekday</v>
      </c>
      <c r="R273" s="12" t="str">
        <f t="shared" si="32"/>
        <v>Evening</v>
      </c>
      <c r="S273" s="28" t="str">
        <f>INDEX(calculate_field!$F$2:$F$4, MATCH(H273, calculate_field!$E$2:$E$4, 1))</f>
        <v>Mild</v>
      </c>
      <c r="T273" s="33">
        <f t="shared" si="33"/>
        <v>58.333333333333336</v>
      </c>
      <c r="U273" s="33">
        <f t="shared" si="34"/>
        <v>54.432779978905025</v>
      </c>
      <c r="V273" s="33">
        <f t="shared" si="35"/>
        <v>1.857059520665961</v>
      </c>
      <c r="W273" s="12" t="b">
        <f t="shared" si="36"/>
        <v>0</v>
      </c>
    </row>
    <row r="274" spans="1:23">
      <c r="A274" s="26">
        <v>273</v>
      </c>
      <c r="B274" s="27">
        <v>40555</v>
      </c>
      <c r="C274" s="12">
        <v>1</v>
      </c>
      <c r="D274" s="12">
        <v>19</v>
      </c>
      <c r="E274" s="12" t="b">
        <v>0</v>
      </c>
      <c r="F274" s="12">
        <v>3</v>
      </c>
      <c r="G274" s="12">
        <v>1</v>
      </c>
      <c r="H274" s="12">
        <v>0.18</v>
      </c>
      <c r="I274" s="12">
        <v>0.1515</v>
      </c>
      <c r="J274" s="12">
        <v>0.47</v>
      </c>
      <c r="K274" s="12">
        <v>0.41789999999999999</v>
      </c>
      <c r="L274" s="12">
        <v>1</v>
      </c>
      <c r="M274" s="12">
        <v>82</v>
      </c>
      <c r="N274" s="12">
        <v>83</v>
      </c>
      <c r="O274" s="12" t="str">
        <f>VLOOKUP(G274,calculate_field!$B$2:$C$5,2,FALSE)</f>
        <v>Clear/Partly Cloudy</v>
      </c>
      <c r="P274" s="12" t="str">
        <f t="shared" si="30"/>
        <v>Wednesday</v>
      </c>
      <c r="Q274" s="12" t="str">
        <f t="shared" si="31"/>
        <v>Weekday</v>
      </c>
      <c r="R274" s="12" t="str">
        <f t="shared" si="32"/>
        <v>Evening</v>
      </c>
      <c r="S274" s="28" t="str">
        <f>INDEX(calculate_field!$F$2:$F$4, MATCH(H274, calculate_field!$E$2:$E$4, 1))</f>
        <v>Cold</v>
      </c>
      <c r="T274" s="33">
        <f t="shared" si="33"/>
        <v>58.625</v>
      </c>
      <c r="U274" s="33">
        <f t="shared" si="34"/>
        <v>54.889464024251183</v>
      </c>
      <c r="V274" s="33">
        <f t="shared" si="35"/>
        <v>1.5813213611887156</v>
      </c>
      <c r="W274" s="12" t="b">
        <f t="shared" si="36"/>
        <v>0</v>
      </c>
    </row>
    <row r="275" spans="1:23">
      <c r="A275" s="26">
        <v>274</v>
      </c>
      <c r="B275" s="27">
        <v>40555</v>
      </c>
      <c r="C275" s="12">
        <v>1</v>
      </c>
      <c r="D275" s="12">
        <v>20</v>
      </c>
      <c r="E275" s="12" t="b">
        <v>0</v>
      </c>
      <c r="F275" s="12">
        <v>3</v>
      </c>
      <c r="G275" s="12">
        <v>1</v>
      </c>
      <c r="H275" s="12">
        <v>0.16</v>
      </c>
      <c r="I275" s="12">
        <v>0.13639999999999999</v>
      </c>
      <c r="J275" s="12">
        <v>0.5</v>
      </c>
      <c r="K275" s="12">
        <v>0.32840000000000003</v>
      </c>
      <c r="L275" s="12">
        <v>2</v>
      </c>
      <c r="M275" s="12">
        <v>54</v>
      </c>
      <c r="N275" s="12">
        <v>56</v>
      </c>
      <c r="O275" s="12" t="str">
        <f>VLOOKUP(G275,calculate_field!$B$2:$C$5,2,FALSE)</f>
        <v>Clear/Partly Cloudy</v>
      </c>
      <c r="P275" s="12" t="str">
        <f t="shared" si="30"/>
        <v>Wednesday</v>
      </c>
      <c r="Q275" s="12" t="str">
        <f t="shared" si="31"/>
        <v>Weekday</v>
      </c>
      <c r="R275" s="12" t="str">
        <f t="shared" si="32"/>
        <v>Evening</v>
      </c>
      <c r="S275" s="28" t="str">
        <f>INDEX(calculate_field!$F$2:$F$4, MATCH(H275, calculate_field!$E$2:$E$4, 1))</f>
        <v>Cold</v>
      </c>
      <c r="T275" s="33">
        <f t="shared" si="33"/>
        <v>59.291666666666664</v>
      </c>
      <c r="U275" s="33">
        <f t="shared" si="34"/>
        <v>55.29405909331031</v>
      </c>
      <c r="V275" s="33">
        <f t="shared" si="35"/>
        <v>0.77233750013340174</v>
      </c>
      <c r="W275" s="12" t="b">
        <f t="shared" si="36"/>
        <v>0</v>
      </c>
    </row>
    <row r="276" spans="1:23">
      <c r="A276" s="26">
        <v>275</v>
      </c>
      <c r="B276" s="27">
        <v>40555</v>
      </c>
      <c r="C276" s="12">
        <v>1</v>
      </c>
      <c r="D276" s="12">
        <v>21</v>
      </c>
      <c r="E276" s="12" t="b">
        <v>0</v>
      </c>
      <c r="F276" s="12">
        <v>3</v>
      </c>
      <c r="G276" s="12">
        <v>1</v>
      </c>
      <c r="H276" s="12">
        <v>0.16</v>
      </c>
      <c r="I276" s="12">
        <v>0.13639999999999999</v>
      </c>
      <c r="J276" s="12">
        <v>0.55000000000000004</v>
      </c>
      <c r="K276" s="12">
        <v>0.32840000000000003</v>
      </c>
      <c r="L276" s="12">
        <v>0</v>
      </c>
      <c r="M276" s="12">
        <v>57</v>
      </c>
      <c r="N276" s="12">
        <v>57</v>
      </c>
      <c r="O276" s="12" t="str">
        <f>VLOOKUP(G276,calculate_field!$B$2:$C$5,2,FALSE)</f>
        <v>Clear/Partly Cloudy</v>
      </c>
      <c r="P276" s="12" t="str">
        <f t="shared" si="30"/>
        <v>Wednesday</v>
      </c>
      <c r="Q276" s="12" t="str">
        <f t="shared" si="31"/>
        <v>Weekday</v>
      </c>
      <c r="R276" s="12" t="str">
        <f t="shared" si="32"/>
        <v>Night</v>
      </c>
      <c r="S276" s="28" t="str">
        <f>INDEX(calculate_field!$F$2:$F$4, MATCH(H276, calculate_field!$E$2:$E$4, 1))</f>
        <v>Cold</v>
      </c>
      <c r="T276" s="33">
        <f t="shared" si="33"/>
        <v>59.625</v>
      </c>
      <c r="U276" s="33">
        <f t="shared" si="34"/>
        <v>55.29746633082474</v>
      </c>
      <c r="V276" s="33">
        <f t="shared" si="35"/>
        <v>7.1223108843159355E-2</v>
      </c>
      <c r="W276" s="12" t="b">
        <f t="shared" si="36"/>
        <v>0</v>
      </c>
    </row>
    <row r="277" spans="1:23">
      <c r="A277" s="26">
        <v>276</v>
      </c>
      <c r="B277" s="27">
        <v>40555</v>
      </c>
      <c r="C277" s="12">
        <v>1</v>
      </c>
      <c r="D277" s="12">
        <v>22</v>
      </c>
      <c r="E277" s="12" t="b">
        <v>0</v>
      </c>
      <c r="F277" s="12">
        <v>3</v>
      </c>
      <c r="G277" s="12">
        <v>1</v>
      </c>
      <c r="H277" s="12">
        <v>0.16</v>
      </c>
      <c r="I277" s="12">
        <v>0.1212</v>
      </c>
      <c r="J277" s="12">
        <v>0.55000000000000004</v>
      </c>
      <c r="K277" s="12">
        <v>0.44779999999999998</v>
      </c>
      <c r="L277" s="12">
        <v>1</v>
      </c>
      <c r="M277" s="12">
        <v>32</v>
      </c>
      <c r="N277" s="12">
        <v>33</v>
      </c>
      <c r="O277" s="12" t="str">
        <f>VLOOKUP(G277,calculate_field!$B$2:$C$5,2,FALSE)</f>
        <v>Clear/Partly Cloudy</v>
      </c>
      <c r="P277" s="12" t="str">
        <f t="shared" si="30"/>
        <v>Wednesday</v>
      </c>
      <c r="Q277" s="12" t="str">
        <f t="shared" si="31"/>
        <v>Weekday</v>
      </c>
      <c r="R277" s="12" t="str">
        <f t="shared" si="32"/>
        <v>Night</v>
      </c>
      <c r="S277" s="28" t="str">
        <f>INDEX(calculate_field!$F$2:$F$4, MATCH(H277, calculate_field!$E$2:$E$4, 1))</f>
        <v>Cold</v>
      </c>
      <c r="T277" s="33">
        <f t="shared" si="33"/>
        <v>58.916666666666664</v>
      </c>
      <c r="U277" s="33">
        <f t="shared" si="34"/>
        <v>55.441247136567654</v>
      </c>
      <c r="V277" s="33">
        <f t="shared" si="35"/>
        <v>-0.42446658809175541</v>
      </c>
      <c r="W277" s="12" t="b">
        <f t="shared" si="36"/>
        <v>0</v>
      </c>
    </row>
    <row r="278" spans="1:23">
      <c r="A278" s="26">
        <v>277</v>
      </c>
      <c r="B278" s="27">
        <v>40555</v>
      </c>
      <c r="C278" s="12">
        <v>1</v>
      </c>
      <c r="D278" s="12">
        <v>23</v>
      </c>
      <c r="E278" s="12" t="b">
        <v>0</v>
      </c>
      <c r="F278" s="12">
        <v>3</v>
      </c>
      <c r="G278" s="12">
        <v>1</v>
      </c>
      <c r="H278" s="12">
        <v>0.14000000000000001</v>
      </c>
      <c r="I278" s="12">
        <v>0.1061</v>
      </c>
      <c r="J278" s="12">
        <v>0.59</v>
      </c>
      <c r="K278" s="12">
        <v>0.41789999999999999</v>
      </c>
      <c r="L278" s="12">
        <v>1</v>
      </c>
      <c r="M278" s="12">
        <v>19</v>
      </c>
      <c r="N278" s="12">
        <v>20</v>
      </c>
      <c r="O278" s="12" t="str">
        <f>VLOOKUP(G278,calculate_field!$B$2:$C$5,2,FALSE)</f>
        <v>Clear/Partly Cloudy</v>
      </c>
      <c r="P278" s="12" t="str">
        <f t="shared" si="30"/>
        <v>Wednesday</v>
      </c>
      <c r="Q278" s="12" t="str">
        <f t="shared" si="31"/>
        <v>Weekday</v>
      </c>
      <c r="R278" s="12" t="str">
        <f t="shared" si="32"/>
        <v>Night</v>
      </c>
      <c r="S278" s="28" t="str">
        <f>INDEX(calculate_field!$F$2:$F$4, MATCH(H278, calculate_field!$E$2:$E$4, 1))</f>
        <v>Cold</v>
      </c>
      <c r="T278" s="33">
        <f t="shared" si="33"/>
        <v>58.791666666666664</v>
      </c>
      <c r="U278" s="33">
        <f t="shared" si="34"/>
        <v>55.50556506894771</v>
      </c>
      <c r="V278" s="33">
        <f t="shared" si="35"/>
        <v>-0.6307916604435827</v>
      </c>
      <c r="W278" s="12" t="b">
        <f t="shared" si="36"/>
        <v>0</v>
      </c>
    </row>
    <row r="279" spans="1:23">
      <c r="A279" s="26">
        <v>278</v>
      </c>
      <c r="B279" s="27">
        <v>40556</v>
      </c>
      <c r="C279" s="12">
        <v>1</v>
      </c>
      <c r="D279" s="12">
        <v>0</v>
      </c>
      <c r="E279" s="12" t="b">
        <v>0</v>
      </c>
      <c r="F279" s="12">
        <v>4</v>
      </c>
      <c r="G279" s="12">
        <v>1</v>
      </c>
      <c r="H279" s="12">
        <v>0.14000000000000001</v>
      </c>
      <c r="I279" s="12">
        <v>0.1212</v>
      </c>
      <c r="J279" s="12">
        <v>0.59</v>
      </c>
      <c r="K279" s="12">
        <v>0.28360000000000002</v>
      </c>
      <c r="L279" s="12">
        <v>1</v>
      </c>
      <c r="M279" s="12">
        <v>6</v>
      </c>
      <c r="N279" s="12">
        <v>7</v>
      </c>
      <c r="O279" s="12" t="str">
        <f>VLOOKUP(G279,calculate_field!$B$2:$C$5,2,FALSE)</f>
        <v>Clear/Partly Cloudy</v>
      </c>
      <c r="P279" s="12" t="str">
        <f t="shared" si="30"/>
        <v>Thursday</v>
      </c>
      <c r="Q279" s="12" t="str">
        <f t="shared" si="31"/>
        <v>Weekday</v>
      </c>
      <c r="R279" s="12" t="str">
        <f t="shared" si="32"/>
        <v>Night</v>
      </c>
      <c r="S279" s="28" t="str">
        <f>INDEX(calculate_field!$F$2:$F$4, MATCH(H279, calculate_field!$E$2:$E$4, 1))</f>
        <v>Cold</v>
      </c>
      <c r="T279" s="33">
        <f t="shared" si="33"/>
        <v>58.583333333333336</v>
      </c>
      <c r="U279" s="33">
        <f t="shared" si="34"/>
        <v>55.666644970923478</v>
      </c>
      <c r="V279" s="33">
        <f t="shared" si="35"/>
        <v>-0.94228500458356057</v>
      </c>
      <c r="W279" s="12" t="b">
        <f t="shared" si="36"/>
        <v>0</v>
      </c>
    </row>
    <row r="280" spans="1:23">
      <c r="A280" s="26">
        <v>279</v>
      </c>
      <c r="B280" s="27">
        <v>40556</v>
      </c>
      <c r="C280" s="12">
        <v>1</v>
      </c>
      <c r="D280" s="12">
        <v>1</v>
      </c>
      <c r="E280" s="12" t="b">
        <v>0</v>
      </c>
      <c r="F280" s="12">
        <v>4</v>
      </c>
      <c r="G280" s="12">
        <v>1</v>
      </c>
      <c r="H280" s="12">
        <v>0.14000000000000001</v>
      </c>
      <c r="I280" s="12">
        <v>0.1212</v>
      </c>
      <c r="J280" s="12">
        <v>0.5</v>
      </c>
      <c r="K280" s="12">
        <v>0.28360000000000002</v>
      </c>
      <c r="L280" s="12">
        <v>0</v>
      </c>
      <c r="M280" s="12">
        <v>2</v>
      </c>
      <c r="N280" s="12">
        <v>2</v>
      </c>
      <c r="O280" s="12" t="str">
        <f>VLOOKUP(G280,calculate_field!$B$2:$C$5,2,FALSE)</f>
        <v>Clear/Partly Cloudy</v>
      </c>
      <c r="P280" s="12" t="str">
        <f t="shared" si="30"/>
        <v>Thursday</v>
      </c>
      <c r="Q280" s="12" t="str">
        <f t="shared" si="31"/>
        <v>Weekday</v>
      </c>
      <c r="R280" s="12" t="str">
        <f t="shared" si="32"/>
        <v>Night</v>
      </c>
      <c r="S280" s="28" t="str">
        <f>INDEX(calculate_field!$F$2:$F$4, MATCH(H280, calculate_field!$E$2:$E$4, 1))</f>
        <v>Cold</v>
      </c>
      <c r="T280" s="33">
        <f t="shared" si="33"/>
        <v>58.875</v>
      </c>
      <c r="U280" s="33">
        <f t="shared" si="34"/>
        <v>55.402332787174849</v>
      </c>
      <c r="V280" s="33">
        <f t="shared" si="35"/>
        <v>-0.98421962302830823</v>
      </c>
      <c r="W280" s="12" t="b">
        <f t="shared" si="36"/>
        <v>1</v>
      </c>
    </row>
    <row r="281" spans="1:23">
      <c r="A281" s="26">
        <v>280</v>
      </c>
      <c r="B281" s="27">
        <v>40556</v>
      </c>
      <c r="C281" s="12">
        <v>1</v>
      </c>
      <c r="D281" s="12">
        <v>2</v>
      </c>
      <c r="E281" s="12" t="b">
        <v>0</v>
      </c>
      <c r="F281" s="12">
        <v>4</v>
      </c>
      <c r="G281" s="12">
        <v>1</v>
      </c>
      <c r="H281" s="12">
        <v>0.14000000000000001</v>
      </c>
      <c r="I281" s="12">
        <v>0.1212</v>
      </c>
      <c r="J281" s="12">
        <v>0.5</v>
      </c>
      <c r="K281" s="12">
        <v>0.35820000000000002</v>
      </c>
      <c r="L281" s="12">
        <v>0</v>
      </c>
      <c r="M281" s="12">
        <v>2</v>
      </c>
      <c r="N281" s="12">
        <v>2</v>
      </c>
      <c r="O281" s="12" t="str">
        <f>VLOOKUP(G281,calculate_field!$B$2:$C$5,2,FALSE)</f>
        <v>Clear/Partly Cloudy</v>
      </c>
      <c r="P281" s="12" t="str">
        <f t="shared" si="30"/>
        <v>Thursday</v>
      </c>
      <c r="Q281" s="12" t="str">
        <f t="shared" si="31"/>
        <v>Weekday</v>
      </c>
      <c r="R281" s="12" t="str">
        <f t="shared" si="32"/>
        <v>Night</v>
      </c>
      <c r="S281" s="28" t="str">
        <f>INDEX(calculate_field!$F$2:$F$4, MATCH(H281, calculate_field!$E$2:$E$4, 1))</f>
        <v>Cold</v>
      </c>
      <c r="T281" s="33">
        <f t="shared" si="33"/>
        <v>59</v>
      </c>
      <c r="U281" s="33">
        <f t="shared" si="34"/>
        <v>55.271661108918472</v>
      </c>
      <c r="V281" s="33">
        <f t="shared" si="35"/>
        <v>-1.1866136543094137</v>
      </c>
      <c r="W281" s="12" t="b">
        <f t="shared" si="36"/>
        <v>1</v>
      </c>
    </row>
    <row r="282" spans="1:23">
      <c r="A282" s="26">
        <v>281</v>
      </c>
      <c r="B282" s="27">
        <v>40556</v>
      </c>
      <c r="C282" s="12">
        <v>1</v>
      </c>
      <c r="D282" s="12">
        <v>3</v>
      </c>
      <c r="E282" s="12" t="b">
        <v>0</v>
      </c>
      <c r="F282" s="12">
        <v>4</v>
      </c>
      <c r="G282" s="12">
        <v>1</v>
      </c>
      <c r="H282" s="12">
        <v>0.14000000000000001</v>
      </c>
      <c r="I282" s="12">
        <v>0.1212</v>
      </c>
      <c r="J282" s="12">
        <v>0.5</v>
      </c>
      <c r="K282" s="12">
        <v>0.32840000000000003</v>
      </c>
      <c r="L282" s="12">
        <v>0</v>
      </c>
      <c r="M282" s="12">
        <v>3</v>
      </c>
      <c r="N282" s="12">
        <v>3</v>
      </c>
      <c r="O282" s="12" t="str">
        <f>VLOOKUP(G282,calculate_field!$B$2:$C$5,2,FALSE)</f>
        <v>Clear/Partly Cloudy</v>
      </c>
      <c r="P282" s="12" t="str">
        <f t="shared" si="30"/>
        <v>Thursday</v>
      </c>
      <c r="Q282" s="12" t="str">
        <f t="shared" si="31"/>
        <v>Weekday</v>
      </c>
      <c r="R282" s="12" t="str">
        <f t="shared" si="32"/>
        <v>Night</v>
      </c>
      <c r="S282" s="28" t="str">
        <f>INDEX(calculate_field!$F$2:$F$4, MATCH(H282, calculate_field!$E$2:$E$4, 1))</f>
        <v>Cold</v>
      </c>
      <c r="T282" s="33">
        <f t="shared" si="33"/>
        <v>58.958333333333336</v>
      </c>
      <c r="U282" s="33">
        <f t="shared" si="34"/>
        <v>55.316857377701126</v>
      </c>
      <c r="V282" s="33">
        <f t="shared" si="35"/>
        <v>-1.2875201010384303</v>
      </c>
      <c r="W282" s="12" t="b">
        <f t="shared" si="36"/>
        <v>0</v>
      </c>
    </row>
    <row r="283" spans="1:23">
      <c r="A283" s="26">
        <v>282</v>
      </c>
      <c r="B283" s="27">
        <v>40556</v>
      </c>
      <c r="C283" s="12">
        <v>1</v>
      </c>
      <c r="D283" s="12">
        <v>4</v>
      </c>
      <c r="E283" s="12" t="b">
        <v>0</v>
      </c>
      <c r="F283" s="12">
        <v>4</v>
      </c>
      <c r="G283" s="12">
        <v>1</v>
      </c>
      <c r="H283" s="12">
        <v>0.14000000000000001</v>
      </c>
      <c r="I283" s="12">
        <v>0.1212</v>
      </c>
      <c r="J283" s="12">
        <v>0.5</v>
      </c>
      <c r="K283" s="12">
        <v>0.25369999999999998</v>
      </c>
      <c r="L283" s="12">
        <v>0</v>
      </c>
      <c r="M283" s="12">
        <v>4</v>
      </c>
      <c r="N283" s="12">
        <v>4</v>
      </c>
      <c r="O283" s="12" t="str">
        <f>VLOOKUP(G283,calculate_field!$B$2:$C$5,2,FALSE)</f>
        <v>Clear/Partly Cloudy</v>
      </c>
      <c r="P283" s="12" t="str">
        <f t="shared" si="30"/>
        <v>Thursday</v>
      </c>
      <c r="Q283" s="12" t="str">
        <f t="shared" si="31"/>
        <v>Weekday</v>
      </c>
      <c r="R283" s="12" t="str">
        <f t="shared" si="32"/>
        <v>Night</v>
      </c>
      <c r="S283" s="28" t="str">
        <f>INDEX(calculate_field!$F$2:$F$4, MATCH(H283, calculate_field!$E$2:$E$4, 1))</f>
        <v>Cold</v>
      </c>
      <c r="T283" s="33">
        <f t="shared" si="33"/>
        <v>58.875</v>
      </c>
      <c r="U283" s="33">
        <f t="shared" si="34"/>
        <v>55.406256513768959</v>
      </c>
      <c r="V283" s="33">
        <f t="shared" si="35"/>
        <v>-1.3041961511970126</v>
      </c>
      <c r="W283" s="12" t="b">
        <f t="shared" si="36"/>
        <v>0</v>
      </c>
    </row>
    <row r="284" spans="1:23">
      <c r="A284" s="26">
        <v>283</v>
      </c>
      <c r="B284" s="27">
        <v>40556</v>
      </c>
      <c r="C284" s="12">
        <v>1</v>
      </c>
      <c r="D284" s="12">
        <v>5</v>
      </c>
      <c r="E284" s="12" t="b">
        <v>0</v>
      </c>
      <c r="F284" s="12">
        <v>4</v>
      </c>
      <c r="G284" s="12">
        <v>1</v>
      </c>
      <c r="H284" s="12">
        <v>0.14000000000000001</v>
      </c>
      <c r="I284" s="12">
        <v>0.1212</v>
      </c>
      <c r="J284" s="12">
        <v>0.5</v>
      </c>
      <c r="K284" s="12">
        <v>0.29849999999999999</v>
      </c>
      <c r="L284" s="12">
        <v>0</v>
      </c>
      <c r="M284" s="12">
        <v>3</v>
      </c>
      <c r="N284" s="12">
        <v>3</v>
      </c>
      <c r="O284" s="12" t="str">
        <f>VLOOKUP(G284,calculate_field!$B$2:$C$5,2,FALSE)</f>
        <v>Clear/Partly Cloudy</v>
      </c>
      <c r="P284" s="12" t="str">
        <f t="shared" si="30"/>
        <v>Thursday</v>
      </c>
      <c r="Q284" s="12" t="str">
        <f t="shared" si="31"/>
        <v>Weekday</v>
      </c>
      <c r="R284" s="12" t="str">
        <f t="shared" si="32"/>
        <v>Night</v>
      </c>
      <c r="S284" s="28" t="str">
        <f>INDEX(calculate_field!$F$2:$F$4, MATCH(H284, calculate_field!$E$2:$E$4, 1))</f>
        <v>Cold</v>
      </c>
      <c r="T284" s="33">
        <f t="shared" si="33"/>
        <v>59.041666666666664</v>
      </c>
      <c r="U284" s="33">
        <f t="shared" si="34"/>
        <v>55.239777072454707</v>
      </c>
      <c r="V284" s="33">
        <f t="shared" si="35"/>
        <v>-1.161715866690588</v>
      </c>
      <c r="W284" s="12" t="b">
        <f t="shared" si="36"/>
        <v>0</v>
      </c>
    </row>
    <row r="285" spans="1:23">
      <c r="A285" s="26">
        <v>284</v>
      </c>
      <c r="B285" s="27">
        <v>40556</v>
      </c>
      <c r="C285" s="12">
        <v>1</v>
      </c>
      <c r="D285" s="12">
        <v>6</v>
      </c>
      <c r="E285" s="12" t="b">
        <v>0</v>
      </c>
      <c r="F285" s="12">
        <v>4</v>
      </c>
      <c r="G285" s="12">
        <v>1</v>
      </c>
      <c r="H285" s="12">
        <v>0.12</v>
      </c>
      <c r="I285" s="12">
        <v>0.1515</v>
      </c>
      <c r="J285" s="12">
        <v>0.54</v>
      </c>
      <c r="K285" s="12">
        <v>0.1343</v>
      </c>
      <c r="L285" s="12">
        <v>0</v>
      </c>
      <c r="M285" s="12">
        <v>28</v>
      </c>
      <c r="N285" s="12">
        <v>28</v>
      </c>
      <c r="O285" s="12" t="str">
        <f>VLOOKUP(G285,calculate_field!$B$2:$C$5,2,FALSE)</f>
        <v>Clear/Partly Cloudy</v>
      </c>
      <c r="P285" s="12" t="str">
        <f t="shared" si="30"/>
        <v>Thursday</v>
      </c>
      <c r="Q285" s="12" t="str">
        <f t="shared" si="31"/>
        <v>Weekday</v>
      </c>
      <c r="R285" s="12" t="str">
        <f t="shared" si="32"/>
        <v>Morning</v>
      </c>
      <c r="S285" s="28" t="str">
        <f>INDEX(calculate_field!$F$2:$F$4, MATCH(H285, calculate_field!$E$2:$E$4, 1))</f>
        <v>Cold</v>
      </c>
      <c r="T285" s="33">
        <f t="shared" si="33"/>
        <v>59.625</v>
      </c>
      <c r="U285" s="33">
        <f t="shared" si="34"/>
        <v>54.693463960513597</v>
      </c>
      <c r="V285" s="33">
        <f t="shared" si="35"/>
        <v>-0.95172855595649186</v>
      </c>
      <c r="W285" s="12" t="b">
        <f t="shared" si="36"/>
        <v>0</v>
      </c>
    </row>
    <row r="286" spans="1:23">
      <c r="A286" s="26">
        <v>285</v>
      </c>
      <c r="B286" s="27">
        <v>40556</v>
      </c>
      <c r="C286" s="12">
        <v>1</v>
      </c>
      <c r="D286" s="12">
        <v>7</v>
      </c>
      <c r="E286" s="12" t="b">
        <v>0</v>
      </c>
      <c r="F286" s="12">
        <v>4</v>
      </c>
      <c r="G286" s="12">
        <v>1</v>
      </c>
      <c r="H286" s="12">
        <v>0.12</v>
      </c>
      <c r="I286" s="12">
        <v>0.1515</v>
      </c>
      <c r="J286" s="12">
        <v>0.54</v>
      </c>
      <c r="K286" s="12">
        <v>0.1343</v>
      </c>
      <c r="L286" s="12">
        <v>0</v>
      </c>
      <c r="M286" s="12">
        <v>72</v>
      </c>
      <c r="N286" s="12">
        <v>72</v>
      </c>
      <c r="O286" s="12" t="str">
        <f>VLOOKUP(G286,calculate_field!$B$2:$C$5,2,FALSE)</f>
        <v>Clear/Partly Cloudy</v>
      </c>
      <c r="P286" s="12" t="str">
        <f t="shared" si="30"/>
        <v>Thursday</v>
      </c>
      <c r="Q286" s="12" t="str">
        <f t="shared" si="31"/>
        <v>Weekday</v>
      </c>
      <c r="R286" s="12" t="str">
        <f t="shared" si="32"/>
        <v>Morning</v>
      </c>
      <c r="S286" s="28" t="str">
        <f>INDEX(calculate_field!$F$2:$F$4, MATCH(H286, calculate_field!$E$2:$E$4, 1))</f>
        <v>Cold</v>
      </c>
      <c r="T286" s="33">
        <f t="shared" si="33"/>
        <v>61.375</v>
      </c>
      <c r="U286" s="33">
        <f t="shared" si="34"/>
        <v>54.308148559861621</v>
      </c>
      <c r="V286" s="33">
        <f t="shared" si="35"/>
        <v>0.20220528194857867</v>
      </c>
      <c r="W286" s="12" t="b">
        <f t="shared" si="36"/>
        <v>0</v>
      </c>
    </row>
    <row r="287" spans="1:23">
      <c r="A287" s="26">
        <v>286</v>
      </c>
      <c r="B287" s="27">
        <v>40556</v>
      </c>
      <c r="C287" s="12">
        <v>1</v>
      </c>
      <c r="D287" s="12">
        <v>8</v>
      </c>
      <c r="E287" s="12" t="b">
        <v>0</v>
      </c>
      <c r="F287" s="12">
        <v>4</v>
      </c>
      <c r="G287" s="12">
        <v>1</v>
      </c>
      <c r="H287" s="12">
        <v>0.14000000000000001</v>
      </c>
      <c r="I287" s="12">
        <v>0.13639999999999999</v>
      </c>
      <c r="J287" s="12">
        <v>0.5</v>
      </c>
      <c r="K287" s="12">
        <v>0.19400000000000001</v>
      </c>
      <c r="L287" s="12">
        <v>5</v>
      </c>
      <c r="M287" s="12">
        <v>197</v>
      </c>
      <c r="N287" s="12">
        <v>202</v>
      </c>
      <c r="O287" s="12" t="str">
        <f>VLOOKUP(G287,calculate_field!$B$2:$C$5,2,FALSE)</f>
        <v>Clear/Partly Cloudy</v>
      </c>
      <c r="P287" s="12" t="str">
        <f t="shared" si="30"/>
        <v>Thursday</v>
      </c>
      <c r="Q287" s="12" t="str">
        <f t="shared" si="31"/>
        <v>Weekday</v>
      </c>
      <c r="R287" s="12" t="str">
        <f t="shared" si="32"/>
        <v>Morning</v>
      </c>
      <c r="S287" s="28" t="str">
        <f>INDEX(calculate_field!$F$2:$F$4, MATCH(H287, calculate_field!$E$2:$E$4, 1))</f>
        <v>Cold</v>
      </c>
      <c r="T287" s="33">
        <f t="shared" si="33"/>
        <v>64.958333333333329</v>
      </c>
      <c r="U287" s="33">
        <f t="shared" si="34"/>
        <v>57.766756775898344</v>
      </c>
      <c r="V287" s="33">
        <f t="shared" si="35"/>
        <v>2.0816448814367741</v>
      </c>
      <c r="W287" s="12" t="b">
        <f t="shared" si="36"/>
        <v>0</v>
      </c>
    </row>
    <row r="288" spans="1:23">
      <c r="A288" s="26">
        <v>287</v>
      </c>
      <c r="B288" s="27">
        <v>40556</v>
      </c>
      <c r="C288" s="12">
        <v>1</v>
      </c>
      <c r="D288" s="12">
        <v>9</v>
      </c>
      <c r="E288" s="12" t="b">
        <v>0</v>
      </c>
      <c r="F288" s="12">
        <v>4</v>
      </c>
      <c r="G288" s="12">
        <v>1</v>
      </c>
      <c r="H288" s="12">
        <v>0.14000000000000001</v>
      </c>
      <c r="I288" s="12">
        <v>0.1212</v>
      </c>
      <c r="J288" s="12">
        <v>0.5</v>
      </c>
      <c r="K288" s="12">
        <v>0.32840000000000003</v>
      </c>
      <c r="L288" s="12">
        <v>2</v>
      </c>
      <c r="M288" s="12">
        <v>137</v>
      </c>
      <c r="N288" s="12">
        <v>139</v>
      </c>
      <c r="O288" s="12" t="str">
        <f>VLOOKUP(G288,calculate_field!$B$2:$C$5,2,FALSE)</f>
        <v>Clear/Partly Cloudy</v>
      </c>
      <c r="P288" s="12" t="str">
        <f t="shared" si="30"/>
        <v>Thursday</v>
      </c>
      <c r="Q288" s="12" t="str">
        <f t="shared" si="31"/>
        <v>Weekday</v>
      </c>
      <c r="R288" s="12" t="str">
        <f t="shared" si="32"/>
        <v>Morning</v>
      </c>
      <c r="S288" s="28" t="str">
        <f>INDEX(calculate_field!$F$2:$F$4, MATCH(H288, calculate_field!$E$2:$E$4, 1))</f>
        <v>Cold</v>
      </c>
      <c r="T288" s="33">
        <f t="shared" si="33"/>
        <v>61.416666666666664</v>
      </c>
      <c r="U288" s="33">
        <f t="shared" si="34"/>
        <v>51.235956011435924</v>
      </c>
      <c r="V288" s="33">
        <f t="shared" si="35"/>
        <v>1.4852589686948297</v>
      </c>
      <c r="W288" s="12" t="b">
        <f t="shared" si="36"/>
        <v>0</v>
      </c>
    </row>
    <row r="289" spans="1:23">
      <c r="A289" s="26">
        <v>288</v>
      </c>
      <c r="B289" s="27">
        <v>40556</v>
      </c>
      <c r="C289" s="12">
        <v>1</v>
      </c>
      <c r="D289" s="12">
        <v>10</v>
      </c>
      <c r="E289" s="12" t="b">
        <v>0</v>
      </c>
      <c r="F289" s="12">
        <v>4</v>
      </c>
      <c r="G289" s="12">
        <v>2</v>
      </c>
      <c r="H289" s="12">
        <v>0.16</v>
      </c>
      <c r="I289" s="12">
        <v>0.13639999999999999</v>
      </c>
      <c r="J289" s="12">
        <v>0.5</v>
      </c>
      <c r="K289" s="12">
        <v>0.35820000000000002</v>
      </c>
      <c r="L289" s="12">
        <v>2</v>
      </c>
      <c r="M289" s="12">
        <v>36</v>
      </c>
      <c r="N289" s="12">
        <v>38</v>
      </c>
      <c r="O289" s="12" t="str">
        <f>VLOOKUP(G289,calculate_field!$B$2:$C$5,2,FALSE)</f>
        <v xml:space="preserve">Mist / cloudy </v>
      </c>
      <c r="P289" s="12" t="str">
        <f t="shared" si="30"/>
        <v>Thursday</v>
      </c>
      <c r="Q289" s="12" t="str">
        <f t="shared" si="31"/>
        <v>Weekday</v>
      </c>
      <c r="R289" s="12" t="str">
        <f t="shared" si="32"/>
        <v>Morning</v>
      </c>
      <c r="S289" s="28" t="str">
        <f>INDEX(calculate_field!$F$2:$F$4, MATCH(H289, calculate_field!$E$2:$E$4, 1))</f>
        <v>Cold</v>
      </c>
      <c r="T289" s="33">
        <f t="shared" si="33"/>
        <v>57.458333333333336</v>
      </c>
      <c r="U289" s="33">
        <f t="shared" si="34"/>
        <v>48.582497444769288</v>
      </c>
      <c r="V289" s="33">
        <f t="shared" si="35"/>
        <v>-0.1177125052794037</v>
      </c>
      <c r="W289" s="12" t="b">
        <f t="shared" si="36"/>
        <v>0</v>
      </c>
    </row>
    <row r="290" spans="1:23">
      <c r="A290" s="26">
        <v>289</v>
      </c>
      <c r="B290" s="27">
        <v>40556</v>
      </c>
      <c r="C290" s="12">
        <v>1</v>
      </c>
      <c r="D290" s="12">
        <v>11</v>
      </c>
      <c r="E290" s="12" t="b">
        <v>0</v>
      </c>
      <c r="F290" s="12">
        <v>4</v>
      </c>
      <c r="G290" s="12">
        <v>2</v>
      </c>
      <c r="H290" s="12">
        <v>0.2</v>
      </c>
      <c r="I290" s="12">
        <v>0.16669999999999999</v>
      </c>
      <c r="J290" s="12">
        <v>0.44</v>
      </c>
      <c r="K290" s="12">
        <v>0.44779999999999998</v>
      </c>
      <c r="L290" s="12">
        <v>4</v>
      </c>
      <c r="M290" s="12">
        <v>33</v>
      </c>
      <c r="N290" s="12">
        <v>37</v>
      </c>
      <c r="O290" s="12" t="str">
        <f>VLOOKUP(G290,calculate_field!$B$2:$C$5,2,FALSE)</f>
        <v xml:space="preserve">Mist / cloudy </v>
      </c>
      <c r="P290" s="12" t="str">
        <f t="shared" si="30"/>
        <v>Thursday</v>
      </c>
      <c r="Q290" s="12" t="str">
        <f t="shared" si="31"/>
        <v>Weekday</v>
      </c>
      <c r="R290" s="12" t="str">
        <f t="shared" si="32"/>
        <v>Morning</v>
      </c>
      <c r="S290" s="28" t="str">
        <f>INDEX(calculate_field!$F$2:$F$4, MATCH(H290, calculate_field!$E$2:$E$4, 1))</f>
        <v>Mild</v>
      </c>
      <c r="T290" s="33">
        <f t="shared" si="33"/>
        <v>58.083333333333336</v>
      </c>
      <c r="U290" s="33">
        <f t="shared" si="34"/>
        <v>48.417492946128526</v>
      </c>
      <c r="V290" s="33">
        <f t="shared" si="35"/>
        <v>8.4437328429488617E-2</v>
      </c>
      <c r="W290" s="12" t="b">
        <f t="shared" si="36"/>
        <v>0</v>
      </c>
    </row>
    <row r="291" spans="1:23">
      <c r="A291" s="26">
        <v>290</v>
      </c>
      <c r="B291" s="27">
        <v>40556</v>
      </c>
      <c r="C291" s="12">
        <v>1</v>
      </c>
      <c r="D291" s="12">
        <v>12</v>
      </c>
      <c r="E291" s="12" t="b">
        <v>0</v>
      </c>
      <c r="F291" s="12">
        <v>4</v>
      </c>
      <c r="G291" s="12">
        <v>1</v>
      </c>
      <c r="H291" s="12">
        <v>0.2</v>
      </c>
      <c r="I291" s="12">
        <v>0.16669999999999999</v>
      </c>
      <c r="J291" s="12">
        <v>0.44</v>
      </c>
      <c r="K291" s="12">
        <v>0.41789999999999999</v>
      </c>
      <c r="L291" s="12">
        <v>3</v>
      </c>
      <c r="M291" s="12">
        <v>49</v>
      </c>
      <c r="N291" s="12">
        <v>52</v>
      </c>
      <c r="O291" s="12" t="str">
        <f>VLOOKUP(G291,calculate_field!$B$2:$C$5,2,FALSE)</f>
        <v>Clear/Partly Cloudy</v>
      </c>
      <c r="P291" s="12" t="str">
        <f t="shared" si="30"/>
        <v>Thursday</v>
      </c>
      <c r="Q291" s="12" t="str">
        <f t="shared" si="31"/>
        <v>Weekday</v>
      </c>
      <c r="R291" s="12" t="str">
        <f t="shared" si="32"/>
        <v>Afternoon</v>
      </c>
      <c r="S291" s="28" t="str">
        <f>INDEX(calculate_field!$F$2:$F$4, MATCH(H291, calculate_field!$E$2:$E$4, 1))</f>
        <v>Mild</v>
      </c>
      <c r="T291" s="33">
        <f t="shared" si="33"/>
        <v>59.083333333333336</v>
      </c>
      <c r="U291" s="33">
        <f t="shared" si="34"/>
        <v>48.210513616724782</v>
      </c>
      <c r="V291" s="33">
        <f t="shared" si="35"/>
        <v>0.25678657623592954</v>
      </c>
      <c r="W291" s="12" t="b">
        <f t="shared" si="36"/>
        <v>0</v>
      </c>
    </row>
    <row r="292" spans="1:23">
      <c r="A292" s="26">
        <v>291</v>
      </c>
      <c r="B292" s="27">
        <v>40556</v>
      </c>
      <c r="C292" s="12">
        <v>1</v>
      </c>
      <c r="D292" s="12">
        <v>13</v>
      </c>
      <c r="E292" s="12" t="b">
        <v>0</v>
      </c>
      <c r="F292" s="12">
        <v>4</v>
      </c>
      <c r="G292" s="12">
        <v>1</v>
      </c>
      <c r="H292" s="12">
        <v>0.22</v>
      </c>
      <c r="I292" s="12">
        <v>0.19700000000000001</v>
      </c>
      <c r="J292" s="12">
        <v>0.41</v>
      </c>
      <c r="K292" s="12">
        <v>0.44779999999999998</v>
      </c>
      <c r="L292" s="12">
        <v>2</v>
      </c>
      <c r="M292" s="12">
        <v>81</v>
      </c>
      <c r="N292" s="12">
        <v>83</v>
      </c>
      <c r="O292" s="12" t="str">
        <f>VLOOKUP(G292,calculate_field!$B$2:$C$5,2,FALSE)</f>
        <v>Clear/Partly Cloudy</v>
      </c>
      <c r="P292" s="12" t="str">
        <f t="shared" si="30"/>
        <v>Thursday</v>
      </c>
      <c r="Q292" s="12" t="str">
        <f t="shared" si="31"/>
        <v>Weekday</v>
      </c>
      <c r="R292" s="12" t="str">
        <f t="shared" si="32"/>
        <v>Afternoon</v>
      </c>
      <c r="S292" s="28" t="str">
        <f>INDEX(calculate_field!$F$2:$F$4, MATCH(H292, calculate_field!$E$2:$E$4, 1))</f>
        <v>Mild</v>
      </c>
      <c r="T292" s="33">
        <f t="shared" si="33"/>
        <v>60.125</v>
      </c>
      <c r="U292" s="33">
        <f t="shared" si="34"/>
        <v>48.320769231567859</v>
      </c>
      <c r="V292" s="33">
        <f t="shared" si="35"/>
        <v>0.6024015988071616</v>
      </c>
      <c r="W292" s="12" t="b">
        <f t="shared" si="36"/>
        <v>0</v>
      </c>
    </row>
    <row r="293" spans="1:23">
      <c r="A293" s="26">
        <v>292</v>
      </c>
      <c r="B293" s="27">
        <v>40556</v>
      </c>
      <c r="C293" s="12">
        <v>1</v>
      </c>
      <c r="D293" s="12">
        <v>14</v>
      </c>
      <c r="E293" s="12" t="b">
        <v>0</v>
      </c>
      <c r="F293" s="12">
        <v>4</v>
      </c>
      <c r="G293" s="12">
        <v>1</v>
      </c>
      <c r="H293" s="12">
        <v>0.22</v>
      </c>
      <c r="I293" s="12">
        <v>0.19700000000000001</v>
      </c>
      <c r="J293" s="12">
        <v>0.41</v>
      </c>
      <c r="K293" s="12">
        <v>0.3881</v>
      </c>
      <c r="L293" s="12">
        <v>3</v>
      </c>
      <c r="M293" s="12">
        <v>39</v>
      </c>
      <c r="N293" s="12">
        <v>42</v>
      </c>
      <c r="O293" s="12" t="str">
        <f>VLOOKUP(G293,calculate_field!$B$2:$C$5,2,FALSE)</f>
        <v>Clear/Partly Cloudy</v>
      </c>
      <c r="P293" s="12" t="str">
        <f t="shared" si="30"/>
        <v>Thursday</v>
      </c>
      <c r="Q293" s="12" t="str">
        <f t="shared" si="31"/>
        <v>Weekday</v>
      </c>
      <c r="R293" s="12" t="str">
        <f t="shared" si="32"/>
        <v>Afternoon</v>
      </c>
      <c r="S293" s="28" t="str">
        <f>INDEX(calculate_field!$F$2:$F$4, MATCH(H293, calculate_field!$E$2:$E$4, 1))</f>
        <v>Mild</v>
      </c>
      <c r="T293" s="33">
        <f t="shared" si="33"/>
        <v>59.333333333333336</v>
      </c>
      <c r="U293" s="33">
        <f t="shared" si="34"/>
        <v>48.084768144769413</v>
      </c>
      <c r="V293" s="33">
        <f t="shared" si="35"/>
        <v>0.26654041273218865</v>
      </c>
      <c r="W293" s="12" t="b">
        <f t="shared" si="36"/>
        <v>0</v>
      </c>
    </row>
    <row r="294" spans="1:23">
      <c r="A294" s="26">
        <v>293</v>
      </c>
      <c r="B294" s="27">
        <v>40556</v>
      </c>
      <c r="C294" s="12">
        <v>1</v>
      </c>
      <c r="D294" s="12">
        <v>15</v>
      </c>
      <c r="E294" s="12" t="b">
        <v>0</v>
      </c>
      <c r="F294" s="12">
        <v>4</v>
      </c>
      <c r="G294" s="12">
        <v>1</v>
      </c>
      <c r="H294" s="12">
        <v>0.24</v>
      </c>
      <c r="I294" s="12">
        <v>0.21210000000000001</v>
      </c>
      <c r="J294" s="12">
        <v>0.38</v>
      </c>
      <c r="K294" s="12">
        <v>0.29849999999999999</v>
      </c>
      <c r="L294" s="12">
        <v>5</v>
      </c>
      <c r="M294" s="12">
        <v>55</v>
      </c>
      <c r="N294" s="12">
        <v>60</v>
      </c>
      <c r="O294" s="12" t="str">
        <f>VLOOKUP(G294,calculate_field!$B$2:$C$5,2,FALSE)</f>
        <v>Clear/Partly Cloudy</v>
      </c>
      <c r="P294" s="12" t="str">
        <f t="shared" si="30"/>
        <v>Thursday</v>
      </c>
      <c r="Q294" s="12" t="str">
        <f t="shared" si="31"/>
        <v>Weekday</v>
      </c>
      <c r="R294" s="12" t="str">
        <f t="shared" si="32"/>
        <v>Afternoon</v>
      </c>
      <c r="S294" s="28" t="str">
        <f>INDEX(calculate_field!$F$2:$F$4, MATCH(H294, calculate_field!$E$2:$E$4, 1))</f>
        <v>Mild</v>
      </c>
      <c r="T294" s="33">
        <f t="shared" si="33"/>
        <v>60.416666666666664</v>
      </c>
      <c r="U294" s="33">
        <f t="shared" si="34"/>
        <v>47.970023852462248</v>
      </c>
      <c r="V294" s="33">
        <f t="shared" si="35"/>
        <v>0.29351102833866333</v>
      </c>
      <c r="W294" s="12" t="b">
        <f t="shared" si="36"/>
        <v>0</v>
      </c>
    </row>
    <row r="295" spans="1:23">
      <c r="A295" s="26">
        <v>294</v>
      </c>
      <c r="B295" s="27">
        <v>40556</v>
      </c>
      <c r="C295" s="12">
        <v>1</v>
      </c>
      <c r="D295" s="12">
        <v>16</v>
      </c>
      <c r="E295" s="12" t="b">
        <v>0</v>
      </c>
      <c r="F295" s="12">
        <v>4</v>
      </c>
      <c r="G295" s="12">
        <v>1</v>
      </c>
      <c r="H295" s="12">
        <v>0.24</v>
      </c>
      <c r="I295" s="12">
        <v>0.21210000000000001</v>
      </c>
      <c r="J295" s="12">
        <v>0.38</v>
      </c>
      <c r="K295" s="12">
        <v>0.35820000000000002</v>
      </c>
      <c r="L295" s="12">
        <v>2</v>
      </c>
      <c r="M295" s="12">
        <v>76</v>
      </c>
      <c r="N295" s="12">
        <v>78</v>
      </c>
      <c r="O295" s="12" t="str">
        <f>VLOOKUP(G295,calculate_field!$B$2:$C$5,2,FALSE)</f>
        <v>Clear/Partly Cloudy</v>
      </c>
      <c r="P295" s="12" t="str">
        <f t="shared" si="30"/>
        <v>Thursday</v>
      </c>
      <c r="Q295" s="12" t="str">
        <f t="shared" si="31"/>
        <v>Weekday</v>
      </c>
      <c r="R295" s="12" t="str">
        <f t="shared" si="32"/>
        <v>Afternoon</v>
      </c>
      <c r="S295" s="28" t="str">
        <f>INDEX(calculate_field!$F$2:$F$4, MATCH(H295, calculate_field!$E$2:$E$4, 1))</f>
        <v>Mild</v>
      </c>
      <c r="T295" s="33">
        <f t="shared" si="33"/>
        <v>61.666666666666664</v>
      </c>
      <c r="U295" s="33">
        <f t="shared" si="34"/>
        <v>48.348073714306942</v>
      </c>
      <c r="V295" s="33">
        <f t="shared" si="35"/>
        <v>0.68643309530569352</v>
      </c>
      <c r="W295" s="12" t="b">
        <f t="shared" si="36"/>
        <v>0</v>
      </c>
    </row>
    <row r="296" spans="1:23">
      <c r="A296" s="26">
        <v>295</v>
      </c>
      <c r="B296" s="27">
        <v>40556</v>
      </c>
      <c r="C296" s="12">
        <v>1</v>
      </c>
      <c r="D296" s="12">
        <v>17</v>
      </c>
      <c r="E296" s="12" t="b">
        <v>0</v>
      </c>
      <c r="F296" s="12">
        <v>4</v>
      </c>
      <c r="G296" s="12">
        <v>1</v>
      </c>
      <c r="H296" s="12">
        <v>0.2</v>
      </c>
      <c r="I296" s="12">
        <v>0.18179999999999999</v>
      </c>
      <c r="J296" s="12">
        <v>0.4</v>
      </c>
      <c r="K296" s="12">
        <v>0.28360000000000002</v>
      </c>
      <c r="L296" s="12">
        <v>4</v>
      </c>
      <c r="M296" s="12">
        <v>158</v>
      </c>
      <c r="N296" s="12">
        <v>162</v>
      </c>
      <c r="O296" s="12" t="str">
        <f>VLOOKUP(G296,calculate_field!$B$2:$C$5,2,FALSE)</f>
        <v>Clear/Partly Cloudy</v>
      </c>
      <c r="P296" s="12" t="str">
        <f t="shared" si="30"/>
        <v>Thursday</v>
      </c>
      <c r="Q296" s="12" t="str">
        <f t="shared" si="31"/>
        <v>Weekday</v>
      </c>
      <c r="R296" s="12" t="str">
        <f t="shared" si="32"/>
        <v>Evening</v>
      </c>
      <c r="S296" s="28" t="str">
        <f>INDEX(calculate_field!$F$2:$F$4, MATCH(H296, calculate_field!$E$2:$E$4, 1))</f>
        <v>Mild</v>
      </c>
      <c r="T296" s="33">
        <f t="shared" si="33"/>
        <v>65.041666666666671</v>
      </c>
      <c r="U296" s="33">
        <f t="shared" si="34"/>
        <v>52.210676208462644</v>
      </c>
      <c r="V296" s="33">
        <f t="shared" si="35"/>
        <v>2.0258785034082782</v>
      </c>
      <c r="W296" s="12" t="b">
        <f t="shared" si="36"/>
        <v>0</v>
      </c>
    </row>
    <row r="297" spans="1:23">
      <c r="A297" s="26">
        <v>296</v>
      </c>
      <c r="B297" s="27">
        <v>40556</v>
      </c>
      <c r="C297" s="12">
        <v>1</v>
      </c>
      <c r="D297" s="12">
        <v>18</v>
      </c>
      <c r="E297" s="12" t="b">
        <v>0</v>
      </c>
      <c r="F297" s="12">
        <v>4</v>
      </c>
      <c r="G297" s="12">
        <v>1</v>
      </c>
      <c r="H297" s="12">
        <v>0.2</v>
      </c>
      <c r="I297" s="12">
        <v>0.18179999999999999</v>
      </c>
      <c r="J297" s="12">
        <v>0.4</v>
      </c>
      <c r="K297" s="12">
        <v>0.32840000000000003</v>
      </c>
      <c r="L297" s="12">
        <v>3</v>
      </c>
      <c r="M297" s="12">
        <v>141</v>
      </c>
      <c r="N297" s="12">
        <v>144</v>
      </c>
      <c r="O297" s="12" t="str">
        <f>VLOOKUP(G297,calculate_field!$B$2:$C$5,2,FALSE)</f>
        <v>Clear/Partly Cloudy</v>
      </c>
      <c r="P297" s="12" t="str">
        <f t="shared" si="30"/>
        <v>Thursday</v>
      </c>
      <c r="Q297" s="12" t="str">
        <f t="shared" si="31"/>
        <v>Weekday</v>
      </c>
      <c r="R297" s="12" t="str">
        <f t="shared" si="32"/>
        <v>Evening</v>
      </c>
      <c r="S297" s="28" t="str">
        <f>INDEX(calculate_field!$F$2:$F$4, MATCH(H297, calculate_field!$E$2:$E$4, 1))</f>
        <v>Mild</v>
      </c>
      <c r="T297" s="33">
        <f t="shared" si="33"/>
        <v>64.083333333333329</v>
      </c>
      <c r="U297" s="33">
        <f t="shared" si="34"/>
        <v>50.53790369757067</v>
      </c>
      <c r="V297" s="33">
        <f t="shared" si="35"/>
        <v>1.8526011317615556</v>
      </c>
      <c r="W297" s="12" t="b">
        <f t="shared" si="36"/>
        <v>0</v>
      </c>
    </row>
    <row r="298" spans="1:23">
      <c r="A298" s="26">
        <v>297</v>
      </c>
      <c r="B298" s="27">
        <v>40556</v>
      </c>
      <c r="C298" s="12">
        <v>1</v>
      </c>
      <c r="D298" s="12">
        <v>19</v>
      </c>
      <c r="E298" s="12" t="b">
        <v>0</v>
      </c>
      <c r="F298" s="12">
        <v>4</v>
      </c>
      <c r="G298" s="12">
        <v>1</v>
      </c>
      <c r="H298" s="12">
        <v>0.16</v>
      </c>
      <c r="I298" s="12">
        <v>0.1515</v>
      </c>
      <c r="J298" s="12">
        <v>0.47</v>
      </c>
      <c r="K298" s="12">
        <v>0.25369999999999998</v>
      </c>
      <c r="L298" s="12">
        <v>1</v>
      </c>
      <c r="M298" s="12">
        <v>98</v>
      </c>
      <c r="N298" s="12">
        <v>99</v>
      </c>
      <c r="O298" s="12" t="str">
        <f>VLOOKUP(G298,calculate_field!$B$2:$C$5,2,FALSE)</f>
        <v>Clear/Partly Cloudy</v>
      </c>
      <c r="P298" s="12" t="str">
        <f t="shared" si="30"/>
        <v>Thursday</v>
      </c>
      <c r="Q298" s="12" t="str">
        <f t="shared" si="31"/>
        <v>Weekday</v>
      </c>
      <c r="R298" s="12" t="str">
        <f t="shared" si="32"/>
        <v>Evening</v>
      </c>
      <c r="S298" s="28" t="str">
        <f>INDEX(calculate_field!$F$2:$F$4, MATCH(H298, calculate_field!$E$2:$E$4, 1))</f>
        <v>Cold</v>
      </c>
      <c r="T298" s="33">
        <f t="shared" si="33"/>
        <v>61.916666666666664</v>
      </c>
      <c r="U298" s="33">
        <f t="shared" si="34"/>
        <v>48.014415105997223</v>
      </c>
      <c r="V298" s="33">
        <f t="shared" si="35"/>
        <v>0.92308908933537626</v>
      </c>
      <c r="W298" s="12" t="b">
        <f t="shared" si="36"/>
        <v>0</v>
      </c>
    </row>
    <row r="299" spans="1:23">
      <c r="A299" s="26">
        <v>298</v>
      </c>
      <c r="B299" s="27">
        <v>40556</v>
      </c>
      <c r="C299" s="12">
        <v>1</v>
      </c>
      <c r="D299" s="12">
        <v>20</v>
      </c>
      <c r="E299" s="12" t="b">
        <v>0</v>
      </c>
      <c r="F299" s="12">
        <v>4</v>
      </c>
      <c r="G299" s="12">
        <v>1</v>
      </c>
      <c r="H299" s="12">
        <v>0.16</v>
      </c>
      <c r="I299" s="12">
        <v>0.1515</v>
      </c>
      <c r="J299" s="12">
        <v>0.47</v>
      </c>
      <c r="K299" s="12">
        <v>0.22389999999999999</v>
      </c>
      <c r="L299" s="12">
        <v>0</v>
      </c>
      <c r="M299" s="12">
        <v>64</v>
      </c>
      <c r="N299" s="12">
        <v>64</v>
      </c>
      <c r="O299" s="12" t="str">
        <f>VLOOKUP(G299,calculate_field!$B$2:$C$5,2,FALSE)</f>
        <v>Clear/Partly Cloudy</v>
      </c>
      <c r="P299" s="12" t="str">
        <f t="shared" si="30"/>
        <v>Thursday</v>
      </c>
      <c r="Q299" s="12" t="str">
        <f t="shared" si="31"/>
        <v>Weekday</v>
      </c>
      <c r="R299" s="12" t="str">
        <f t="shared" si="32"/>
        <v>Evening</v>
      </c>
      <c r="S299" s="28" t="str">
        <f>INDEX(calculate_field!$F$2:$F$4, MATCH(H299, calculate_field!$E$2:$E$4, 1))</f>
        <v>Cold</v>
      </c>
      <c r="T299" s="33">
        <f t="shared" si="33"/>
        <v>60.625</v>
      </c>
      <c r="U299" s="33">
        <f t="shared" si="34"/>
        <v>47.386305580006329</v>
      </c>
      <c r="V299" s="33">
        <f t="shared" si="35"/>
        <v>0.37247187791858877</v>
      </c>
      <c r="W299" s="12" t="b">
        <f t="shared" si="36"/>
        <v>0</v>
      </c>
    </row>
    <row r="300" spans="1:23">
      <c r="A300" s="26">
        <v>299</v>
      </c>
      <c r="B300" s="27">
        <v>40556</v>
      </c>
      <c r="C300" s="12">
        <v>1</v>
      </c>
      <c r="D300" s="12">
        <v>21</v>
      </c>
      <c r="E300" s="12" t="b">
        <v>0</v>
      </c>
      <c r="F300" s="12">
        <v>4</v>
      </c>
      <c r="G300" s="12">
        <v>1</v>
      </c>
      <c r="H300" s="12">
        <v>0.14000000000000001</v>
      </c>
      <c r="I300" s="12">
        <v>0.1212</v>
      </c>
      <c r="J300" s="12">
        <v>0.46</v>
      </c>
      <c r="K300" s="12">
        <v>0.29849999999999999</v>
      </c>
      <c r="L300" s="12">
        <v>0</v>
      </c>
      <c r="M300" s="12">
        <v>40</v>
      </c>
      <c r="N300" s="12">
        <v>40</v>
      </c>
      <c r="O300" s="12" t="str">
        <f>VLOOKUP(G300,calculate_field!$B$2:$C$5,2,FALSE)</f>
        <v>Clear/Partly Cloudy</v>
      </c>
      <c r="P300" s="12" t="str">
        <f t="shared" si="30"/>
        <v>Thursday</v>
      </c>
      <c r="Q300" s="12" t="str">
        <f t="shared" si="31"/>
        <v>Weekday</v>
      </c>
      <c r="R300" s="12" t="str">
        <f t="shared" si="32"/>
        <v>Night</v>
      </c>
      <c r="S300" s="28" t="str">
        <f>INDEX(calculate_field!$F$2:$F$4, MATCH(H300, calculate_field!$E$2:$E$4, 1))</f>
        <v>Cold</v>
      </c>
      <c r="T300" s="33">
        <f t="shared" si="33"/>
        <v>60.125</v>
      </c>
      <c r="U300" s="33">
        <f t="shared" si="34"/>
        <v>47.412447916041039</v>
      </c>
      <c r="V300" s="33">
        <f t="shared" si="35"/>
        <v>1.2133299608668787E-2</v>
      </c>
      <c r="W300" s="12" t="b">
        <f t="shared" si="36"/>
        <v>0</v>
      </c>
    </row>
    <row r="301" spans="1:23">
      <c r="A301" s="26">
        <v>300</v>
      </c>
      <c r="B301" s="27">
        <v>40556</v>
      </c>
      <c r="C301" s="12">
        <v>1</v>
      </c>
      <c r="D301" s="12">
        <v>22</v>
      </c>
      <c r="E301" s="12" t="b">
        <v>0</v>
      </c>
      <c r="F301" s="12">
        <v>4</v>
      </c>
      <c r="G301" s="12">
        <v>1</v>
      </c>
      <c r="H301" s="12">
        <v>0.14000000000000001</v>
      </c>
      <c r="I301" s="12">
        <v>0.1212</v>
      </c>
      <c r="J301" s="12">
        <v>0.46</v>
      </c>
      <c r="K301" s="12">
        <v>0.32840000000000003</v>
      </c>
      <c r="L301" s="12">
        <v>0</v>
      </c>
      <c r="M301" s="12">
        <v>30</v>
      </c>
      <c r="N301" s="12">
        <v>30</v>
      </c>
      <c r="O301" s="12" t="str">
        <f>VLOOKUP(G301,calculate_field!$B$2:$C$5,2,FALSE)</f>
        <v>Clear/Partly Cloudy</v>
      </c>
      <c r="P301" s="12" t="str">
        <f t="shared" si="30"/>
        <v>Thursday</v>
      </c>
      <c r="Q301" s="12" t="str">
        <f t="shared" si="31"/>
        <v>Weekday</v>
      </c>
      <c r="R301" s="12" t="str">
        <f t="shared" si="32"/>
        <v>Night</v>
      </c>
      <c r="S301" s="28" t="str">
        <f>INDEX(calculate_field!$F$2:$F$4, MATCH(H301, calculate_field!$E$2:$E$4, 1))</f>
        <v>Cold</v>
      </c>
      <c r="T301" s="33">
        <f t="shared" si="33"/>
        <v>59.958333333333336</v>
      </c>
      <c r="U301" s="33">
        <f t="shared" si="34"/>
        <v>47.493229876035713</v>
      </c>
      <c r="V301" s="33">
        <f t="shared" si="35"/>
        <v>-0.38104659800019614</v>
      </c>
      <c r="W301" s="12" t="b">
        <f t="shared" si="36"/>
        <v>0</v>
      </c>
    </row>
    <row r="302" spans="1:23">
      <c r="A302" s="26">
        <v>301</v>
      </c>
      <c r="B302" s="27">
        <v>40556</v>
      </c>
      <c r="C302" s="12">
        <v>1</v>
      </c>
      <c r="D302" s="12">
        <v>23</v>
      </c>
      <c r="E302" s="12" t="b">
        <v>0</v>
      </c>
      <c r="F302" s="12">
        <v>4</v>
      </c>
      <c r="G302" s="12">
        <v>1</v>
      </c>
      <c r="H302" s="12">
        <v>0.12</v>
      </c>
      <c r="I302" s="12">
        <v>0.13639999999999999</v>
      </c>
      <c r="J302" s="12">
        <v>0.5</v>
      </c>
      <c r="K302" s="12">
        <v>0.19400000000000001</v>
      </c>
      <c r="L302" s="12">
        <v>1</v>
      </c>
      <c r="M302" s="12">
        <v>14</v>
      </c>
      <c r="N302" s="12">
        <v>15</v>
      </c>
      <c r="O302" s="12" t="str">
        <f>VLOOKUP(G302,calculate_field!$B$2:$C$5,2,FALSE)</f>
        <v>Clear/Partly Cloudy</v>
      </c>
      <c r="P302" s="12" t="str">
        <f t="shared" si="30"/>
        <v>Thursday</v>
      </c>
      <c r="Q302" s="12" t="str">
        <f t="shared" si="31"/>
        <v>Weekday</v>
      </c>
      <c r="R302" s="12" t="str">
        <f t="shared" si="32"/>
        <v>Night</v>
      </c>
      <c r="S302" s="28" t="str">
        <f>INDEX(calculate_field!$F$2:$F$4, MATCH(H302, calculate_field!$E$2:$E$4, 1))</f>
        <v>Cold</v>
      </c>
      <c r="T302" s="33">
        <f t="shared" si="33"/>
        <v>59.833333333333336</v>
      </c>
      <c r="U302" s="33">
        <f t="shared" si="34"/>
        <v>47.579376850157203</v>
      </c>
      <c r="V302" s="33">
        <f t="shared" si="35"/>
        <v>-0.58619134940494444</v>
      </c>
      <c r="W302" s="12" t="b">
        <f t="shared" si="36"/>
        <v>1</v>
      </c>
    </row>
    <row r="303" spans="1:23">
      <c r="A303" s="26">
        <v>302</v>
      </c>
      <c r="B303" s="27">
        <v>40557</v>
      </c>
      <c r="C303" s="12">
        <v>1</v>
      </c>
      <c r="D303" s="12">
        <v>0</v>
      </c>
      <c r="E303" s="12" t="b">
        <v>0</v>
      </c>
      <c r="F303" s="12">
        <v>5</v>
      </c>
      <c r="G303" s="12">
        <v>1</v>
      </c>
      <c r="H303" s="12">
        <v>0.12</v>
      </c>
      <c r="I303" s="12">
        <v>0.13639999999999999</v>
      </c>
      <c r="J303" s="12">
        <v>0.5</v>
      </c>
      <c r="K303" s="12">
        <v>0.19400000000000001</v>
      </c>
      <c r="L303" s="12">
        <v>0</v>
      </c>
      <c r="M303" s="12">
        <v>14</v>
      </c>
      <c r="N303" s="12">
        <v>14</v>
      </c>
      <c r="O303" s="12" t="str">
        <f>VLOOKUP(G303,calculate_field!$B$2:$C$5,2,FALSE)</f>
        <v>Clear/Partly Cloudy</v>
      </c>
      <c r="P303" s="12" t="str">
        <f t="shared" si="30"/>
        <v>Friday</v>
      </c>
      <c r="Q303" s="12" t="str">
        <f t="shared" si="31"/>
        <v>Weekday</v>
      </c>
      <c r="R303" s="12" t="str">
        <f t="shared" si="32"/>
        <v>Night</v>
      </c>
      <c r="S303" s="28" t="str">
        <f>INDEX(calculate_field!$F$2:$F$4, MATCH(H303, calculate_field!$E$2:$E$4, 1))</f>
        <v>Cold</v>
      </c>
      <c r="T303" s="33">
        <f t="shared" si="33"/>
        <v>60.375</v>
      </c>
      <c r="U303" s="33">
        <f t="shared" si="34"/>
        <v>47.118548457010554</v>
      </c>
      <c r="V303" s="33">
        <f t="shared" si="35"/>
        <v>-0.58322022896410097</v>
      </c>
      <c r="W303" s="12" t="b">
        <f t="shared" si="36"/>
        <v>1</v>
      </c>
    </row>
    <row r="304" spans="1:23">
      <c r="A304" s="26">
        <v>303</v>
      </c>
      <c r="B304" s="27">
        <v>40557</v>
      </c>
      <c r="C304" s="12">
        <v>1</v>
      </c>
      <c r="D304" s="12">
        <v>1</v>
      </c>
      <c r="E304" s="12" t="b">
        <v>0</v>
      </c>
      <c r="F304" s="12">
        <v>5</v>
      </c>
      <c r="G304" s="12">
        <v>1</v>
      </c>
      <c r="H304" s="12">
        <v>0.1</v>
      </c>
      <c r="I304" s="12">
        <v>0.1212</v>
      </c>
      <c r="J304" s="12">
        <v>0.54</v>
      </c>
      <c r="K304" s="12">
        <v>0.16420000000000001</v>
      </c>
      <c r="L304" s="12">
        <v>0</v>
      </c>
      <c r="M304" s="12">
        <v>5</v>
      </c>
      <c r="N304" s="12">
        <v>5</v>
      </c>
      <c r="O304" s="12" t="str">
        <f>VLOOKUP(G304,calculate_field!$B$2:$C$5,2,FALSE)</f>
        <v>Clear/Partly Cloudy</v>
      </c>
      <c r="P304" s="12" t="str">
        <f t="shared" si="30"/>
        <v>Friday</v>
      </c>
      <c r="Q304" s="12" t="str">
        <f t="shared" si="31"/>
        <v>Weekday</v>
      </c>
      <c r="R304" s="12" t="str">
        <f t="shared" si="32"/>
        <v>Night</v>
      </c>
      <c r="S304" s="28" t="str">
        <f>INDEX(calculate_field!$F$2:$F$4, MATCH(H304, calculate_field!$E$2:$E$4, 1))</f>
        <v>Cold</v>
      </c>
      <c r="T304" s="33">
        <f t="shared" si="33"/>
        <v>60.625</v>
      </c>
      <c r="U304" s="33">
        <f t="shared" si="34"/>
        <v>46.877094156119988</v>
      </c>
      <c r="V304" s="33">
        <f t="shared" si="35"/>
        <v>-0.79297053845615717</v>
      </c>
      <c r="W304" s="12" t="b">
        <f t="shared" si="36"/>
        <v>0</v>
      </c>
    </row>
    <row r="305" spans="1:23">
      <c r="A305" s="26">
        <v>304</v>
      </c>
      <c r="B305" s="27">
        <v>40557</v>
      </c>
      <c r="C305" s="12">
        <v>1</v>
      </c>
      <c r="D305" s="12">
        <v>2</v>
      </c>
      <c r="E305" s="12" t="b">
        <v>0</v>
      </c>
      <c r="F305" s="12">
        <v>5</v>
      </c>
      <c r="G305" s="12">
        <v>1</v>
      </c>
      <c r="H305" s="12">
        <v>0.1</v>
      </c>
      <c r="I305" s="12">
        <v>0.1212</v>
      </c>
      <c r="J305" s="12">
        <v>0.54</v>
      </c>
      <c r="K305" s="12">
        <v>0.1343</v>
      </c>
      <c r="L305" s="12">
        <v>0</v>
      </c>
      <c r="M305" s="12">
        <v>1</v>
      </c>
      <c r="N305" s="12">
        <v>1</v>
      </c>
      <c r="O305" s="12" t="str">
        <f>VLOOKUP(G305,calculate_field!$B$2:$C$5,2,FALSE)</f>
        <v>Clear/Partly Cloudy</v>
      </c>
      <c r="P305" s="12" t="str">
        <f t="shared" si="30"/>
        <v>Friday</v>
      </c>
      <c r="Q305" s="12" t="str">
        <f t="shared" si="31"/>
        <v>Weekday</v>
      </c>
      <c r="R305" s="12" t="str">
        <f t="shared" si="32"/>
        <v>Night</v>
      </c>
      <c r="S305" s="28" t="str">
        <f>INDEX(calculate_field!$F$2:$F$4, MATCH(H305, calculate_field!$E$2:$E$4, 1))</f>
        <v>Cold</v>
      </c>
      <c r="T305" s="33">
        <f t="shared" si="33"/>
        <v>60.916666666666664</v>
      </c>
      <c r="U305" s="33">
        <f t="shared" si="34"/>
        <v>46.536490279523996</v>
      </c>
      <c r="V305" s="33">
        <f t="shared" si="35"/>
        <v>-0.99387071202993027</v>
      </c>
      <c r="W305" s="12" t="b">
        <f t="shared" si="36"/>
        <v>0</v>
      </c>
    </row>
    <row r="306" spans="1:23">
      <c r="A306" s="26">
        <v>305</v>
      </c>
      <c r="B306" s="27">
        <v>40557</v>
      </c>
      <c r="C306" s="12">
        <v>1</v>
      </c>
      <c r="D306" s="12">
        <v>3</v>
      </c>
      <c r="E306" s="12" t="b">
        <v>0</v>
      </c>
      <c r="F306" s="12">
        <v>5</v>
      </c>
      <c r="G306" s="12">
        <v>1</v>
      </c>
      <c r="H306" s="12">
        <v>0.1</v>
      </c>
      <c r="I306" s="12">
        <v>0.13639999999999999</v>
      </c>
      <c r="J306" s="12">
        <v>0.54</v>
      </c>
      <c r="K306" s="12">
        <v>0.1045</v>
      </c>
      <c r="L306" s="12">
        <v>0</v>
      </c>
      <c r="M306" s="12">
        <v>1</v>
      </c>
      <c r="N306" s="12">
        <v>1</v>
      </c>
      <c r="O306" s="12" t="str">
        <f>VLOOKUP(G306,calculate_field!$B$2:$C$5,2,FALSE)</f>
        <v>Clear/Partly Cloudy</v>
      </c>
      <c r="P306" s="12" t="str">
        <f t="shared" si="30"/>
        <v>Friday</v>
      </c>
      <c r="Q306" s="12" t="str">
        <f t="shared" si="31"/>
        <v>Weekday</v>
      </c>
      <c r="R306" s="12" t="str">
        <f t="shared" si="32"/>
        <v>Night</v>
      </c>
      <c r="S306" s="28" t="str">
        <f>INDEX(calculate_field!$F$2:$F$4, MATCH(H306, calculate_field!$E$2:$E$4, 1))</f>
        <v>Cold</v>
      </c>
      <c r="T306" s="33">
        <f t="shared" si="33"/>
        <v>61.208333333333336</v>
      </c>
      <c r="U306" s="33">
        <f t="shared" si="34"/>
        <v>46.165090487403404</v>
      </c>
      <c r="V306" s="33">
        <f t="shared" si="35"/>
        <v>-1.1003576049369841</v>
      </c>
      <c r="W306" s="12" t="b">
        <f t="shared" si="36"/>
        <v>0</v>
      </c>
    </row>
    <row r="307" spans="1:23">
      <c r="A307" s="26">
        <v>306</v>
      </c>
      <c r="B307" s="27">
        <v>40557</v>
      </c>
      <c r="C307" s="12">
        <v>1</v>
      </c>
      <c r="D307" s="12">
        <v>5</v>
      </c>
      <c r="E307" s="12" t="b">
        <v>0</v>
      </c>
      <c r="F307" s="12">
        <v>5</v>
      </c>
      <c r="G307" s="12">
        <v>1</v>
      </c>
      <c r="H307" s="12">
        <v>0.1</v>
      </c>
      <c r="I307" s="12">
        <v>0.13639999999999999</v>
      </c>
      <c r="J307" s="12">
        <v>0.54</v>
      </c>
      <c r="K307" s="12">
        <v>8.9599999999999999E-2</v>
      </c>
      <c r="L307" s="12">
        <v>0</v>
      </c>
      <c r="M307" s="12">
        <v>8</v>
      </c>
      <c r="N307" s="12">
        <v>8</v>
      </c>
      <c r="O307" s="12" t="str">
        <f>VLOOKUP(G307,calculate_field!$B$2:$C$5,2,FALSE)</f>
        <v>Clear/Partly Cloudy</v>
      </c>
      <c r="P307" s="12" t="str">
        <f t="shared" si="30"/>
        <v>Friday</v>
      </c>
      <c r="Q307" s="12" t="str">
        <f t="shared" si="31"/>
        <v>Weekday</v>
      </c>
      <c r="R307" s="12" t="str">
        <f t="shared" si="32"/>
        <v>Night</v>
      </c>
      <c r="S307" s="28" t="str">
        <f>INDEX(calculate_field!$F$2:$F$4, MATCH(H307, calculate_field!$E$2:$E$4, 1))</f>
        <v>Cold</v>
      </c>
      <c r="T307" s="33">
        <f t="shared" si="33"/>
        <v>61.375</v>
      </c>
      <c r="U307" s="33">
        <f t="shared" si="34"/>
        <v>45.944969445972042</v>
      </c>
      <c r="V307" s="33">
        <f t="shared" si="35"/>
        <v>-1.1903989685564809</v>
      </c>
      <c r="W307" s="12" t="b">
        <f t="shared" si="36"/>
        <v>0</v>
      </c>
    </row>
    <row r="308" spans="1:23">
      <c r="A308" s="26">
        <v>307</v>
      </c>
      <c r="B308" s="27">
        <v>40557</v>
      </c>
      <c r="C308" s="12">
        <v>1</v>
      </c>
      <c r="D308" s="12">
        <v>6</v>
      </c>
      <c r="E308" s="12" t="b">
        <v>0</v>
      </c>
      <c r="F308" s="12">
        <v>5</v>
      </c>
      <c r="G308" s="12">
        <v>1</v>
      </c>
      <c r="H308" s="12">
        <v>0.1</v>
      </c>
      <c r="I308" s="12">
        <v>0.18179999999999999</v>
      </c>
      <c r="J308" s="12">
        <v>0.54</v>
      </c>
      <c r="K308" s="12">
        <v>0</v>
      </c>
      <c r="L308" s="12">
        <v>0</v>
      </c>
      <c r="M308" s="12">
        <v>17</v>
      </c>
      <c r="N308" s="12">
        <v>17</v>
      </c>
      <c r="O308" s="12" t="str">
        <f>VLOOKUP(G308,calculate_field!$B$2:$C$5,2,FALSE)</f>
        <v>Clear/Partly Cloudy</v>
      </c>
      <c r="P308" s="12" t="str">
        <f t="shared" si="30"/>
        <v>Friday</v>
      </c>
      <c r="Q308" s="12" t="str">
        <f t="shared" si="31"/>
        <v>Weekday</v>
      </c>
      <c r="R308" s="12" t="str">
        <f t="shared" si="32"/>
        <v>Morning</v>
      </c>
      <c r="S308" s="28" t="str">
        <f>INDEX(calculate_field!$F$2:$F$4, MATCH(H308, calculate_field!$E$2:$E$4, 1))</f>
        <v>Cold</v>
      </c>
      <c r="T308" s="33">
        <f t="shared" si="33"/>
        <v>61.083333333333336</v>
      </c>
      <c r="U308" s="33">
        <f t="shared" si="34"/>
        <v>46.319229424643424</v>
      </c>
      <c r="V308" s="33">
        <f t="shared" si="35"/>
        <v>-1.2785806814683429</v>
      </c>
      <c r="W308" s="12" t="b">
        <f t="shared" si="36"/>
        <v>0</v>
      </c>
    </row>
    <row r="309" spans="1:23">
      <c r="A309" s="26">
        <v>308</v>
      </c>
      <c r="B309" s="27">
        <v>40557</v>
      </c>
      <c r="C309" s="12">
        <v>1</v>
      </c>
      <c r="D309" s="12">
        <v>7</v>
      </c>
      <c r="E309" s="12" t="b">
        <v>0</v>
      </c>
      <c r="F309" s="12">
        <v>5</v>
      </c>
      <c r="G309" s="12">
        <v>1</v>
      </c>
      <c r="H309" s="12">
        <v>0.1</v>
      </c>
      <c r="I309" s="12">
        <v>0.1212</v>
      </c>
      <c r="J309" s="12">
        <v>0.74</v>
      </c>
      <c r="K309" s="12">
        <v>0.16420000000000001</v>
      </c>
      <c r="L309" s="12">
        <v>0</v>
      </c>
      <c r="M309" s="12">
        <v>70</v>
      </c>
      <c r="N309" s="12">
        <v>70</v>
      </c>
      <c r="O309" s="12" t="str">
        <f>VLOOKUP(G309,calculate_field!$B$2:$C$5,2,FALSE)</f>
        <v>Clear/Partly Cloudy</v>
      </c>
      <c r="P309" s="12" t="str">
        <f t="shared" si="30"/>
        <v>Friday</v>
      </c>
      <c r="Q309" s="12" t="str">
        <f t="shared" si="31"/>
        <v>Weekday</v>
      </c>
      <c r="R309" s="12" t="str">
        <f t="shared" si="32"/>
        <v>Morning</v>
      </c>
      <c r="S309" s="28" t="str">
        <f>INDEX(calculate_field!$F$2:$F$4, MATCH(H309, calculate_field!$E$2:$E$4, 1))</f>
        <v>Cold</v>
      </c>
      <c r="T309" s="33">
        <f t="shared" si="33"/>
        <v>60.5</v>
      </c>
      <c r="U309" s="33">
        <f t="shared" si="34"/>
        <v>46.981957684052361</v>
      </c>
      <c r="V309" s="33">
        <f t="shared" si="35"/>
        <v>-1.2319865365876828</v>
      </c>
      <c r="W309" s="12" t="b">
        <f t="shared" si="36"/>
        <v>0</v>
      </c>
    </row>
    <row r="310" spans="1:23">
      <c r="A310" s="26">
        <v>309</v>
      </c>
      <c r="B310" s="27">
        <v>40557</v>
      </c>
      <c r="C310" s="12">
        <v>1</v>
      </c>
      <c r="D310" s="12">
        <v>8</v>
      </c>
      <c r="E310" s="12" t="b">
        <v>0</v>
      </c>
      <c r="F310" s="12">
        <v>5</v>
      </c>
      <c r="G310" s="12">
        <v>1</v>
      </c>
      <c r="H310" s="12">
        <v>0.12</v>
      </c>
      <c r="I310" s="12">
        <v>0.16669999999999999</v>
      </c>
      <c r="J310" s="12">
        <v>0.68</v>
      </c>
      <c r="K310" s="12">
        <v>0</v>
      </c>
      <c r="L310" s="12">
        <v>2</v>
      </c>
      <c r="M310" s="12">
        <v>156</v>
      </c>
      <c r="N310" s="12">
        <v>158</v>
      </c>
      <c r="O310" s="12" t="str">
        <f>VLOOKUP(G310,calculate_field!$B$2:$C$5,2,FALSE)</f>
        <v>Clear/Partly Cloudy</v>
      </c>
      <c r="P310" s="12" t="str">
        <f t="shared" si="30"/>
        <v>Friday</v>
      </c>
      <c r="Q310" s="12" t="str">
        <f t="shared" si="31"/>
        <v>Weekday</v>
      </c>
      <c r="R310" s="12" t="str">
        <f t="shared" si="32"/>
        <v>Morning</v>
      </c>
      <c r="S310" s="28" t="str">
        <f>INDEX(calculate_field!$F$2:$F$4, MATCH(H310, calculate_field!$E$2:$E$4, 1))</f>
        <v>Cold</v>
      </c>
      <c r="T310" s="33">
        <f t="shared" si="33"/>
        <v>58</v>
      </c>
      <c r="U310" s="33">
        <f t="shared" si="34"/>
        <v>48.038933485609178</v>
      </c>
      <c r="V310" s="33">
        <f t="shared" si="35"/>
        <v>-1.0543263532232672</v>
      </c>
      <c r="W310" s="12" t="b">
        <f t="shared" si="36"/>
        <v>0</v>
      </c>
    </row>
    <row r="311" spans="1:23">
      <c r="A311" s="26">
        <v>310</v>
      </c>
      <c r="B311" s="27">
        <v>40557</v>
      </c>
      <c r="C311" s="12">
        <v>1</v>
      </c>
      <c r="D311" s="12">
        <v>9</v>
      </c>
      <c r="E311" s="12" t="b">
        <v>0</v>
      </c>
      <c r="F311" s="12">
        <v>5</v>
      </c>
      <c r="G311" s="12">
        <v>1</v>
      </c>
      <c r="H311" s="12">
        <v>0.14000000000000001</v>
      </c>
      <c r="I311" s="12">
        <v>0.1515</v>
      </c>
      <c r="J311" s="12">
        <v>0.69</v>
      </c>
      <c r="K311" s="12">
        <v>0.1343</v>
      </c>
      <c r="L311" s="12">
        <v>0</v>
      </c>
      <c r="M311" s="12">
        <v>117</v>
      </c>
      <c r="N311" s="12">
        <v>117</v>
      </c>
      <c r="O311" s="12" t="str">
        <f>VLOOKUP(G311,calculate_field!$B$2:$C$5,2,FALSE)</f>
        <v>Clear/Partly Cloudy</v>
      </c>
      <c r="P311" s="12" t="str">
        <f t="shared" si="30"/>
        <v>Friday</v>
      </c>
      <c r="Q311" s="12" t="str">
        <f t="shared" si="31"/>
        <v>Weekday</v>
      </c>
      <c r="R311" s="12" t="str">
        <f t="shared" si="32"/>
        <v>Morning</v>
      </c>
      <c r="S311" s="28" t="str">
        <f>INDEX(calculate_field!$F$2:$F$4, MATCH(H311, calculate_field!$E$2:$E$4, 1))</f>
        <v>Cold</v>
      </c>
      <c r="T311" s="33">
        <f t="shared" si="33"/>
        <v>52.375</v>
      </c>
      <c r="U311" s="33">
        <f t="shared" si="34"/>
        <v>43.51093066065723</v>
      </c>
      <c r="V311" s="33">
        <f t="shared" si="35"/>
        <v>-0.72104188520657264</v>
      </c>
      <c r="W311" s="12" t="b">
        <f t="shared" si="36"/>
        <v>0</v>
      </c>
    </row>
    <row r="312" spans="1:23">
      <c r="A312" s="26">
        <v>311</v>
      </c>
      <c r="B312" s="27">
        <v>40557</v>
      </c>
      <c r="C312" s="12">
        <v>1</v>
      </c>
      <c r="D312" s="12">
        <v>10</v>
      </c>
      <c r="E312" s="12" t="b">
        <v>0</v>
      </c>
      <c r="F312" s="12">
        <v>5</v>
      </c>
      <c r="G312" s="12">
        <v>1</v>
      </c>
      <c r="H312" s="12">
        <v>0.18</v>
      </c>
      <c r="I312" s="12">
        <v>0.18179999999999999</v>
      </c>
      <c r="J312" s="12">
        <v>0.55000000000000004</v>
      </c>
      <c r="K312" s="12">
        <v>0.19400000000000001</v>
      </c>
      <c r="L312" s="12">
        <v>4</v>
      </c>
      <c r="M312" s="12">
        <v>40</v>
      </c>
      <c r="N312" s="12">
        <v>44</v>
      </c>
      <c r="O312" s="12" t="str">
        <f>VLOOKUP(G312,calculate_field!$B$2:$C$5,2,FALSE)</f>
        <v>Clear/Partly Cloudy</v>
      </c>
      <c r="P312" s="12" t="str">
        <f t="shared" si="30"/>
        <v>Friday</v>
      </c>
      <c r="Q312" s="12" t="str">
        <f t="shared" si="31"/>
        <v>Weekday</v>
      </c>
      <c r="R312" s="12" t="str">
        <f t="shared" si="32"/>
        <v>Morning</v>
      </c>
      <c r="S312" s="28" t="str">
        <f>INDEX(calculate_field!$F$2:$F$4, MATCH(H312, calculate_field!$E$2:$E$4, 1))</f>
        <v>Cold</v>
      </c>
      <c r="T312" s="33">
        <f t="shared" si="33"/>
        <v>48.875</v>
      </c>
      <c r="U312" s="33">
        <f t="shared" si="34"/>
        <v>41.414461347404391</v>
      </c>
      <c r="V312" s="33">
        <f t="shared" si="35"/>
        <v>-0.46994099261915195</v>
      </c>
      <c r="W312" s="12" t="b">
        <f t="shared" si="36"/>
        <v>0</v>
      </c>
    </row>
    <row r="313" spans="1:23">
      <c r="A313" s="26">
        <v>312</v>
      </c>
      <c r="B313" s="27">
        <v>40557</v>
      </c>
      <c r="C313" s="12">
        <v>1</v>
      </c>
      <c r="D313" s="12">
        <v>11</v>
      </c>
      <c r="E313" s="12" t="b">
        <v>0</v>
      </c>
      <c r="F313" s="12">
        <v>5</v>
      </c>
      <c r="G313" s="12">
        <v>1</v>
      </c>
      <c r="H313" s="12">
        <v>0.18</v>
      </c>
      <c r="I313" s="12">
        <v>0.16669999999999999</v>
      </c>
      <c r="J313" s="12">
        <v>0.51</v>
      </c>
      <c r="K313" s="12">
        <v>0.28360000000000002</v>
      </c>
      <c r="L313" s="12">
        <v>6</v>
      </c>
      <c r="M313" s="12">
        <v>47</v>
      </c>
      <c r="N313" s="12">
        <v>53</v>
      </c>
      <c r="O313" s="12" t="str">
        <f>VLOOKUP(G313,calculate_field!$B$2:$C$5,2,FALSE)</f>
        <v>Clear/Partly Cloudy</v>
      </c>
      <c r="P313" s="12" t="str">
        <f t="shared" si="30"/>
        <v>Friday</v>
      </c>
      <c r="Q313" s="12" t="str">
        <f t="shared" si="31"/>
        <v>Weekday</v>
      </c>
      <c r="R313" s="12" t="str">
        <f t="shared" si="32"/>
        <v>Morning</v>
      </c>
      <c r="S313" s="28" t="str">
        <f>INDEX(calculate_field!$F$2:$F$4, MATCH(H313, calculate_field!$E$2:$E$4, 1))</f>
        <v>Cold</v>
      </c>
      <c r="T313" s="33">
        <f t="shared" si="33"/>
        <v>49.5</v>
      </c>
      <c r="U313" s="33">
        <f t="shared" si="34"/>
        <v>41.450861427037658</v>
      </c>
      <c r="V313" s="33">
        <f t="shared" si="35"/>
        <v>0.16297849338629711</v>
      </c>
      <c r="W313" s="12" t="b">
        <f t="shared" si="36"/>
        <v>0</v>
      </c>
    </row>
    <row r="314" spans="1:23">
      <c r="A314" s="26">
        <v>313</v>
      </c>
      <c r="B314" s="27">
        <v>40557</v>
      </c>
      <c r="C314" s="12">
        <v>1</v>
      </c>
      <c r="D314" s="12">
        <v>12</v>
      </c>
      <c r="E314" s="12" t="b">
        <v>0</v>
      </c>
      <c r="F314" s="12">
        <v>5</v>
      </c>
      <c r="G314" s="12">
        <v>1</v>
      </c>
      <c r="H314" s="12">
        <v>0.2</v>
      </c>
      <c r="I314" s="12">
        <v>0.19700000000000001</v>
      </c>
      <c r="J314" s="12">
        <v>0.44</v>
      </c>
      <c r="K314" s="12">
        <v>0.25369999999999998</v>
      </c>
      <c r="L314" s="12">
        <v>2</v>
      </c>
      <c r="M314" s="12">
        <v>59</v>
      </c>
      <c r="N314" s="12">
        <v>61</v>
      </c>
      <c r="O314" s="12" t="str">
        <f>VLOOKUP(G314,calculate_field!$B$2:$C$5,2,FALSE)</f>
        <v>Clear/Partly Cloudy</v>
      </c>
      <c r="P314" s="12" t="str">
        <f t="shared" si="30"/>
        <v>Friday</v>
      </c>
      <c r="Q314" s="12" t="str">
        <f t="shared" si="31"/>
        <v>Weekday</v>
      </c>
      <c r="R314" s="12" t="str">
        <f t="shared" si="32"/>
        <v>Afternoon</v>
      </c>
      <c r="S314" s="28" t="str">
        <f>INDEX(calculate_field!$F$2:$F$4, MATCH(H314, calculate_field!$E$2:$E$4, 1))</f>
        <v>Mild</v>
      </c>
      <c r="T314" s="33">
        <f t="shared" si="33"/>
        <v>50.291666666666664</v>
      </c>
      <c r="U314" s="33">
        <f t="shared" si="34"/>
        <v>41.701297202914411</v>
      </c>
      <c r="V314" s="33">
        <f t="shared" si="35"/>
        <v>0.45477981311651733</v>
      </c>
      <c r="W314" s="12" t="b">
        <f t="shared" si="36"/>
        <v>0</v>
      </c>
    </row>
    <row r="315" spans="1:23">
      <c r="A315" s="26">
        <v>314</v>
      </c>
      <c r="B315" s="27">
        <v>40557</v>
      </c>
      <c r="C315" s="12">
        <v>1</v>
      </c>
      <c r="D315" s="12">
        <v>13</v>
      </c>
      <c r="E315" s="12" t="b">
        <v>0</v>
      </c>
      <c r="F315" s="12">
        <v>5</v>
      </c>
      <c r="G315" s="12">
        <v>1</v>
      </c>
      <c r="H315" s="12">
        <v>0.22</v>
      </c>
      <c r="I315" s="12">
        <v>0.19700000000000001</v>
      </c>
      <c r="J315" s="12">
        <v>0.37</v>
      </c>
      <c r="K315" s="12">
        <v>0.3881</v>
      </c>
      <c r="L315" s="12">
        <v>4</v>
      </c>
      <c r="M315" s="12">
        <v>73</v>
      </c>
      <c r="N315" s="12">
        <v>77</v>
      </c>
      <c r="O315" s="12" t="str">
        <f>VLOOKUP(G315,calculate_field!$B$2:$C$5,2,FALSE)</f>
        <v>Clear/Partly Cloudy</v>
      </c>
      <c r="P315" s="12" t="str">
        <f t="shared" si="30"/>
        <v>Friday</v>
      </c>
      <c r="Q315" s="12" t="str">
        <f t="shared" si="31"/>
        <v>Weekday</v>
      </c>
      <c r="R315" s="12" t="str">
        <f t="shared" si="32"/>
        <v>Afternoon</v>
      </c>
      <c r="S315" s="28" t="str">
        <f>INDEX(calculate_field!$F$2:$F$4, MATCH(H315, calculate_field!$E$2:$E$4, 1))</f>
        <v>Mild</v>
      </c>
      <c r="T315" s="33">
        <f t="shared" si="33"/>
        <v>51.458333333333336</v>
      </c>
      <c r="U315" s="33">
        <f t="shared" si="34"/>
        <v>42.399732532653786</v>
      </c>
      <c r="V315" s="33">
        <f t="shared" si="35"/>
        <v>0.83065560545739892</v>
      </c>
      <c r="W315" s="12" t="b">
        <f t="shared" si="36"/>
        <v>0</v>
      </c>
    </row>
    <row r="316" spans="1:23">
      <c r="A316" s="26">
        <v>315</v>
      </c>
      <c r="B316" s="27">
        <v>40557</v>
      </c>
      <c r="C316" s="12">
        <v>1</v>
      </c>
      <c r="D316" s="12">
        <v>14</v>
      </c>
      <c r="E316" s="12" t="b">
        <v>0</v>
      </c>
      <c r="F316" s="12">
        <v>5</v>
      </c>
      <c r="G316" s="12">
        <v>1</v>
      </c>
      <c r="H316" s="12">
        <v>0.22</v>
      </c>
      <c r="I316" s="12">
        <v>0.21210000000000001</v>
      </c>
      <c r="J316" s="12">
        <v>0.41</v>
      </c>
      <c r="K316" s="12">
        <v>0.28360000000000002</v>
      </c>
      <c r="L316" s="12">
        <v>5</v>
      </c>
      <c r="M316" s="12">
        <v>59</v>
      </c>
      <c r="N316" s="12">
        <v>64</v>
      </c>
      <c r="O316" s="12" t="str">
        <f>VLOOKUP(G316,calculate_field!$B$2:$C$5,2,FALSE)</f>
        <v>Clear/Partly Cloudy</v>
      </c>
      <c r="P316" s="12" t="str">
        <f t="shared" si="30"/>
        <v>Friday</v>
      </c>
      <c r="Q316" s="12" t="str">
        <f t="shared" si="31"/>
        <v>Weekday</v>
      </c>
      <c r="R316" s="12" t="str">
        <f t="shared" si="32"/>
        <v>Afternoon</v>
      </c>
      <c r="S316" s="28" t="str">
        <f>INDEX(calculate_field!$F$2:$F$4, MATCH(H316, calculate_field!$E$2:$E$4, 1))</f>
        <v>Mild</v>
      </c>
      <c r="T316" s="33">
        <f t="shared" si="33"/>
        <v>52.458333333333336</v>
      </c>
      <c r="U316" s="33">
        <f t="shared" si="34"/>
        <v>43.301751311773366</v>
      </c>
      <c r="V316" s="33">
        <f t="shared" si="35"/>
        <v>1.0839486952134192</v>
      </c>
      <c r="W316" s="12" t="b">
        <f t="shared" si="36"/>
        <v>0</v>
      </c>
    </row>
    <row r="317" spans="1:23">
      <c r="A317" s="26">
        <v>316</v>
      </c>
      <c r="B317" s="27">
        <v>40557</v>
      </c>
      <c r="C317" s="12">
        <v>1</v>
      </c>
      <c r="D317" s="12">
        <v>15</v>
      </c>
      <c r="E317" s="12" t="b">
        <v>0</v>
      </c>
      <c r="F317" s="12">
        <v>5</v>
      </c>
      <c r="G317" s="12">
        <v>1</v>
      </c>
      <c r="H317" s="12">
        <v>0.24</v>
      </c>
      <c r="I317" s="12">
        <v>0.2424</v>
      </c>
      <c r="J317" s="12">
        <v>0.38</v>
      </c>
      <c r="K317" s="12">
        <v>0.16420000000000001</v>
      </c>
      <c r="L317" s="12">
        <v>9</v>
      </c>
      <c r="M317" s="12">
        <v>59</v>
      </c>
      <c r="N317" s="12">
        <v>68</v>
      </c>
      <c r="O317" s="12" t="str">
        <f>VLOOKUP(G317,calculate_field!$B$2:$C$5,2,FALSE)</f>
        <v>Clear/Partly Cloudy</v>
      </c>
      <c r="P317" s="12" t="str">
        <f t="shared" si="30"/>
        <v>Friday</v>
      </c>
      <c r="Q317" s="12" t="str">
        <f t="shared" si="31"/>
        <v>Weekday</v>
      </c>
      <c r="R317" s="12" t="str">
        <f t="shared" si="32"/>
        <v>Afternoon</v>
      </c>
      <c r="S317" s="28" t="str">
        <f>INDEX(calculate_field!$F$2:$F$4, MATCH(H317, calculate_field!$E$2:$E$4, 1))</f>
        <v>Mild</v>
      </c>
      <c r="T317" s="33">
        <f t="shared" si="33"/>
        <v>54.708333333333336</v>
      </c>
      <c r="U317" s="33">
        <f t="shared" si="34"/>
        <v>45.285067283162775</v>
      </c>
      <c r="V317" s="33">
        <f t="shared" si="35"/>
        <v>1.4335227982578553</v>
      </c>
      <c r="W317" s="12" t="b">
        <f t="shared" si="36"/>
        <v>0</v>
      </c>
    </row>
    <row r="318" spans="1:23">
      <c r="A318" s="26">
        <v>317</v>
      </c>
      <c r="B318" s="27">
        <v>40557</v>
      </c>
      <c r="C318" s="12">
        <v>1</v>
      </c>
      <c r="D318" s="12">
        <v>16</v>
      </c>
      <c r="E318" s="12" t="b">
        <v>0</v>
      </c>
      <c r="F318" s="12">
        <v>5</v>
      </c>
      <c r="G318" s="12">
        <v>1</v>
      </c>
      <c r="H318" s="12">
        <v>0.22</v>
      </c>
      <c r="I318" s="12">
        <v>0.2424</v>
      </c>
      <c r="J318" s="12">
        <v>0.41</v>
      </c>
      <c r="K318" s="12">
        <v>0.1045</v>
      </c>
      <c r="L318" s="12">
        <v>3</v>
      </c>
      <c r="M318" s="12">
        <v>87</v>
      </c>
      <c r="N318" s="12">
        <v>90</v>
      </c>
      <c r="O318" s="12" t="str">
        <f>VLOOKUP(G318,calculate_field!$B$2:$C$5,2,FALSE)</f>
        <v>Clear/Partly Cloudy</v>
      </c>
      <c r="P318" s="12" t="str">
        <f t="shared" si="30"/>
        <v>Friday</v>
      </c>
      <c r="Q318" s="12" t="str">
        <f t="shared" si="31"/>
        <v>Weekday</v>
      </c>
      <c r="R318" s="12" t="str">
        <f t="shared" si="32"/>
        <v>Afternoon</v>
      </c>
      <c r="S318" s="28" t="str">
        <f>INDEX(calculate_field!$F$2:$F$4, MATCH(H318, calculate_field!$E$2:$E$4, 1))</f>
        <v>Mild</v>
      </c>
      <c r="T318" s="33">
        <f t="shared" si="33"/>
        <v>57.25</v>
      </c>
      <c r="U318" s="33">
        <f t="shared" si="34"/>
        <v>47.71040356877787</v>
      </c>
      <c r="V318" s="33">
        <f t="shared" si="35"/>
        <v>1.7656744698094933</v>
      </c>
      <c r="W318" s="12" t="b">
        <f t="shared" si="36"/>
        <v>0</v>
      </c>
    </row>
    <row r="319" spans="1:23">
      <c r="A319" s="26">
        <v>318</v>
      </c>
      <c r="B319" s="27">
        <v>40557</v>
      </c>
      <c r="C319" s="12">
        <v>1</v>
      </c>
      <c r="D319" s="12">
        <v>17</v>
      </c>
      <c r="E319" s="12" t="b">
        <v>0</v>
      </c>
      <c r="F319" s="12">
        <v>5</v>
      </c>
      <c r="G319" s="12">
        <v>1</v>
      </c>
      <c r="H319" s="12">
        <v>0.22</v>
      </c>
      <c r="I319" s="12">
        <v>0.2273</v>
      </c>
      <c r="J319" s="12">
        <v>0.41</v>
      </c>
      <c r="K319" s="12">
        <v>0.16420000000000001</v>
      </c>
      <c r="L319" s="12">
        <v>4</v>
      </c>
      <c r="M319" s="12">
        <v>155</v>
      </c>
      <c r="N319" s="12">
        <v>159</v>
      </c>
      <c r="O319" s="12" t="str">
        <f>VLOOKUP(G319,calculate_field!$B$2:$C$5,2,FALSE)</f>
        <v>Clear/Partly Cloudy</v>
      </c>
      <c r="P319" s="12" t="str">
        <f t="shared" si="30"/>
        <v>Friday</v>
      </c>
      <c r="Q319" s="12" t="str">
        <f t="shared" si="31"/>
        <v>Weekday</v>
      </c>
      <c r="R319" s="12" t="str">
        <f t="shared" si="32"/>
        <v>Evening</v>
      </c>
      <c r="S319" s="28" t="str">
        <f>INDEX(calculate_field!$F$2:$F$4, MATCH(H319, calculate_field!$E$2:$E$4, 1))</f>
        <v>Mild</v>
      </c>
      <c r="T319" s="33">
        <f t="shared" si="33"/>
        <v>58.833333333333336</v>
      </c>
      <c r="U319" s="33">
        <f t="shared" si="34"/>
        <v>49.44357052910587</v>
      </c>
      <c r="V319" s="33">
        <f t="shared" si="35"/>
        <v>1.8054191181488606</v>
      </c>
      <c r="W319" s="12" t="b">
        <f t="shared" si="36"/>
        <v>0</v>
      </c>
    </row>
    <row r="320" spans="1:23">
      <c r="A320" s="26">
        <v>319</v>
      </c>
      <c r="B320" s="27">
        <v>40557</v>
      </c>
      <c r="C320" s="12">
        <v>1</v>
      </c>
      <c r="D320" s="12">
        <v>18</v>
      </c>
      <c r="E320" s="12" t="b">
        <v>0</v>
      </c>
      <c r="F320" s="12">
        <v>5</v>
      </c>
      <c r="G320" s="12">
        <v>1</v>
      </c>
      <c r="H320" s="12">
        <v>0.2</v>
      </c>
      <c r="I320" s="12">
        <v>0.2576</v>
      </c>
      <c r="J320" s="12">
        <v>0.47</v>
      </c>
      <c r="K320" s="12">
        <v>0</v>
      </c>
      <c r="L320" s="12">
        <v>5</v>
      </c>
      <c r="M320" s="12">
        <v>134</v>
      </c>
      <c r="N320" s="12">
        <v>139</v>
      </c>
      <c r="O320" s="12" t="str">
        <f>VLOOKUP(G320,calculate_field!$B$2:$C$5,2,FALSE)</f>
        <v>Clear/Partly Cloudy</v>
      </c>
      <c r="P320" s="12" t="str">
        <f t="shared" si="30"/>
        <v>Friday</v>
      </c>
      <c r="Q320" s="12" t="str">
        <f t="shared" si="31"/>
        <v>Weekday</v>
      </c>
      <c r="R320" s="12" t="str">
        <f t="shared" si="32"/>
        <v>Evening</v>
      </c>
      <c r="S320" s="28" t="str">
        <f>INDEX(calculate_field!$F$2:$F$4, MATCH(H320, calculate_field!$E$2:$E$4, 1))</f>
        <v>Mild</v>
      </c>
      <c r="T320" s="33">
        <f t="shared" si="33"/>
        <v>55.666666666666664</v>
      </c>
      <c r="U320" s="33">
        <f t="shared" si="34"/>
        <v>44.98179986217292</v>
      </c>
      <c r="V320" s="33">
        <f t="shared" si="35"/>
        <v>0.77940065341420994</v>
      </c>
      <c r="W320" s="12" t="b">
        <f t="shared" si="36"/>
        <v>0</v>
      </c>
    </row>
    <row r="321" spans="1:23">
      <c r="A321" s="26">
        <v>320</v>
      </c>
      <c r="B321" s="27">
        <v>40557</v>
      </c>
      <c r="C321" s="12">
        <v>1</v>
      </c>
      <c r="D321" s="12">
        <v>19</v>
      </c>
      <c r="E321" s="12" t="b">
        <v>0</v>
      </c>
      <c r="F321" s="12">
        <v>5</v>
      </c>
      <c r="G321" s="12">
        <v>1</v>
      </c>
      <c r="H321" s="12">
        <v>0.16</v>
      </c>
      <c r="I321" s="12">
        <v>0.19700000000000001</v>
      </c>
      <c r="J321" s="12">
        <v>0.59</v>
      </c>
      <c r="K321" s="12">
        <v>8.9599999999999999E-2</v>
      </c>
      <c r="L321" s="12">
        <v>3</v>
      </c>
      <c r="M321" s="12">
        <v>89</v>
      </c>
      <c r="N321" s="12">
        <v>92</v>
      </c>
      <c r="O321" s="12" t="str">
        <f>VLOOKUP(G321,calculate_field!$B$2:$C$5,2,FALSE)</f>
        <v>Clear/Partly Cloudy</v>
      </c>
      <c r="P321" s="12" t="str">
        <f t="shared" si="30"/>
        <v>Friday</v>
      </c>
      <c r="Q321" s="12" t="str">
        <f t="shared" si="31"/>
        <v>Weekday</v>
      </c>
      <c r="R321" s="12" t="str">
        <f t="shared" si="32"/>
        <v>Evening</v>
      </c>
      <c r="S321" s="28" t="str">
        <f>INDEX(calculate_field!$F$2:$F$4, MATCH(H321, calculate_field!$E$2:$E$4, 1))</f>
        <v>Cold</v>
      </c>
      <c r="T321" s="33">
        <f t="shared" si="33"/>
        <v>53.375</v>
      </c>
      <c r="U321" s="33">
        <f t="shared" si="34"/>
        <v>41.843198501901895</v>
      </c>
      <c r="V321" s="33">
        <f t="shared" si="35"/>
        <v>0.76234971990703704</v>
      </c>
      <c r="W321" s="12" t="b">
        <f t="shared" si="36"/>
        <v>0</v>
      </c>
    </row>
    <row r="322" spans="1:23">
      <c r="A322" s="26">
        <v>321</v>
      </c>
      <c r="B322" s="27">
        <v>40557</v>
      </c>
      <c r="C322" s="12">
        <v>1</v>
      </c>
      <c r="D322" s="12">
        <v>20</v>
      </c>
      <c r="E322" s="12" t="b">
        <v>0</v>
      </c>
      <c r="F322" s="12">
        <v>5</v>
      </c>
      <c r="G322" s="12">
        <v>1</v>
      </c>
      <c r="H322" s="12">
        <v>0.18</v>
      </c>
      <c r="I322" s="12">
        <v>0.2424</v>
      </c>
      <c r="J322" s="12">
        <v>0.59</v>
      </c>
      <c r="K322" s="12">
        <v>0</v>
      </c>
      <c r="L322" s="12">
        <v>0</v>
      </c>
      <c r="M322" s="12">
        <v>68</v>
      </c>
      <c r="N322" s="12">
        <v>68</v>
      </c>
      <c r="O322" s="12" t="str">
        <f>VLOOKUP(G322,calculate_field!$B$2:$C$5,2,FALSE)</f>
        <v>Clear/Partly Cloudy</v>
      </c>
      <c r="P322" s="12" t="str">
        <f t="shared" ref="P322:P385" si="37">CHOOSE(F322+1,"Sunday","Monday","Tuesday","Wednesday","Thursday","Friday","Saturday")</f>
        <v>Friday</v>
      </c>
      <c r="Q322" s="12" t="str">
        <f t="shared" ref="Q322:Q385" si="38">IF(OR(F322=0,F322=6),"Weekend","Weekday")</f>
        <v>Weekday</v>
      </c>
      <c r="R322" s="12" t="str">
        <f t="shared" ref="R322:R385" si="39">IF(D322&lt;6,"Night",IF(D322&lt;12,"Morning",IF(D322&lt;17,"Afternoon",IF(D322&lt;21,"Evening","Night"))))</f>
        <v>Evening</v>
      </c>
      <c r="S322" s="28" t="str">
        <f>INDEX(calculate_field!$F$2:$F$4, MATCH(H322, calculate_field!$E$2:$E$4, 1))</f>
        <v>Cold</v>
      </c>
      <c r="T322" s="33">
        <f t="shared" ref="T322:T385" si="40">AVERAGE(N322:N345)</f>
        <v>52.625</v>
      </c>
      <c r="U322" s="33">
        <f t="shared" ref="U322:U385" si="41">_xlfn.STDEV.S(N322:N345)</f>
        <v>41.278284110781961</v>
      </c>
      <c r="V322" s="33">
        <f t="shared" ref="V322:V385" si="42">(N345-T345)/U345</f>
        <v>0.5375406513870199</v>
      </c>
      <c r="W322" s="12" t="b">
        <f t="shared" ref="W322:W385" si="43">IFERROR(ABS(V338)&gt;1.5,FALSE)</f>
        <v>0</v>
      </c>
    </row>
    <row r="323" spans="1:23">
      <c r="A323" s="26">
        <v>322</v>
      </c>
      <c r="B323" s="27">
        <v>40557</v>
      </c>
      <c r="C323" s="12">
        <v>1</v>
      </c>
      <c r="D323" s="12">
        <v>21</v>
      </c>
      <c r="E323" s="12" t="b">
        <v>0</v>
      </c>
      <c r="F323" s="12">
        <v>5</v>
      </c>
      <c r="G323" s="12">
        <v>1</v>
      </c>
      <c r="H323" s="12">
        <v>0.16</v>
      </c>
      <c r="I323" s="12">
        <v>0.2273</v>
      </c>
      <c r="J323" s="12">
        <v>0.69</v>
      </c>
      <c r="K323" s="12">
        <v>0</v>
      </c>
      <c r="L323" s="12">
        <v>4</v>
      </c>
      <c r="M323" s="12">
        <v>48</v>
      </c>
      <c r="N323" s="12">
        <v>52</v>
      </c>
      <c r="O323" s="12" t="str">
        <f>VLOOKUP(G323,calculate_field!$B$2:$C$5,2,FALSE)</f>
        <v>Clear/Partly Cloudy</v>
      </c>
      <c r="P323" s="12" t="str">
        <f t="shared" si="37"/>
        <v>Friday</v>
      </c>
      <c r="Q323" s="12" t="str">
        <f t="shared" si="38"/>
        <v>Weekday</v>
      </c>
      <c r="R323" s="12" t="str">
        <f t="shared" si="39"/>
        <v>Night</v>
      </c>
      <c r="S323" s="28" t="str">
        <f>INDEX(calculate_field!$F$2:$F$4, MATCH(H323, calculate_field!$E$2:$E$4, 1))</f>
        <v>Cold</v>
      </c>
      <c r="T323" s="33">
        <f t="shared" si="40"/>
        <v>51.5</v>
      </c>
      <c r="U323" s="33">
        <f t="shared" si="41"/>
        <v>41.208905749163961</v>
      </c>
      <c r="V323" s="33">
        <f t="shared" si="42"/>
        <v>-0.27705542538969363</v>
      </c>
      <c r="W323" s="12" t="b">
        <f t="shared" si="43"/>
        <v>0</v>
      </c>
    </row>
    <row r="324" spans="1:23">
      <c r="A324" s="26">
        <v>323</v>
      </c>
      <c r="B324" s="27">
        <v>40557</v>
      </c>
      <c r="C324" s="12">
        <v>1</v>
      </c>
      <c r="D324" s="12">
        <v>22</v>
      </c>
      <c r="E324" s="12" t="b">
        <v>0</v>
      </c>
      <c r="F324" s="12">
        <v>5</v>
      </c>
      <c r="G324" s="12">
        <v>2</v>
      </c>
      <c r="H324" s="12">
        <v>0.16</v>
      </c>
      <c r="I324" s="12">
        <v>0.2273</v>
      </c>
      <c r="J324" s="12">
        <v>0.69</v>
      </c>
      <c r="K324" s="12">
        <v>0</v>
      </c>
      <c r="L324" s="12">
        <v>2</v>
      </c>
      <c r="M324" s="12">
        <v>34</v>
      </c>
      <c r="N324" s="12">
        <v>36</v>
      </c>
      <c r="O324" s="12" t="str">
        <f>VLOOKUP(G324,calculate_field!$B$2:$C$5,2,FALSE)</f>
        <v xml:space="preserve">Mist / cloudy </v>
      </c>
      <c r="P324" s="12" t="str">
        <f t="shared" si="37"/>
        <v>Friday</v>
      </c>
      <c r="Q324" s="12" t="str">
        <f t="shared" si="38"/>
        <v>Weekday</v>
      </c>
      <c r="R324" s="12" t="str">
        <f t="shared" si="39"/>
        <v>Night</v>
      </c>
      <c r="S324" s="28" t="str">
        <f>INDEX(calculate_field!$F$2:$F$4, MATCH(H324, calculate_field!$E$2:$E$4, 1))</f>
        <v>Cold</v>
      </c>
      <c r="T324" s="33">
        <f t="shared" si="40"/>
        <v>51.708333333333336</v>
      </c>
      <c r="U324" s="33">
        <f t="shared" si="41"/>
        <v>41.224179446224184</v>
      </c>
      <c r="V324" s="33">
        <f t="shared" si="42"/>
        <v>0.10930395319982117</v>
      </c>
      <c r="W324" s="12" t="b">
        <f t="shared" si="43"/>
        <v>1</v>
      </c>
    </row>
    <row r="325" spans="1:23">
      <c r="A325" s="26">
        <v>324</v>
      </c>
      <c r="B325" s="27">
        <v>40557</v>
      </c>
      <c r="C325" s="12">
        <v>1</v>
      </c>
      <c r="D325" s="12">
        <v>23</v>
      </c>
      <c r="E325" s="12" t="b">
        <v>0</v>
      </c>
      <c r="F325" s="12">
        <v>5</v>
      </c>
      <c r="G325" s="12">
        <v>2</v>
      </c>
      <c r="H325" s="12">
        <v>0.18</v>
      </c>
      <c r="I325" s="12">
        <v>0.2424</v>
      </c>
      <c r="J325" s="12">
        <v>0.55000000000000004</v>
      </c>
      <c r="K325" s="12">
        <v>0</v>
      </c>
      <c r="L325" s="12">
        <v>1</v>
      </c>
      <c r="M325" s="12">
        <v>26</v>
      </c>
      <c r="N325" s="12">
        <v>27</v>
      </c>
      <c r="O325" s="12" t="str">
        <f>VLOOKUP(G325,calculate_field!$B$2:$C$5,2,FALSE)</f>
        <v xml:space="preserve">Mist / cloudy </v>
      </c>
      <c r="P325" s="12" t="str">
        <f t="shared" si="37"/>
        <v>Friday</v>
      </c>
      <c r="Q325" s="12" t="str">
        <f t="shared" si="38"/>
        <v>Weekday</v>
      </c>
      <c r="R325" s="12" t="str">
        <f t="shared" si="39"/>
        <v>Night</v>
      </c>
      <c r="S325" s="28" t="str">
        <f>INDEX(calculate_field!$F$2:$F$4, MATCH(H325, calculate_field!$E$2:$E$4, 1))</f>
        <v>Cold</v>
      </c>
      <c r="T325" s="33">
        <f t="shared" si="40"/>
        <v>51.291666666666664</v>
      </c>
      <c r="U325" s="33">
        <f t="shared" si="41"/>
        <v>41.439824540784613</v>
      </c>
      <c r="V325" s="33">
        <f t="shared" si="42"/>
        <v>-0.63729048587653536</v>
      </c>
      <c r="W325" s="12" t="b">
        <f t="shared" si="43"/>
        <v>0</v>
      </c>
    </row>
    <row r="326" spans="1:23">
      <c r="A326" s="26">
        <v>325</v>
      </c>
      <c r="B326" s="27">
        <v>40558</v>
      </c>
      <c r="C326" s="12">
        <v>1</v>
      </c>
      <c r="D326" s="12">
        <v>0</v>
      </c>
      <c r="E326" s="12" t="b">
        <v>0</v>
      </c>
      <c r="F326" s="12">
        <v>6</v>
      </c>
      <c r="G326" s="12">
        <v>1</v>
      </c>
      <c r="H326" s="12">
        <v>0.18</v>
      </c>
      <c r="I326" s="12">
        <v>0.2424</v>
      </c>
      <c r="J326" s="12">
        <v>0.55000000000000004</v>
      </c>
      <c r="K326" s="12">
        <v>0</v>
      </c>
      <c r="L326" s="12">
        <v>3</v>
      </c>
      <c r="M326" s="12">
        <v>25</v>
      </c>
      <c r="N326" s="12">
        <v>28</v>
      </c>
      <c r="O326" s="12" t="str">
        <f>VLOOKUP(G326,calculate_field!$B$2:$C$5,2,FALSE)</f>
        <v>Clear/Partly Cloudy</v>
      </c>
      <c r="P326" s="12" t="str">
        <f t="shared" si="37"/>
        <v>Saturday</v>
      </c>
      <c r="Q326" s="12" t="str">
        <f t="shared" si="38"/>
        <v>Weekend</v>
      </c>
      <c r="R326" s="12" t="str">
        <f t="shared" si="39"/>
        <v>Night</v>
      </c>
      <c r="S326" s="28" t="str">
        <f>INDEX(calculate_field!$F$2:$F$4, MATCH(H326, calculate_field!$E$2:$E$4, 1))</f>
        <v>Cold</v>
      </c>
      <c r="T326" s="33">
        <f t="shared" si="40"/>
        <v>52</v>
      </c>
      <c r="U326" s="33">
        <f t="shared" si="41"/>
        <v>41.150836010314855</v>
      </c>
      <c r="V326" s="33">
        <f t="shared" si="42"/>
        <v>-0.18080223370233994</v>
      </c>
      <c r="W326" s="12" t="b">
        <f t="shared" si="43"/>
        <v>1</v>
      </c>
    </row>
    <row r="327" spans="1:23">
      <c r="A327" s="26">
        <v>326</v>
      </c>
      <c r="B327" s="27">
        <v>40558</v>
      </c>
      <c r="C327" s="12">
        <v>1</v>
      </c>
      <c r="D327" s="12">
        <v>1</v>
      </c>
      <c r="E327" s="12" t="b">
        <v>0</v>
      </c>
      <c r="F327" s="12">
        <v>6</v>
      </c>
      <c r="G327" s="12">
        <v>2</v>
      </c>
      <c r="H327" s="12">
        <v>0.16</v>
      </c>
      <c r="I327" s="12">
        <v>0.19700000000000001</v>
      </c>
      <c r="J327" s="12">
        <v>0.59</v>
      </c>
      <c r="K327" s="12">
        <v>8.9599999999999999E-2</v>
      </c>
      <c r="L327" s="12">
        <v>2</v>
      </c>
      <c r="M327" s="12">
        <v>18</v>
      </c>
      <c r="N327" s="12">
        <v>20</v>
      </c>
      <c r="O327" s="12" t="str">
        <f>VLOOKUP(G327,calculate_field!$B$2:$C$5,2,FALSE)</f>
        <v xml:space="preserve">Mist / cloudy </v>
      </c>
      <c r="P327" s="12" t="str">
        <f t="shared" si="37"/>
        <v>Saturday</v>
      </c>
      <c r="Q327" s="12" t="str">
        <f t="shared" si="38"/>
        <v>Weekend</v>
      </c>
      <c r="R327" s="12" t="str">
        <f t="shared" si="39"/>
        <v>Night</v>
      </c>
      <c r="S327" s="28" t="str">
        <f>INDEX(calculate_field!$F$2:$F$4, MATCH(H327, calculate_field!$E$2:$E$4, 1))</f>
        <v>Cold</v>
      </c>
      <c r="T327" s="33">
        <f t="shared" si="40"/>
        <v>52.458333333333336</v>
      </c>
      <c r="U327" s="33">
        <f t="shared" si="41"/>
        <v>40.932584199820099</v>
      </c>
      <c r="V327" s="33">
        <f t="shared" si="42"/>
        <v>-0.2746969076468263</v>
      </c>
      <c r="W327" s="12" t="b">
        <f t="shared" si="43"/>
        <v>1</v>
      </c>
    </row>
    <row r="328" spans="1:23">
      <c r="A328" s="26">
        <v>327</v>
      </c>
      <c r="B328" s="27">
        <v>40558</v>
      </c>
      <c r="C328" s="12">
        <v>1</v>
      </c>
      <c r="D328" s="12">
        <v>2</v>
      </c>
      <c r="E328" s="12" t="b">
        <v>0</v>
      </c>
      <c r="F328" s="12">
        <v>6</v>
      </c>
      <c r="G328" s="12">
        <v>2</v>
      </c>
      <c r="H328" s="12">
        <v>0.16</v>
      </c>
      <c r="I328" s="12">
        <v>0.19700000000000001</v>
      </c>
      <c r="J328" s="12">
        <v>0.59</v>
      </c>
      <c r="K328" s="12">
        <v>8.9599999999999999E-2</v>
      </c>
      <c r="L328" s="12">
        <v>0</v>
      </c>
      <c r="M328" s="12">
        <v>12</v>
      </c>
      <c r="N328" s="12">
        <v>12</v>
      </c>
      <c r="O328" s="12" t="str">
        <f>VLOOKUP(G328,calculate_field!$B$2:$C$5,2,FALSE)</f>
        <v xml:space="preserve">Mist / cloudy </v>
      </c>
      <c r="P328" s="12" t="str">
        <f t="shared" si="37"/>
        <v>Saturday</v>
      </c>
      <c r="Q328" s="12" t="str">
        <f t="shared" si="38"/>
        <v>Weekend</v>
      </c>
      <c r="R328" s="12" t="str">
        <f t="shared" si="39"/>
        <v>Night</v>
      </c>
      <c r="S328" s="28" t="str">
        <f>INDEX(calculate_field!$F$2:$F$4, MATCH(H328, calculate_field!$E$2:$E$4, 1))</f>
        <v>Cold</v>
      </c>
      <c r="T328" s="33">
        <f t="shared" si="40"/>
        <v>52.583333333333336</v>
      </c>
      <c r="U328" s="33">
        <f t="shared" si="41"/>
        <v>40.833614314324592</v>
      </c>
      <c r="V328" s="33">
        <f t="shared" si="42"/>
        <v>-0.6377784168117594</v>
      </c>
      <c r="W328" s="12" t="b">
        <f t="shared" si="43"/>
        <v>1</v>
      </c>
    </row>
    <row r="329" spans="1:23">
      <c r="A329" s="26">
        <v>328</v>
      </c>
      <c r="B329" s="27">
        <v>40558</v>
      </c>
      <c r="C329" s="12">
        <v>1</v>
      </c>
      <c r="D329" s="12">
        <v>3</v>
      </c>
      <c r="E329" s="12" t="b">
        <v>0</v>
      </c>
      <c r="F329" s="12">
        <v>6</v>
      </c>
      <c r="G329" s="12">
        <v>2</v>
      </c>
      <c r="H329" s="12">
        <v>0.16</v>
      </c>
      <c r="I329" s="12">
        <v>0.2273</v>
      </c>
      <c r="J329" s="12">
        <v>0.59</v>
      </c>
      <c r="K329" s="12">
        <v>0</v>
      </c>
      <c r="L329" s="12">
        <v>1</v>
      </c>
      <c r="M329" s="12">
        <v>7</v>
      </c>
      <c r="N329" s="12">
        <v>8</v>
      </c>
      <c r="O329" s="12" t="str">
        <f>VLOOKUP(G329,calculate_field!$B$2:$C$5,2,FALSE)</f>
        <v xml:space="preserve">Mist / cloudy </v>
      </c>
      <c r="P329" s="12" t="str">
        <f t="shared" si="37"/>
        <v>Saturday</v>
      </c>
      <c r="Q329" s="12" t="str">
        <f t="shared" si="38"/>
        <v>Weekend</v>
      </c>
      <c r="R329" s="12" t="str">
        <f t="shared" si="39"/>
        <v>Night</v>
      </c>
      <c r="S329" s="28" t="str">
        <f>INDEX(calculate_field!$F$2:$F$4, MATCH(H329, calculate_field!$E$2:$E$4, 1))</f>
        <v>Cold</v>
      </c>
      <c r="T329" s="33">
        <f t="shared" si="40"/>
        <v>52.75</v>
      </c>
      <c r="U329" s="33">
        <f t="shared" si="41"/>
        <v>40.668597008117892</v>
      </c>
      <c r="V329" s="33">
        <f t="shared" si="42"/>
        <v>-0.7965408932369491</v>
      </c>
      <c r="W329" s="12" t="b">
        <f t="shared" si="43"/>
        <v>0</v>
      </c>
    </row>
    <row r="330" spans="1:23">
      <c r="A330" s="26">
        <v>329</v>
      </c>
      <c r="B330" s="27">
        <v>40558</v>
      </c>
      <c r="C330" s="12">
        <v>1</v>
      </c>
      <c r="D330" s="12">
        <v>4</v>
      </c>
      <c r="E330" s="12" t="b">
        <v>0</v>
      </c>
      <c r="F330" s="12">
        <v>6</v>
      </c>
      <c r="G330" s="12">
        <v>2</v>
      </c>
      <c r="H330" s="12">
        <v>0.16</v>
      </c>
      <c r="I330" s="12">
        <v>0.2273</v>
      </c>
      <c r="J330" s="12">
        <v>0.59</v>
      </c>
      <c r="K330" s="12">
        <v>0</v>
      </c>
      <c r="L330" s="12">
        <v>0</v>
      </c>
      <c r="M330" s="12">
        <v>5</v>
      </c>
      <c r="N330" s="12">
        <v>5</v>
      </c>
      <c r="O330" s="12" t="str">
        <f>VLOOKUP(G330,calculate_field!$B$2:$C$5,2,FALSE)</f>
        <v xml:space="preserve">Mist / cloudy </v>
      </c>
      <c r="P330" s="12" t="str">
        <f t="shared" si="37"/>
        <v>Saturday</v>
      </c>
      <c r="Q330" s="12" t="str">
        <f t="shared" si="38"/>
        <v>Weekend</v>
      </c>
      <c r="R330" s="12" t="str">
        <f t="shared" si="39"/>
        <v>Night</v>
      </c>
      <c r="S330" s="28" t="str">
        <f>INDEX(calculate_field!$F$2:$F$4, MATCH(H330, calculate_field!$E$2:$E$4, 1))</f>
        <v>Cold</v>
      </c>
      <c r="T330" s="33">
        <f t="shared" si="40"/>
        <v>53.041666666666664</v>
      </c>
      <c r="U330" s="33">
        <f t="shared" si="41"/>
        <v>40.357617853889487</v>
      </c>
      <c r="V330" s="33">
        <f t="shared" si="42"/>
        <v>-0.80664585499583952</v>
      </c>
      <c r="W330" s="12" t="b">
        <f t="shared" si="43"/>
        <v>0</v>
      </c>
    </row>
    <row r="331" spans="1:23">
      <c r="A331" s="26">
        <v>330</v>
      </c>
      <c r="B331" s="27">
        <v>40558</v>
      </c>
      <c r="C331" s="12">
        <v>1</v>
      </c>
      <c r="D331" s="12">
        <v>5</v>
      </c>
      <c r="E331" s="12" t="b">
        <v>0</v>
      </c>
      <c r="F331" s="12">
        <v>6</v>
      </c>
      <c r="G331" s="12">
        <v>1</v>
      </c>
      <c r="H331" s="12">
        <v>0.16</v>
      </c>
      <c r="I331" s="12">
        <v>0.2273</v>
      </c>
      <c r="J331" s="12">
        <v>0.59</v>
      </c>
      <c r="K331" s="12">
        <v>0</v>
      </c>
      <c r="L331" s="12">
        <v>0</v>
      </c>
      <c r="M331" s="12">
        <v>1</v>
      </c>
      <c r="N331" s="12">
        <v>1</v>
      </c>
      <c r="O331" s="12" t="str">
        <f>VLOOKUP(G331,calculate_field!$B$2:$C$5,2,FALSE)</f>
        <v>Clear/Partly Cloudy</v>
      </c>
      <c r="P331" s="12" t="str">
        <f t="shared" si="37"/>
        <v>Saturday</v>
      </c>
      <c r="Q331" s="12" t="str">
        <f t="shared" si="38"/>
        <v>Weekend</v>
      </c>
      <c r="R331" s="12" t="str">
        <f t="shared" si="39"/>
        <v>Night</v>
      </c>
      <c r="S331" s="28" t="str">
        <f>INDEX(calculate_field!$F$2:$F$4, MATCH(H331, calculate_field!$E$2:$E$4, 1))</f>
        <v>Cold</v>
      </c>
      <c r="T331" s="33">
        <f t="shared" si="40"/>
        <v>52.875</v>
      </c>
      <c r="U331" s="33">
        <f t="shared" si="41"/>
        <v>40.572332080307909</v>
      </c>
      <c r="V331" s="33">
        <f t="shared" si="42"/>
        <v>-1.1151402249103062</v>
      </c>
      <c r="W331" s="12" t="b">
        <f t="shared" si="43"/>
        <v>0</v>
      </c>
    </row>
    <row r="332" spans="1:23">
      <c r="A332" s="26">
        <v>331</v>
      </c>
      <c r="B332" s="27">
        <v>40558</v>
      </c>
      <c r="C332" s="12">
        <v>1</v>
      </c>
      <c r="D332" s="12">
        <v>6</v>
      </c>
      <c r="E332" s="12" t="b">
        <v>0</v>
      </c>
      <c r="F332" s="12">
        <v>6</v>
      </c>
      <c r="G332" s="12">
        <v>1</v>
      </c>
      <c r="H332" s="12">
        <v>0.14000000000000001</v>
      </c>
      <c r="I332" s="12">
        <v>0.16669999999999999</v>
      </c>
      <c r="J332" s="12">
        <v>0.63</v>
      </c>
      <c r="K332" s="12">
        <v>0.1045</v>
      </c>
      <c r="L332" s="12">
        <v>1</v>
      </c>
      <c r="M332" s="12">
        <v>2</v>
      </c>
      <c r="N332" s="12">
        <v>3</v>
      </c>
      <c r="O332" s="12" t="str">
        <f>VLOOKUP(G332,calculate_field!$B$2:$C$5,2,FALSE)</f>
        <v>Clear/Partly Cloudy</v>
      </c>
      <c r="P332" s="12" t="str">
        <f t="shared" si="37"/>
        <v>Saturday</v>
      </c>
      <c r="Q332" s="12" t="str">
        <f t="shared" si="38"/>
        <v>Weekend</v>
      </c>
      <c r="R332" s="12" t="str">
        <f t="shared" si="39"/>
        <v>Morning</v>
      </c>
      <c r="S332" s="28" t="str">
        <f>INDEX(calculate_field!$F$2:$F$4, MATCH(H332, calculate_field!$E$2:$E$4, 1))</f>
        <v>Cold</v>
      </c>
      <c r="T332" s="33">
        <f t="shared" si="40"/>
        <v>52.916666666666664</v>
      </c>
      <c r="U332" s="33">
        <f t="shared" si="41"/>
        <v>40.517217667754927</v>
      </c>
      <c r="V332" s="33">
        <f t="shared" si="42"/>
        <v>-1.0958979704483705</v>
      </c>
      <c r="W332" s="12" t="b">
        <f t="shared" si="43"/>
        <v>0</v>
      </c>
    </row>
    <row r="333" spans="1:23">
      <c r="A333" s="26">
        <v>332</v>
      </c>
      <c r="B333" s="27">
        <v>40558</v>
      </c>
      <c r="C333" s="12">
        <v>1</v>
      </c>
      <c r="D333" s="12">
        <v>7</v>
      </c>
      <c r="E333" s="12" t="b">
        <v>0</v>
      </c>
      <c r="F333" s="12">
        <v>6</v>
      </c>
      <c r="G333" s="12">
        <v>1</v>
      </c>
      <c r="H333" s="12">
        <v>0.14000000000000001</v>
      </c>
      <c r="I333" s="12">
        <v>0.21210000000000001</v>
      </c>
      <c r="J333" s="12">
        <v>0.63</v>
      </c>
      <c r="K333" s="12">
        <v>0</v>
      </c>
      <c r="L333" s="12">
        <v>1</v>
      </c>
      <c r="M333" s="12">
        <v>9</v>
      </c>
      <c r="N333" s="12">
        <v>10</v>
      </c>
      <c r="O333" s="12" t="str">
        <f>VLOOKUP(G333,calculate_field!$B$2:$C$5,2,FALSE)</f>
        <v>Clear/Partly Cloudy</v>
      </c>
      <c r="P333" s="12" t="str">
        <f t="shared" si="37"/>
        <v>Saturday</v>
      </c>
      <c r="Q333" s="12" t="str">
        <f t="shared" si="38"/>
        <v>Weekend</v>
      </c>
      <c r="R333" s="12" t="str">
        <f t="shared" si="39"/>
        <v>Morning</v>
      </c>
      <c r="S333" s="28" t="str">
        <f>INDEX(calculate_field!$F$2:$F$4, MATCH(H333, calculate_field!$E$2:$E$4, 1))</f>
        <v>Cold</v>
      </c>
      <c r="T333" s="33">
        <f t="shared" si="40"/>
        <v>52.833333333333336</v>
      </c>
      <c r="U333" s="33">
        <f t="shared" si="41"/>
        <v>40.626256948224857</v>
      </c>
      <c r="V333" s="33">
        <f t="shared" si="42"/>
        <v>-1.1173705586491984</v>
      </c>
      <c r="W333" s="12" t="b">
        <f t="shared" si="43"/>
        <v>0</v>
      </c>
    </row>
    <row r="334" spans="1:23">
      <c r="A334" s="26">
        <v>333</v>
      </c>
      <c r="B334" s="27">
        <v>40558</v>
      </c>
      <c r="C334" s="12">
        <v>1</v>
      </c>
      <c r="D334" s="12">
        <v>8</v>
      </c>
      <c r="E334" s="12" t="b">
        <v>0</v>
      </c>
      <c r="F334" s="12">
        <v>6</v>
      </c>
      <c r="G334" s="12">
        <v>1</v>
      </c>
      <c r="H334" s="12">
        <v>0.14000000000000001</v>
      </c>
      <c r="I334" s="12">
        <v>0.1515</v>
      </c>
      <c r="J334" s="12">
        <v>0.63</v>
      </c>
      <c r="K334" s="12">
        <v>0.1343</v>
      </c>
      <c r="L334" s="12">
        <v>1</v>
      </c>
      <c r="M334" s="12">
        <v>22</v>
      </c>
      <c r="N334" s="12">
        <v>23</v>
      </c>
      <c r="O334" s="12" t="str">
        <f>VLOOKUP(G334,calculate_field!$B$2:$C$5,2,FALSE)</f>
        <v>Clear/Partly Cloudy</v>
      </c>
      <c r="P334" s="12" t="str">
        <f t="shared" si="37"/>
        <v>Saturday</v>
      </c>
      <c r="Q334" s="12" t="str">
        <f t="shared" si="38"/>
        <v>Weekend</v>
      </c>
      <c r="R334" s="12" t="str">
        <f t="shared" si="39"/>
        <v>Morning</v>
      </c>
      <c r="S334" s="28" t="str">
        <f>INDEX(calculate_field!$F$2:$F$4, MATCH(H334, calculate_field!$E$2:$E$4, 1))</f>
        <v>Cold</v>
      </c>
      <c r="T334" s="33">
        <f t="shared" si="40"/>
        <v>52.541666666666664</v>
      </c>
      <c r="U334" s="33">
        <f t="shared" si="41"/>
        <v>40.970805264944097</v>
      </c>
      <c r="V334" s="33">
        <f t="shared" si="42"/>
        <v>-1.0786793613839845</v>
      </c>
      <c r="W334" s="12" t="b">
        <f t="shared" si="43"/>
        <v>0</v>
      </c>
    </row>
    <row r="335" spans="1:23">
      <c r="A335" s="26">
        <v>334</v>
      </c>
      <c r="B335" s="27">
        <v>40558</v>
      </c>
      <c r="C335" s="12">
        <v>1</v>
      </c>
      <c r="D335" s="12">
        <v>9</v>
      </c>
      <c r="E335" s="12" t="b">
        <v>0</v>
      </c>
      <c r="F335" s="12">
        <v>6</v>
      </c>
      <c r="G335" s="12">
        <v>1</v>
      </c>
      <c r="H335" s="12">
        <v>0.16</v>
      </c>
      <c r="I335" s="12">
        <v>0.18179999999999999</v>
      </c>
      <c r="J335" s="12">
        <v>0.64</v>
      </c>
      <c r="K335" s="12">
        <v>0.1343</v>
      </c>
      <c r="L335" s="12">
        <v>2</v>
      </c>
      <c r="M335" s="12">
        <v>31</v>
      </c>
      <c r="N335" s="12">
        <v>33</v>
      </c>
      <c r="O335" s="12" t="str">
        <f>VLOOKUP(G335,calculate_field!$B$2:$C$5,2,FALSE)</f>
        <v>Clear/Partly Cloudy</v>
      </c>
      <c r="P335" s="12" t="str">
        <f t="shared" si="37"/>
        <v>Saturday</v>
      </c>
      <c r="Q335" s="12" t="str">
        <f t="shared" si="38"/>
        <v>Weekend</v>
      </c>
      <c r="R335" s="12" t="str">
        <f t="shared" si="39"/>
        <v>Morning</v>
      </c>
      <c r="S335" s="28" t="str">
        <f>INDEX(calculate_field!$F$2:$F$4, MATCH(H335, calculate_field!$E$2:$E$4, 1))</f>
        <v>Cold</v>
      </c>
      <c r="T335" s="33">
        <f t="shared" si="40"/>
        <v>52.333333333333336</v>
      </c>
      <c r="U335" s="33">
        <f t="shared" si="41"/>
        <v>41.139916791641525</v>
      </c>
      <c r="V335" s="33">
        <f t="shared" si="42"/>
        <v>-0.73877454774733975</v>
      </c>
      <c r="W335" s="12" t="b">
        <f t="shared" si="43"/>
        <v>0</v>
      </c>
    </row>
    <row r="336" spans="1:23">
      <c r="A336" s="26">
        <v>335</v>
      </c>
      <c r="B336" s="27">
        <v>40558</v>
      </c>
      <c r="C336" s="12">
        <v>1</v>
      </c>
      <c r="D336" s="12">
        <v>10</v>
      </c>
      <c r="E336" s="12" t="b">
        <v>0</v>
      </c>
      <c r="F336" s="12">
        <v>6</v>
      </c>
      <c r="G336" s="12">
        <v>1</v>
      </c>
      <c r="H336" s="12">
        <v>0.18</v>
      </c>
      <c r="I336" s="12">
        <v>0.19700000000000001</v>
      </c>
      <c r="J336" s="12">
        <v>0.59</v>
      </c>
      <c r="K336" s="12">
        <v>0.16420000000000001</v>
      </c>
      <c r="L336" s="12">
        <v>2</v>
      </c>
      <c r="M336" s="12">
        <v>57</v>
      </c>
      <c r="N336" s="12">
        <v>59</v>
      </c>
      <c r="O336" s="12" t="str">
        <f>VLOOKUP(G336,calculate_field!$B$2:$C$5,2,FALSE)</f>
        <v>Clear/Partly Cloudy</v>
      </c>
      <c r="P336" s="12" t="str">
        <f t="shared" si="37"/>
        <v>Saturday</v>
      </c>
      <c r="Q336" s="12" t="str">
        <f t="shared" si="38"/>
        <v>Weekend</v>
      </c>
      <c r="R336" s="12" t="str">
        <f t="shared" si="39"/>
        <v>Morning</v>
      </c>
      <c r="S336" s="28" t="str">
        <f>INDEX(calculate_field!$F$2:$F$4, MATCH(H336, calculate_field!$E$2:$E$4, 1))</f>
        <v>Cold</v>
      </c>
      <c r="T336" s="33">
        <f t="shared" si="40"/>
        <v>52.291666666666664</v>
      </c>
      <c r="U336" s="33">
        <f t="shared" si="41"/>
        <v>41.160850084882171</v>
      </c>
      <c r="V336" s="33">
        <f t="shared" si="42"/>
        <v>-0.42075393543211353</v>
      </c>
      <c r="W336" s="12" t="b">
        <f t="shared" si="43"/>
        <v>0</v>
      </c>
    </row>
    <row r="337" spans="1:23">
      <c r="A337" s="26">
        <v>336</v>
      </c>
      <c r="B337" s="27">
        <v>40558</v>
      </c>
      <c r="C337" s="12">
        <v>1</v>
      </c>
      <c r="D337" s="12">
        <v>11</v>
      </c>
      <c r="E337" s="12" t="b">
        <v>0</v>
      </c>
      <c r="F337" s="12">
        <v>6</v>
      </c>
      <c r="G337" s="12">
        <v>1</v>
      </c>
      <c r="H337" s="12">
        <v>0.2</v>
      </c>
      <c r="I337" s="12">
        <v>0.19700000000000001</v>
      </c>
      <c r="J337" s="12">
        <v>0.55000000000000004</v>
      </c>
      <c r="K337" s="12">
        <v>0.22389999999999999</v>
      </c>
      <c r="L337" s="12">
        <v>18</v>
      </c>
      <c r="M337" s="12">
        <v>54</v>
      </c>
      <c r="N337" s="12">
        <v>72</v>
      </c>
      <c r="O337" s="12" t="str">
        <f>VLOOKUP(G337,calculate_field!$B$2:$C$5,2,FALSE)</f>
        <v>Clear/Partly Cloudy</v>
      </c>
      <c r="P337" s="12" t="str">
        <f t="shared" si="37"/>
        <v>Saturday</v>
      </c>
      <c r="Q337" s="12" t="str">
        <f t="shared" si="38"/>
        <v>Weekend</v>
      </c>
      <c r="R337" s="12" t="str">
        <f t="shared" si="39"/>
        <v>Morning</v>
      </c>
      <c r="S337" s="28" t="str">
        <f>INDEX(calculate_field!$F$2:$F$4, MATCH(H337, calculate_field!$E$2:$E$4, 1))</f>
        <v>Mild</v>
      </c>
      <c r="T337" s="33">
        <f t="shared" si="40"/>
        <v>53.125</v>
      </c>
      <c r="U337" s="33">
        <f t="shared" si="41"/>
        <v>41.503601205720429</v>
      </c>
      <c r="V337" s="33">
        <f t="shared" si="42"/>
        <v>0.70772990379112166</v>
      </c>
      <c r="W337" s="12" t="b">
        <f t="shared" si="43"/>
        <v>0</v>
      </c>
    </row>
    <row r="338" spans="1:23">
      <c r="A338" s="26">
        <v>337</v>
      </c>
      <c r="B338" s="27">
        <v>40558</v>
      </c>
      <c r="C338" s="12">
        <v>1</v>
      </c>
      <c r="D338" s="12">
        <v>12</v>
      </c>
      <c r="E338" s="12" t="b">
        <v>0</v>
      </c>
      <c r="F338" s="12">
        <v>6</v>
      </c>
      <c r="G338" s="12">
        <v>1</v>
      </c>
      <c r="H338" s="12">
        <v>0.24</v>
      </c>
      <c r="I338" s="12">
        <v>0.2273</v>
      </c>
      <c r="J338" s="12">
        <v>0.48</v>
      </c>
      <c r="K338" s="12">
        <v>0.22389999999999999</v>
      </c>
      <c r="L338" s="12">
        <v>15</v>
      </c>
      <c r="M338" s="12">
        <v>74</v>
      </c>
      <c r="N338" s="12">
        <v>89</v>
      </c>
      <c r="O338" s="12" t="str">
        <f>VLOOKUP(G338,calculate_field!$B$2:$C$5,2,FALSE)</f>
        <v>Clear/Partly Cloudy</v>
      </c>
      <c r="P338" s="12" t="str">
        <f t="shared" si="37"/>
        <v>Saturday</v>
      </c>
      <c r="Q338" s="12" t="str">
        <f t="shared" si="38"/>
        <v>Weekend</v>
      </c>
      <c r="R338" s="12" t="str">
        <f t="shared" si="39"/>
        <v>Afternoon</v>
      </c>
      <c r="S338" s="28" t="str">
        <f>INDEX(calculate_field!$F$2:$F$4, MATCH(H338, calculate_field!$E$2:$E$4, 1))</f>
        <v>Mild</v>
      </c>
      <c r="T338" s="33">
        <f t="shared" si="40"/>
        <v>54</v>
      </c>
      <c r="U338" s="33">
        <f t="shared" si="41"/>
        <v>42.135392538195561</v>
      </c>
      <c r="V338" s="33">
        <f t="shared" si="42"/>
        <v>1.0826793272313633</v>
      </c>
      <c r="W338" s="12" t="b">
        <f t="shared" si="43"/>
        <v>0</v>
      </c>
    </row>
    <row r="339" spans="1:23">
      <c r="A339" s="26">
        <v>338</v>
      </c>
      <c r="B339" s="27">
        <v>40558</v>
      </c>
      <c r="C339" s="12">
        <v>1</v>
      </c>
      <c r="D339" s="12">
        <v>13</v>
      </c>
      <c r="E339" s="12" t="b">
        <v>0</v>
      </c>
      <c r="F339" s="12">
        <v>6</v>
      </c>
      <c r="G339" s="12">
        <v>1</v>
      </c>
      <c r="H339" s="12">
        <v>0.28000000000000003</v>
      </c>
      <c r="I339" s="12">
        <v>0.2576</v>
      </c>
      <c r="J339" s="12">
        <v>0.38</v>
      </c>
      <c r="K339" s="12">
        <v>0.29849999999999999</v>
      </c>
      <c r="L339" s="12">
        <v>21</v>
      </c>
      <c r="M339" s="12">
        <v>80</v>
      </c>
      <c r="N339" s="12">
        <v>101</v>
      </c>
      <c r="O339" s="12" t="str">
        <f>VLOOKUP(G339,calculate_field!$B$2:$C$5,2,FALSE)</f>
        <v>Clear/Partly Cloudy</v>
      </c>
      <c r="P339" s="12" t="str">
        <f t="shared" si="37"/>
        <v>Saturday</v>
      </c>
      <c r="Q339" s="12" t="str">
        <f t="shared" si="38"/>
        <v>Weekend</v>
      </c>
      <c r="R339" s="12" t="str">
        <f t="shared" si="39"/>
        <v>Afternoon</v>
      </c>
      <c r="S339" s="28" t="str">
        <f>INDEX(calculate_field!$F$2:$F$4, MATCH(H339, calculate_field!$E$2:$E$4, 1))</f>
        <v>Mild</v>
      </c>
      <c r="T339" s="33">
        <f t="shared" si="40"/>
        <v>54.625</v>
      </c>
      <c r="U339" s="33">
        <f t="shared" si="41"/>
        <v>42.783390214671741</v>
      </c>
      <c r="V339" s="33">
        <f t="shared" si="42"/>
        <v>1.4163164833300432</v>
      </c>
      <c r="W339" s="12" t="b">
        <f t="shared" si="43"/>
        <v>0</v>
      </c>
    </row>
    <row r="340" spans="1:23">
      <c r="A340" s="26">
        <v>339</v>
      </c>
      <c r="B340" s="27">
        <v>40558</v>
      </c>
      <c r="C340" s="12">
        <v>1</v>
      </c>
      <c r="D340" s="12">
        <v>14</v>
      </c>
      <c r="E340" s="12" t="b">
        <v>0</v>
      </c>
      <c r="F340" s="12">
        <v>6</v>
      </c>
      <c r="G340" s="12">
        <v>1</v>
      </c>
      <c r="H340" s="12">
        <v>0.3</v>
      </c>
      <c r="I340" s="12">
        <v>0.28789999999999999</v>
      </c>
      <c r="J340" s="12">
        <v>0.39</v>
      </c>
      <c r="K340" s="12">
        <v>0.28360000000000002</v>
      </c>
      <c r="L340" s="12">
        <v>26</v>
      </c>
      <c r="M340" s="12">
        <v>92</v>
      </c>
      <c r="N340" s="12">
        <v>118</v>
      </c>
      <c r="O340" s="12" t="str">
        <f>VLOOKUP(G340,calculate_field!$B$2:$C$5,2,FALSE)</f>
        <v>Clear/Partly Cloudy</v>
      </c>
      <c r="P340" s="12" t="str">
        <f t="shared" si="37"/>
        <v>Saturday</v>
      </c>
      <c r="Q340" s="12" t="str">
        <f t="shared" si="38"/>
        <v>Weekend</v>
      </c>
      <c r="R340" s="12" t="str">
        <f t="shared" si="39"/>
        <v>Afternoon</v>
      </c>
      <c r="S340" s="28" t="str">
        <f>INDEX(calculate_field!$F$2:$F$4, MATCH(H340, calculate_field!$E$2:$E$4, 1))</f>
        <v>Warm</v>
      </c>
      <c r="T340" s="33">
        <f t="shared" si="40"/>
        <v>55.333333333333336</v>
      </c>
      <c r="U340" s="33">
        <f t="shared" si="41"/>
        <v>43.715151752608875</v>
      </c>
      <c r="V340" s="33">
        <f t="shared" si="42"/>
        <v>1.8502336915468356</v>
      </c>
      <c r="W340" s="12" t="b">
        <f t="shared" si="43"/>
        <v>0</v>
      </c>
    </row>
    <row r="341" spans="1:23">
      <c r="A341" s="26">
        <v>340</v>
      </c>
      <c r="B341" s="27">
        <v>40558</v>
      </c>
      <c r="C341" s="12">
        <v>1</v>
      </c>
      <c r="D341" s="12">
        <v>15</v>
      </c>
      <c r="E341" s="12" t="b">
        <v>0</v>
      </c>
      <c r="F341" s="12">
        <v>6</v>
      </c>
      <c r="G341" s="12">
        <v>2</v>
      </c>
      <c r="H341" s="12">
        <v>0.32</v>
      </c>
      <c r="I341" s="12">
        <v>0.31819999999999998</v>
      </c>
      <c r="J341" s="12">
        <v>0.36</v>
      </c>
      <c r="K341" s="12">
        <v>0.19400000000000001</v>
      </c>
      <c r="L341" s="12">
        <v>21</v>
      </c>
      <c r="M341" s="12">
        <v>108</v>
      </c>
      <c r="N341" s="12">
        <v>129</v>
      </c>
      <c r="O341" s="12" t="str">
        <f>VLOOKUP(G341,calculate_field!$B$2:$C$5,2,FALSE)</f>
        <v xml:space="preserve">Mist / cloudy </v>
      </c>
      <c r="P341" s="12" t="str">
        <f t="shared" si="37"/>
        <v>Saturday</v>
      </c>
      <c r="Q341" s="12" t="str">
        <f t="shared" si="38"/>
        <v>Weekend</v>
      </c>
      <c r="R341" s="12" t="str">
        <f t="shared" si="39"/>
        <v>Afternoon</v>
      </c>
      <c r="S341" s="28" t="str">
        <f>INDEX(calculate_field!$F$2:$F$4, MATCH(H341, calculate_field!$E$2:$E$4, 1))</f>
        <v>Warm</v>
      </c>
      <c r="T341" s="33">
        <f t="shared" si="40"/>
        <v>54.208333333333336</v>
      </c>
      <c r="U341" s="33">
        <f t="shared" si="41"/>
        <v>42.358695187304981</v>
      </c>
      <c r="V341" s="33">
        <f t="shared" si="42"/>
        <v>1.2300593243424305</v>
      </c>
      <c r="W341" s="12" t="b">
        <f t="shared" si="43"/>
        <v>0</v>
      </c>
    </row>
    <row r="342" spans="1:23">
      <c r="A342" s="26">
        <v>341</v>
      </c>
      <c r="B342" s="27">
        <v>40558</v>
      </c>
      <c r="C342" s="12">
        <v>1</v>
      </c>
      <c r="D342" s="12">
        <v>16</v>
      </c>
      <c r="E342" s="12" t="b">
        <v>0</v>
      </c>
      <c r="F342" s="12">
        <v>6</v>
      </c>
      <c r="G342" s="12">
        <v>2</v>
      </c>
      <c r="H342" s="12">
        <v>0.34</v>
      </c>
      <c r="I342" s="12">
        <v>0.33329999999999999</v>
      </c>
      <c r="J342" s="12">
        <v>0.34</v>
      </c>
      <c r="K342" s="12">
        <v>0.19400000000000001</v>
      </c>
      <c r="L342" s="12">
        <v>33</v>
      </c>
      <c r="M342" s="12">
        <v>95</v>
      </c>
      <c r="N342" s="12">
        <v>128</v>
      </c>
      <c r="O342" s="12" t="str">
        <f>VLOOKUP(G342,calculate_field!$B$2:$C$5,2,FALSE)</f>
        <v xml:space="preserve">Mist / cloudy </v>
      </c>
      <c r="P342" s="12" t="str">
        <f t="shared" si="37"/>
        <v>Saturday</v>
      </c>
      <c r="Q342" s="12" t="str">
        <f t="shared" si="38"/>
        <v>Weekend</v>
      </c>
      <c r="R342" s="12" t="str">
        <f t="shared" si="39"/>
        <v>Afternoon</v>
      </c>
      <c r="S342" s="28" t="str">
        <f>INDEX(calculate_field!$F$2:$F$4, MATCH(H342, calculate_field!$E$2:$E$4, 1))</f>
        <v>Warm</v>
      </c>
      <c r="T342" s="33">
        <f t="shared" si="40"/>
        <v>53.541666666666664</v>
      </c>
      <c r="U342" s="33">
        <f t="shared" si="41"/>
        <v>41.241577972031919</v>
      </c>
      <c r="V342" s="33">
        <f t="shared" si="42"/>
        <v>1.8470897328647653</v>
      </c>
      <c r="W342" s="12" t="b">
        <f t="shared" si="43"/>
        <v>0</v>
      </c>
    </row>
    <row r="343" spans="1:23">
      <c r="A343" s="26">
        <v>342</v>
      </c>
      <c r="B343" s="27">
        <v>40558</v>
      </c>
      <c r="C343" s="12">
        <v>1</v>
      </c>
      <c r="D343" s="12">
        <v>17</v>
      </c>
      <c r="E343" s="12" t="b">
        <v>0</v>
      </c>
      <c r="F343" s="12">
        <v>6</v>
      </c>
      <c r="G343" s="12">
        <v>2</v>
      </c>
      <c r="H343" s="12">
        <v>0.32</v>
      </c>
      <c r="I343" s="12">
        <v>0.30299999999999999</v>
      </c>
      <c r="J343" s="12">
        <v>0.36</v>
      </c>
      <c r="K343" s="12">
        <v>0.28360000000000002</v>
      </c>
      <c r="L343" s="12">
        <v>29</v>
      </c>
      <c r="M343" s="12">
        <v>54</v>
      </c>
      <c r="N343" s="12">
        <v>83</v>
      </c>
      <c r="O343" s="12" t="str">
        <f>VLOOKUP(G343,calculate_field!$B$2:$C$5,2,FALSE)</f>
        <v xml:space="preserve">Mist / cloudy </v>
      </c>
      <c r="P343" s="12" t="str">
        <f t="shared" si="37"/>
        <v>Saturday</v>
      </c>
      <c r="Q343" s="12" t="str">
        <f t="shared" si="38"/>
        <v>Weekend</v>
      </c>
      <c r="R343" s="12" t="str">
        <f t="shared" si="39"/>
        <v>Evening</v>
      </c>
      <c r="S343" s="28" t="str">
        <f>INDEX(calculate_field!$F$2:$F$4, MATCH(H343, calculate_field!$E$2:$E$4, 1))</f>
        <v>Warm</v>
      </c>
      <c r="T343" s="33">
        <f t="shared" si="40"/>
        <v>52.333333333333336</v>
      </c>
      <c r="U343" s="33">
        <f t="shared" si="41"/>
        <v>39.346472872879367</v>
      </c>
      <c r="V343" s="33">
        <f t="shared" si="42"/>
        <v>1.5458494726853738</v>
      </c>
      <c r="W343" s="12" t="b">
        <f t="shared" si="43"/>
        <v>0</v>
      </c>
    </row>
    <row r="344" spans="1:23">
      <c r="A344" s="26">
        <v>343</v>
      </c>
      <c r="B344" s="27">
        <v>40558</v>
      </c>
      <c r="C344" s="12">
        <v>1</v>
      </c>
      <c r="D344" s="12">
        <v>18</v>
      </c>
      <c r="E344" s="12" t="b">
        <v>0</v>
      </c>
      <c r="F344" s="12">
        <v>6</v>
      </c>
      <c r="G344" s="12">
        <v>2</v>
      </c>
      <c r="H344" s="12">
        <v>0.3</v>
      </c>
      <c r="I344" s="12">
        <v>0.28789999999999999</v>
      </c>
      <c r="J344" s="12">
        <v>0.45</v>
      </c>
      <c r="K344" s="12">
        <v>0.25369999999999998</v>
      </c>
      <c r="L344" s="12">
        <v>15</v>
      </c>
      <c r="M344" s="12">
        <v>69</v>
      </c>
      <c r="N344" s="12">
        <v>84</v>
      </c>
      <c r="O344" s="12" t="str">
        <f>VLOOKUP(G344,calculate_field!$B$2:$C$5,2,FALSE)</f>
        <v xml:space="preserve">Mist / cloudy </v>
      </c>
      <c r="P344" s="12" t="str">
        <f t="shared" si="37"/>
        <v>Saturday</v>
      </c>
      <c r="Q344" s="12" t="str">
        <f t="shared" si="38"/>
        <v>Weekend</v>
      </c>
      <c r="R344" s="12" t="str">
        <f t="shared" si="39"/>
        <v>Evening</v>
      </c>
      <c r="S344" s="28" t="str">
        <f>INDEX(calculate_field!$F$2:$F$4, MATCH(H344, calculate_field!$E$2:$E$4, 1))</f>
        <v>Warm</v>
      </c>
      <c r="T344" s="33">
        <f t="shared" si="40"/>
        <v>53.25</v>
      </c>
      <c r="U344" s="33">
        <f t="shared" si="41"/>
        <v>40.335818584349632</v>
      </c>
      <c r="V344" s="33">
        <f t="shared" si="42"/>
        <v>1.7871557417745112</v>
      </c>
      <c r="W344" s="12" t="b">
        <f t="shared" si="43"/>
        <v>0</v>
      </c>
    </row>
    <row r="345" spans="1:23">
      <c r="A345" s="26">
        <v>344</v>
      </c>
      <c r="B345" s="27">
        <v>40558</v>
      </c>
      <c r="C345" s="12">
        <v>1</v>
      </c>
      <c r="D345" s="12">
        <v>19</v>
      </c>
      <c r="E345" s="12" t="b">
        <v>0</v>
      </c>
      <c r="F345" s="12">
        <v>6</v>
      </c>
      <c r="G345" s="12">
        <v>2</v>
      </c>
      <c r="H345" s="12">
        <v>0.32</v>
      </c>
      <c r="I345" s="12">
        <v>0.30299999999999999</v>
      </c>
      <c r="J345" s="12">
        <v>0.39</v>
      </c>
      <c r="K345" s="12">
        <v>0.25369999999999998</v>
      </c>
      <c r="L345" s="12">
        <v>14</v>
      </c>
      <c r="M345" s="12">
        <v>60</v>
      </c>
      <c r="N345" s="12">
        <v>74</v>
      </c>
      <c r="O345" s="12" t="str">
        <f>VLOOKUP(G345,calculate_field!$B$2:$C$5,2,FALSE)</f>
        <v xml:space="preserve">Mist / cloudy </v>
      </c>
      <c r="P345" s="12" t="str">
        <f t="shared" si="37"/>
        <v>Saturday</v>
      </c>
      <c r="Q345" s="12" t="str">
        <f t="shared" si="38"/>
        <v>Weekend</v>
      </c>
      <c r="R345" s="12" t="str">
        <f t="shared" si="39"/>
        <v>Evening</v>
      </c>
      <c r="S345" s="28" t="str">
        <f>INDEX(calculate_field!$F$2:$F$4, MATCH(H345, calculate_field!$E$2:$E$4, 1))</f>
        <v>Warm</v>
      </c>
      <c r="T345" s="33">
        <f t="shared" si="40"/>
        <v>52.541666666666664</v>
      </c>
      <c r="U345" s="33">
        <f t="shared" si="41"/>
        <v>39.919461491822524</v>
      </c>
      <c r="V345" s="33">
        <f t="shared" si="42"/>
        <v>0.75899047252874485</v>
      </c>
      <c r="W345" s="12" t="b">
        <f t="shared" si="43"/>
        <v>0</v>
      </c>
    </row>
    <row r="346" spans="1:23">
      <c r="A346" s="26">
        <v>345</v>
      </c>
      <c r="B346" s="27">
        <v>40558</v>
      </c>
      <c r="C346" s="12">
        <v>1</v>
      </c>
      <c r="D346" s="12">
        <v>20</v>
      </c>
      <c r="E346" s="12" t="b">
        <v>0</v>
      </c>
      <c r="F346" s="12">
        <v>6</v>
      </c>
      <c r="G346" s="12">
        <v>2</v>
      </c>
      <c r="H346" s="12">
        <v>0.32</v>
      </c>
      <c r="I346" s="12">
        <v>0.30299999999999999</v>
      </c>
      <c r="J346" s="12">
        <v>0.39</v>
      </c>
      <c r="K346" s="12">
        <v>0.25369999999999998</v>
      </c>
      <c r="L346" s="12">
        <v>6</v>
      </c>
      <c r="M346" s="12">
        <v>35</v>
      </c>
      <c r="N346" s="12">
        <v>41</v>
      </c>
      <c r="O346" s="12" t="str">
        <f>VLOOKUP(G346,calculate_field!$B$2:$C$5,2,FALSE)</f>
        <v xml:space="preserve">Mist / cloudy </v>
      </c>
      <c r="P346" s="12" t="str">
        <f t="shared" si="37"/>
        <v>Saturday</v>
      </c>
      <c r="Q346" s="12" t="str">
        <f t="shared" si="38"/>
        <v>Weekend</v>
      </c>
      <c r="R346" s="12" t="str">
        <f t="shared" si="39"/>
        <v>Evening</v>
      </c>
      <c r="S346" s="28" t="str">
        <f>INDEX(calculate_field!$F$2:$F$4, MATCH(H346, calculate_field!$E$2:$E$4, 1))</f>
        <v>Warm</v>
      </c>
      <c r="T346" s="33">
        <f t="shared" si="40"/>
        <v>52</v>
      </c>
      <c r="U346" s="33">
        <f t="shared" si="41"/>
        <v>39.703247047149134</v>
      </c>
      <c r="V346" s="33">
        <f t="shared" si="42"/>
        <v>0.52016512209489629</v>
      </c>
      <c r="W346" s="12" t="b">
        <f t="shared" si="43"/>
        <v>0</v>
      </c>
    </row>
    <row r="347" spans="1:23">
      <c r="A347" s="26">
        <v>346</v>
      </c>
      <c r="B347" s="27">
        <v>40558</v>
      </c>
      <c r="C347" s="12">
        <v>1</v>
      </c>
      <c r="D347" s="12">
        <v>21</v>
      </c>
      <c r="E347" s="12" t="b">
        <v>0</v>
      </c>
      <c r="F347" s="12">
        <v>6</v>
      </c>
      <c r="G347" s="12">
        <v>2</v>
      </c>
      <c r="H347" s="12">
        <v>0.32</v>
      </c>
      <c r="I347" s="12">
        <v>0.30299999999999999</v>
      </c>
      <c r="J347" s="12">
        <v>0.39</v>
      </c>
      <c r="K347" s="12">
        <v>0.22389999999999999</v>
      </c>
      <c r="L347" s="12">
        <v>6</v>
      </c>
      <c r="M347" s="12">
        <v>51</v>
      </c>
      <c r="N347" s="12">
        <v>57</v>
      </c>
      <c r="O347" s="12" t="str">
        <f>VLOOKUP(G347,calculate_field!$B$2:$C$5,2,FALSE)</f>
        <v xml:space="preserve">Mist / cloudy </v>
      </c>
      <c r="P347" s="12" t="str">
        <f t="shared" si="37"/>
        <v>Saturday</v>
      </c>
      <c r="Q347" s="12" t="str">
        <f t="shared" si="38"/>
        <v>Weekend</v>
      </c>
      <c r="R347" s="12" t="str">
        <f t="shared" si="39"/>
        <v>Night</v>
      </c>
      <c r="S347" s="28" t="str">
        <f>INDEX(calculate_field!$F$2:$F$4, MATCH(H347, calculate_field!$E$2:$E$4, 1))</f>
        <v>Warm</v>
      </c>
      <c r="T347" s="33">
        <f t="shared" si="40"/>
        <v>52.666666666666664</v>
      </c>
      <c r="U347" s="33">
        <f t="shared" si="41"/>
        <v>39.644799721117728</v>
      </c>
      <c r="V347" s="33">
        <f t="shared" si="42"/>
        <v>0.40164255732619031</v>
      </c>
      <c r="W347" s="12" t="b">
        <f t="shared" si="43"/>
        <v>0</v>
      </c>
    </row>
    <row r="348" spans="1:23">
      <c r="A348" s="26">
        <v>347</v>
      </c>
      <c r="B348" s="27">
        <v>40558</v>
      </c>
      <c r="C348" s="12">
        <v>1</v>
      </c>
      <c r="D348" s="12">
        <v>22</v>
      </c>
      <c r="E348" s="12" t="b">
        <v>0</v>
      </c>
      <c r="F348" s="12">
        <v>6</v>
      </c>
      <c r="G348" s="12">
        <v>2</v>
      </c>
      <c r="H348" s="12">
        <v>0.3</v>
      </c>
      <c r="I348" s="12">
        <v>0.31819999999999998</v>
      </c>
      <c r="J348" s="12">
        <v>0.42</v>
      </c>
      <c r="K348" s="12">
        <v>0.1045</v>
      </c>
      <c r="L348" s="12">
        <v>0</v>
      </c>
      <c r="M348" s="12">
        <v>26</v>
      </c>
      <c r="N348" s="12">
        <v>26</v>
      </c>
      <c r="O348" s="12" t="str">
        <f>VLOOKUP(G348,calculate_field!$B$2:$C$5,2,FALSE)</f>
        <v xml:space="preserve">Mist / cloudy </v>
      </c>
      <c r="P348" s="12" t="str">
        <f t="shared" si="37"/>
        <v>Saturday</v>
      </c>
      <c r="Q348" s="12" t="str">
        <f t="shared" si="38"/>
        <v>Weekend</v>
      </c>
      <c r="R348" s="12" t="str">
        <f t="shared" si="39"/>
        <v>Night</v>
      </c>
      <c r="S348" s="28" t="str">
        <f>INDEX(calculate_field!$F$2:$F$4, MATCH(H348, calculate_field!$E$2:$E$4, 1))</f>
        <v>Warm</v>
      </c>
      <c r="T348" s="33">
        <f t="shared" si="40"/>
        <v>51.458333333333336</v>
      </c>
      <c r="U348" s="33">
        <f t="shared" si="41"/>
        <v>39.947769341507907</v>
      </c>
      <c r="V348" s="33">
        <f t="shared" si="42"/>
        <v>-0.43995615287377665</v>
      </c>
      <c r="W348" s="12" t="b">
        <f t="shared" si="43"/>
        <v>0</v>
      </c>
    </row>
    <row r="349" spans="1:23">
      <c r="A349" s="26">
        <v>348</v>
      </c>
      <c r="B349" s="27">
        <v>40558</v>
      </c>
      <c r="C349" s="12">
        <v>1</v>
      </c>
      <c r="D349" s="12">
        <v>23</v>
      </c>
      <c r="E349" s="12" t="b">
        <v>0</v>
      </c>
      <c r="F349" s="12">
        <v>6</v>
      </c>
      <c r="G349" s="12">
        <v>1</v>
      </c>
      <c r="H349" s="12">
        <v>0.3</v>
      </c>
      <c r="I349" s="12">
        <v>0.28789999999999999</v>
      </c>
      <c r="J349" s="12">
        <v>0.45</v>
      </c>
      <c r="K349" s="12">
        <v>0.28360000000000002</v>
      </c>
      <c r="L349" s="12">
        <v>5</v>
      </c>
      <c r="M349" s="12">
        <v>39</v>
      </c>
      <c r="N349" s="12">
        <v>44</v>
      </c>
      <c r="O349" s="12" t="str">
        <f>VLOOKUP(G349,calculate_field!$B$2:$C$5,2,FALSE)</f>
        <v>Clear/Partly Cloudy</v>
      </c>
      <c r="P349" s="12" t="str">
        <f t="shared" si="37"/>
        <v>Saturday</v>
      </c>
      <c r="Q349" s="12" t="str">
        <f t="shared" si="38"/>
        <v>Weekend</v>
      </c>
      <c r="R349" s="12" t="str">
        <f t="shared" si="39"/>
        <v>Night</v>
      </c>
      <c r="S349" s="28" t="str">
        <f>INDEX(calculate_field!$F$2:$F$4, MATCH(H349, calculate_field!$E$2:$E$4, 1))</f>
        <v>Warm</v>
      </c>
      <c r="T349" s="33">
        <f t="shared" si="40"/>
        <v>51.25</v>
      </c>
      <c r="U349" s="33">
        <f t="shared" si="41"/>
        <v>40.099062116322571</v>
      </c>
      <c r="V349" s="33">
        <f t="shared" si="42"/>
        <v>-0.64889450565684759</v>
      </c>
      <c r="W349" s="12" t="b">
        <f t="shared" si="43"/>
        <v>0</v>
      </c>
    </row>
    <row r="350" spans="1:23">
      <c r="A350" s="26">
        <v>349</v>
      </c>
      <c r="B350" s="27">
        <v>40559</v>
      </c>
      <c r="C350" s="12">
        <v>1</v>
      </c>
      <c r="D350" s="12">
        <v>0</v>
      </c>
      <c r="E350" s="12" t="b">
        <v>0</v>
      </c>
      <c r="F350" s="12">
        <v>0</v>
      </c>
      <c r="G350" s="12">
        <v>1</v>
      </c>
      <c r="H350" s="12">
        <v>0.26</v>
      </c>
      <c r="I350" s="12">
        <v>0.30299999999999999</v>
      </c>
      <c r="J350" s="12">
        <v>0.56000000000000005</v>
      </c>
      <c r="K350" s="12">
        <v>0</v>
      </c>
      <c r="L350" s="12">
        <v>6</v>
      </c>
      <c r="M350" s="12">
        <v>33</v>
      </c>
      <c r="N350" s="12">
        <v>39</v>
      </c>
      <c r="O350" s="12" t="str">
        <f>VLOOKUP(G350,calculate_field!$B$2:$C$5,2,FALSE)</f>
        <v>Clear/Partly Cloudy</v>
      </c>
      <c r="P350" s="12" t="str">
        <f t="shared" si="37"/>
        <v>Sunday</v>
      </c>
      <c r="Q350" s="12" t="str">
        <f t="shared" si="38"/>
        <v>Weekend</v>
      </c>
      <c r="R350" s="12" t="str">
        <f t="shared" si="39"/>
        <v>Night</v>
      </c>
      <c r="S350" s="28" t="str">
        <f>INDEX(calculate_field!$F$2:$F$4, MATCH(H350, calculate_field!$E$2:$E$4, 1))</f>
        <v>Mild</v>
      </c>
      <c r="T350" s="33">
        <f t="shared" si="40"/>
        <v>50.166666666666664</v>
      </c>
      <c r="U350" s="33">
        <f t="shared" si="41"/>
        <v>40.650864119021975</v>
      </c>
      <c r="V350" s="33">
        <f t="shared" si="42"/>
        <v>-0.72330986366986583</v>
      </c>
      <c r="W350" s="12" t="b">
        <f t="shared" si="43"/>
        <v>0</v>
      </c>
    </row>
    <row r="351" spans="1:23">
      <c r="A351" s="26">
        <v>350</v>
      </c>
      <c r="B351" s="27">
        <v>40559</v>
      </c>
      <c r="C351" s="12">
        <v>1</v>
      </c>
      <c r="D351" s="12">
        <v>1</v>
      </c>
      <c r="E351" s="12" t="b">
        <v>0</v>
      </c>
      <c r="F351" s="12">
        <v>0</v>
      </c>
      <c r="G351" s="12">
        <v>1</v>
      </c>
      <c r="H351" s="12">
        <v>0.26</v>
      </c>
      <c r="I351" s="12">
        <v>0.2727</v>
      </c>
      <c r="J351" s="12">
        <v>0.56000000000000005</v>
      </c>
      <c r="K351" s="12">
        <v>0.1343</v>
      </c>
      <c r="L351" s="12">
        <v>4</v>
      </c>
      <c r="M351" s="12">
        <v>19</v>
      </c>
      <c r="N351" s="12">
        <v>23</v>
      </c>
      <c r="O351" s="12" t="str">
        <f>VLOOKUP(G351,calculate_field!$B$2:$C$5,2,FALSE)</f>
        <v>Clear/Partly Cloudy</v>
      </c>
      <c r="P351" s="12" t="str">
        <f t="shared" si="37"/>
        <v>Sunday</v>
      </c>
      <c r="Q351" s="12" t="str">
        <f t="shared" si="38"/>
        <v>Weekend</v>
      </c>
      <c r="R351" s="12" t="str">
        <f t="shared" si="39"/>
        <v>Night</v>
      </c>
      <c r="S351" s="28" t="str">
        <f>INDEX(calculate_field!$F$2:$F$4, MATCH(H351, calculate_field!$E$2:$E$4, 1))</f>
        <v>Mild</v>
      </c>
      <c r="T351" s="33">
        <f t="shared" si="40"/>
        <v>49.25</v>
      </c>
      <c r="U351" s="33">
        <f t="shared" si="41"/>
        <v>41.158495345802365</v>
      </c>
      <c r="V351" s="33">
        <f t="shared" si="42"/>
        <v>-0.72370500150141759</v>
      </c>
      <c r="W351" s="12" t="b">
        <f t="shared" si="43"/>
        <v>0</v>
      </c>
    </row>
    <row r="352" spans="1:23">
      <c r="A352" s="26">
        <v>351</v>
      </c>
      <c r="B352" s="27">
        <v>40559</v>
      </c>
      <c r="C352" s="12">
        <v>1</v>
      </c>
      <c r="D352" s="12">
        <v>2</v>
      </c>
      <c r="E352" s="12" t="b">
        <v>0</v>
      </c>
      <c r="F352" s="12">
        <v>0</v>
      </c>
      <c r="G352" s="12">
        <v>1</v>
      </c>
      <c r="H352" s="12">
        <v>0.26</v>
      </c>
      <c r="I352" s="12">
        <v>0.28789999999999999</v>
      </c>
      <c r="J352" s="12">
        <v>0.56000000000000005</v>
      </c>
      <c r="K352" s="12">
        <v>8.9599999999999999E-2</v>
      </c>
      <c r="L352" s="12">
        <v>3</v>
      </c>
      <c r="M352" s="12">
        <v>13</v>
      </c>
      <c r="N352" s="12">
        <v>16</v>
      </c>
      <c r="O352" s="12" t="str">
        <f>VLOOKUP(G352,calculate_field!$B$2:$C$5,2,FALSE)</f>
        <v>Clear/Partly Cloudy</v>
      </c>
      <c r="P352" s="12" t="str">
        <f t="shared" si="37"/>
        <v>Sunday</v>
      </c>
      <c r="Q352" s="12" t="str">
        <f t="shared" si="38"/>
        <v>Weekend</v>
      </c>
      <c r="R352" s="12" t="str">
        <f t="shared" si="39"/>
        <v>Night</v>
      </c>
      <c r="S352" s="28" t="str">
        <f>INDEX(calculate_field!$F$2:$F$4, MATCH(H352, calculate_field!$E$2:$E$4, 1))</f>
        <v>Mild</v>
      </c>
      <c r="T352" s="33">
        <f t="shared" si="40"/>
        <v>48.958333333333336</v>
      </c>
      <c r="U352" s="33">
        <f t="shared" si="41"/>
        <v>41.376825236678883</v>
      </c>
      <c r="V352" s="33">
        <f t="shared" si="42"/>
        <v>-0.72412188582505133</v>
      </c>
      <c r="W352" s="12" t="b">
        <f t="shared" si="43"/>
        <v>0</v>
      </c>
    </row>
    <row r="353" spans="1:23">
      <c r="A353" s="26">
        <v>352</v>
      </c>
      <c r="B353" s="27">
        <v>40559</v>
      </c>
      <c r="C353" s="12">
        <v>1</v>
      </c>
      <c r="D353" s="12">
        <v>3</v>
      </c>
      <c r="E353" s="12" t="b">
        <v>0</v>
      </c>
      <c r="F353" s="12">
        <v>0</v>
      </c>
      <c r="G353" s="12">
        <v>1</v>
      </c>
      <c r="H353" s="12">
        <v>0.22</v>
      </c>
      <c r="I353" s="12">
        <v>0.2727</v>
      </c>
      <c r="J353" s="12">
        <v>0.69</v>
      </c>
      <c r="K353" s="12">
        <v>0</v>
      </c>
      <c r="L353" s="12">
        <v>9</v>
      </c>
      <c r="M353" s="12">
        <v>6</v>
      </c>
      <c r="N353" s="12">
        <v>15</v>
      </c>
      <c r="O353" s="12" t="str">
        <f>VLOOKUP(G353,calculate_field!$B$2:$C$5,2,FALSE)</f>
        <v>Clear/Partly Cloudy</v>
      </c>
      <c r="P353" s="12" t="str">
        <f t="shared" si="37"/>
        <v>Sunday</v>
      </c>
      <c r="Q353" s="12" t="str">
        <f t="shared" si="38"/>
        <v>Weekend</v>
      </c>
      <c r="R353" s="12" t="str">
        <f t="shared" si="39"/>
        <v>Night</v>
      </c>
      <c r="S353" s="28" t="str">
        <f>INDEX(calculate_field!$F$2:$F$4, MATCH(H353, calculate_field!$E$2:$E$4, 1))</f>
        <v>Mild</v>
      </c>
      <c r="T353" s="33">
        <f t="shared" si="40"/>
        <v>48.625</v>
      </c>
      <c r="U353" s="33">
        <f t="shared" si="41"/>
        <v>41.684959752472082</v>
      </c>
      <c r="V353" s="33">
        <f t="shared" si="42"/>
        <v>-0.96696833777498625</v>
      </c>
      <c r="W353" s="12" t="b">
        <f t="shared" si="43"/>
        <v>0</v>
      </c>
    </row>
    <row r="354" spans="1:23">
      <c r="A354" s="26">
        <v>353</v>
      </c>
      <c r="B354" s="27">
        <v>40559</v>
      </c>
      <c r="C354" s="12">
        <v>1</v>
      </c>
      <c r="D354" s="12">
        <v>4</v>
      </c>
      <c r="E354" s="12" t="b">
        <v>0</v>
      </c>
      <c r="F354" s="12">
        <v>0</v>
      </c>
      <c r="G354" s="12">
        <v>1</v>
      </c>
      <c r="H354" s="12">
        <v>0.26</v>
      </c>
      <c r="I354" s="12">
        <v>0.2576</v>
      </c>
      <c r="J354" s="12">
        <v>0.56000000000000005</v>
      </c>
      <c r="K354" s="12">
        <v>0.16420000000000001</v>
      </c>
      <c r="L354" s="12">
        <v>0</v>
      </c>
      <c r="M354" s="12">
        <v>1</v>
      </c>
      <c r="N354" s="12">
        <v>1</v>
      </c>
      <c r="O354" s="12" t="str">
        <f>VLOOKUP(G354,calculate_field!$B$2:$C$5,2,FALSE)</f>
        <v>Clear/Partly Cloudy</v>
      </c>
      <c r="P354" s="12" t="str">
        <f t="shared" si="37"/>
        <v>Sunday</v>
      </c>
      <c r="Q354" s="12" t="str">
        <f t="shared" si="38"/>
        <v>Weekend</v>
      </c>
      <c r="R354" s="12" t="str">
        <f t="shared" si="39"/>
        <v>Night</v>
      </c>
      <c r="S354" s="28" t="str">
        <f>INDEX(calculate_field!$F$2:$F$4, MATCH(H354, calculate_field!$E$2:$E$4, 1))</f>
        <v>Mild</v>
      </c>
      <c r="T354" s="33">
        <f t="shared" si="40"/>
        <v>48.083333333333336</v>
      </c>
      <c r="U354" s="33">
        <f t="shared" si="41"/>
        <v>42.22189486270247</v>
      </c>
      <c r="V354" s="33">
        <f t="shared" si="42"/>
        <v>-1.1859908529914949</v>
      </c>
      <c r="W354" s="12" t="b">
        <f t="shared" si="43"/>
        <v>0</v>
      </c>
    </row>
    <row r="355" spans="1:23">
      <c r="A355" s="26">
        <v>354</v>
      </c>
      <c r="B355" s="27">
        <v>40559</v>
      </c>
      <c r="C355" s="12">
        <v>1</v>
      </c>
      <c r="D355" s="12">
        <v>5</v>
      </c>
      <c r="E355" s="12" t="b">
        <v>0</v>
      </c>
      <c r="F355" s="12">
        <v>0</v>
      </c>
      <c r="G355" s="12">
        <v>2</v>
      </c>
      <c r="H355" s="12">
        <v>0.26</v>
      </c>
      <c r="I355" s="12">
        <v>0.2576</v>
      </c>
      <c r="J355" s="12">
        <v>0.56000000000000005</v>
      </c>
      <c r="K355" s="12">
        <v>0.16420000000000001</v>
      </c>
      <c r="L355" s="12">
        <v>1</v>
      </c>
      <c r="M355" s="12">
        <v>1</v>
      </c>
      <c r="N355" s="12">
        <v>2</v>
      </c>
      <c r="O355" s="12" t="str">
        <f>VLOOKUP(G355,calculate_field!$B$2:$C$5,2,FALSE)</f>
        <v xml:space="preserve">Mist / cloudy </v>
      </c>
      <c r="P355" s="12" t="str">
        <f t="shared" si="37"/>
        <v>Sunday</v>
      </c>
      <c r="Q355" s="12" t="str">
        <f t="shared" si="38"/>
        <v>Weekend</v>
      </c>
      <c r="R355" s="12" t="str">
        <f t="shared" si="39"/>
        <v>Night</v>
      </c>
      <c r="S355" s="28" t="str">
        <f>INDEX(calculate_field!$F$2:$F$4, MATCH(H355, calculate_field!$E$2:$E$4, 1))</f>
        <v>Mild</v>
      </c>
      <c r="T355" s="33">
        <f t="shared" si="40"/>
        <v>48.166666666666664</v>
      </c>
      <c r="U355" s="33">
        <f t="shared" si="41"/>
        <v>42.126792741278877</v>
      </c>
      <c r="V355" s="33">
        <f t="shared" si="42"/>
        <v>-1.2352868411863411</v>
      </c>
      <c r="W355" s="12" t="b">
        <f t="shared" si="43"/>
        <v>0</v>
      </c>
    </row>
    <row r="356" spans="1:23">
      <c r="A356" s="26">
        <v>355</v>
      </c>
      <c r="B356" s="27">
        <v>40559</v>
      </c>
      <c r="C356" s="12">
        <v>1</v>
      </c>
      <c r="D356" s="12">
        <v>6</v>
      </c>
      <c r="E356" s="12" t="b">
        <v>0</v>
      </c>
      <c r="F356" s="12">
        <v>0</v>
      </c>
      <c r="G356" s="12">
        <v>2</v>
      </c>
      <c r="H356" s="12">
        <v>0.26</v>
      </c>
      <c r="I356" s="12">
        <v>0.2576</v>
      </c>
      <c r="J356" s="12">
        <v>0.56000000000000005</v>
      </c>
      <c r="K356" s="12">
        <v>0.16420000000000001</v>
      </c>
      <c r="L356" s="12">
        <v>0</v>
      </c>
      <c r="M356" s="12">
        <v>1</v>
      </c>
      <c r="N356" s="12">
        <v>1</v>
      </c>
      <c r="O356" s="12" t="str">
        <f>VLOOKUP(G356,calculate_field!$B$2:$C$5,2,FALSE)</f>
        <v xml:space="preserve">Mist / cloudy </v>
      </c>
      <c r="P356" s="12" t="str">
        <f t="shared" si="37"/>
        <v>Sunday</v>
      </c>
      <c r="Q356" s="12" t="str">
        <f t="shared" si="38"/>
        <v>Weekend</v>
      </c>
      <c r="R356" s="12" t="str">
        <f t="shared" si="39"/>
        <v>Morning</v>
      </c>
      <c r="S356" s="28" t="str">
        <f>INDEX(calculate_field!$F$2:$F$4, MATCH(H356, calculate_field!$E$2:$E$4, 1))</f>
        <v>Mild</v>
      </c>
      <c r="T356" s="33">
        <f t="shared" si="40"/>
        <v>48.125</v>
      </c>
      <c r="U356" s="33">
        <f t="shared" si="41"/>
        <v>42.174907540941412</v>
      </c>
      <c r="V356" s="33">
        <f t="shared" si="42"/>
        <v>-1.4126779029186489</v>
      </c>
      <c r="W356" s="12" t="b">
        <f t="shared" si="43"/>
        <v>0</v>
      </c>
    </row>
    <row r="357" spans="1:23">
      <c r="A357" s="26">
        <v>356</v>
      </c>
      <c r="B357" s="27">
        <v>40559</v>
      </c>
      <c r="C357" s="12">
        <v>1</v>
      </c>
      <c r="D357" s="12">
        <v>7</v>
      </c>
      <c r="E357" s="12" t="b">
        <v>0</v>
      </c>
      <c r="F357" s="12">
        <v>0</v>
      </c>
      <c r="G357" s="12">
        <v>2</v>
      </c>
      <c r="H357" s="12">
        <v>0.24</v>
      </c>
      <c r="I357" s="12">
        <v>0.21210000000000001</v>
      </c>
      <c r="J357" s="12">
        <v>0.56000000000000005</v>
      </c>
      <c r="K357" s="12">
        <v>0.29849999999999999</v>
      </c>
      <c r="L357" s="12">
        <v>0</v>
      </c>
      <c r="M357" s="12">
        <v>3</v>
      </c>
      <c r="N357" s="12">
        <v>3</v>
      </c>
      <c r="O357" s="12" t="str">
        <f>VLOOKUP(G357,calculate_field!$B$2:$C$5,2,FALSE)</f>
        <v xml:space="preserve">Mist / cloudy </v>
      </c>
      <c r="P357" s="12" t="str">
        <f t="shared" si="37"/>
        <v>Sunday</v>
      </c>
      <c r="Q357" s="12" t="str">
        <f t="shared" si="38"/>
        <v>Weekend</v>
      </c>
      <c r="R357" s="12" t="str">
        <f t="shared" si="39"/>
        <v>Morning</v>
      </c>
      <c r="S357" s="28" t="str">
        <f>INDEX(calculate_field!$F$2:$F$4, MATCH(H357, calculate_field!$E$2:$E$4, 1))</f>
        <v>Mild</v>
      </c>
      <c r="T357" s="33">
        <f t="shared" si="40"/>
        <v>48.291666666666664</v>
      </c>
      <c r="U357" s="33">
        <f t="shared" si="41"/>
        <v>41.988071977715258</v>
      </c>
      <c r="V357" s="33">
        <f t="shared" si="42"/>
        <v>-1.3492133074849118</v>
      </c>
      <c r="W357" s="12" t="b">
        <f t="shared" si="43"/>
        <v>0</v>
      </c>
    </row>
    <row r="358" spans="1:23">
      <c r="A358" s="26">
        <v>357</v>
      </c>
      <c r="B358" s="27">
        <v>40559</v>
      </c>
      <c r="C358" s="12">
        <v>1</v>
      </c>
      <c r="D358" s="12">
        <v>8</v>
      </c>
      <c r="E358" s="12" t="b">
        <v>0</v>
      </c>
      <c r="F358" s="12">
        <v>0</v>
      </c>
      <c r="G358" s="12">
        <v>1</v>
      </c>
      <c r="H358" s="12">
        <v>0.22</v>
      </c>
      <c r="I358" s="12">
        <v>0.21210000000000001</v>
      </c>
      <c r="J358" s="12">
        <v>0.55000000000000004</v>
      </c>
      <c r="K358" s="12">
        <v>0.28360000000000002</v>
      </c>
      <c r="L358" s="12">
        <v>0</v>
      </c>
      <c r="M358" s="12">
        <v>18</v>
      </c>
      <c r="N358" s="12">
        <v>18</v>
      </c>
      <c r="O358" s="12" t="str">
        <f>VLOOKUP(G358,calculate_field!$B$2:$C$5,2,FALSE)</f>
        <v>Clear/Partly Cloudy</v>
      </c>
      <c r="P358" s="12" t="str">
        <f t="shared" si="37"/>
        <v>Sunday</v>
      </c>
      <c r="Q358" s="12" t="str">
        <f t="shared" si="38"/>
        <v>Weekend</v>
      </c>
      <c r="R358" s="12" t="str">
        <f t="shared" si="39"/>
        <v>Morning</v>
      </c>
      <c r="S358" s="28" t="str">
        <f>INDEX(calculate_field!$F$2:$F$4, MATCH(H358, calculate_field!$E$2:$E$4, 1))</f>
        <v>Mild</v>
      </c>
      <c r="T358" s="33">
        <f t="shared" si="40"/>
        <v>48.708333333333336</v>
      </c>
      <c r="U358" s="33">
        <f t="shared" si="41"/>
        <v>41.566582696938767</v>
      </c>
      <c r="V358" s="33">
        <f t="shared" si="42"/>
        <v>-1.1880789575161534</v>
      </c>
      <c r="W358" s="12" t="b">
        <f t="shared" si="43"/>
        <v>0</v>
      </c>
    </row>
    <row r="359" spans="1:23">
      <c r="A359" s="26">
        <v>358</v>
      </c>
      <c r="B359" s="27">
        <v>40559</v>
      </c>
      <c r="C359" s="12">
        <v>1</v>
      </c>
      <c r="D359" s="12">
        <v>9</v>
      </c>
      <c r="E359" s="12" t="b">
        <v>0</v>
      </c>
      <c r="F359" s="12">
        <v>0</v>
      </c>
      <c r="G359" s="12">
        <v>1</v>
      </c>
      <c r="H359" s="12">
        <v>0.22</v>
      </c>
      <c r="I359" s="12">
        <v>0.21210000000000001</v>
      </c>
      <c r="J359" s="12">
        <v>0.51</v>
      </c>
      <c r="K359" s="12">
        <v>0.25369999999999998</v>
      </c>
      <c r="L359" s="12">
        <v>3</v>
      </c>
      <c r="M359" s="12">
        <v>29</v>
      </c>
      <c r="N359" s="12">
        <v>32</v>
      </c>
      <c r="O359" s="12" t="str">
        <f>VLOOKUP(G359,calculate_field!$B$2:$C$5,2,FALSE)</f>
        <v>Clear/Partly Cloudy</v>
      </c>
      <c r="P359" s="12" t="str">
        <f t="shared" si="37"/>
        <v>Sunday</v>
      </c>
      <c r="Q359" s="12" t="str">
        <f t="shared" si="38"/>
        <v>Weekend</v>
      </c>
      <c r="R359" s="12" t="str">
        <f t="shared" si="39"/>
        <v>Morning</v>
      </c>
      <c r="S359" s="28" t="str">
        <f>INDEX(calculate_field!$F$2:$F$4, MATCH(H359, calculate_field!$E$2:$E$4, 1))</f>
        <v>Mild</v>
      </c>
      <c r="T359" s="33">
        <f t="shared" si="40"/>
        <v>49.333333333333336</v>
      </c>
      <c r="U359" s="33">
        <f t="shared" si="41"/>
        <v>41.19589116981647</v>
      </c>
      <c r="V359" s="33">
        <f t="shared" si="42"/>
        <v>-0.74396714709374567</v>
      </c>
      <c r="W359" s="12" t="b">
        <f t="shared" si="43"/>
        <v>0</v>
      </c>
    </row>
    <row r="360" spans="1:23">
      <c r="A360" s="26">
        <v>359</v>
      </c>
      <c r="B360" s="27">
        <v>40559</v>
      </c>
      <c r="C360" s="12">
        <v>1</v>
      </c>
      <c r="D360" s="12">
        <v>10</v>
      </c>
      <c r="E360" s="12" t="b">
        <v>0</v>
      </c>
      <c r="F360" s="12">
        <v>0</v>
      </c>
      <c r="G360" s="12">
        <v>1</v>
      </c>
      <c r="H360" s="12">
        <v>0.22</v>
      </c>
      <c r="I360" s="12">
        <v>0.21210000000000001</v>
      </c>
      <c r="J360" s="12">
        <v>0.51</v>
      </c>
      <c r="K360" s="12">
        <v>0.28360000000000002</v>
      </c>
      <c r="L360" s="12">
        <v>8</v>
      </c>
      <c r="M360" s="12">
        <v>71</v>
      </c>
      <c r="N360" s="12">
        <v>79</v>
      </c>
      <c r="O360" s="12" t="str">
        <f>VLOOKUP(G360,calculate_field!$B$2:$C$5,2,FALSE)</f>
        <v>Clear/Partly Cloudy</v>
      </c>
      <c r="P360" s="12" t="str">
        <f t="shared" si="37"/>
        <v>Sunday</v>
      </c>
      <c r="Q360" s="12" t="str">
        <f t="shared" si="38"/>
        <v>Weekend</v>
      </c>
      <c r="R360" s="12" t="str">
        <f t="shared" si="39"/>
        <v>Morning</v>
      </c>
      <c r="S360" s="28" t="str">
        <f>INDEX(calculate_field!$F$2:$F$4, MATCH(H360, calculate_field!$E$2:$E$4, 1))</f>
        <v>Mild</v>
      </c>
      <c r="T360" s="33">
        <f t="shared" si="40"/>
        <v>49.958333333333336</v>
      </c>
      <c r="U360" s="33">
        <f t="shared" si="41"/>
        <v>41.034957702222485</v>
      </c>
      <c r="V360" s="33">
        <f t="shared" si="42"/>
        <v>-0.41824457039960161</v>
      </c>
      <c r="W360" s="12" t="b">
        <f t="shared" si="43"/>
        <v>0</v>
      </c>
    </row>
    <row r="361" spans="1:23">
      <c r="A361" s="26">
        <v>360</v>
      </c>
      <c r="B361" s="27">
        <v>40559</v>
      </c>
      <c r="C361" s="12">
        <v>1</v>
      </c>
      <c r="D361" s="12">
        <v>11</v>
      </c>
      <c r="E361" s="12" t="b">
        <v>0</v>
      </c>
      <c r="F361" s="12">
        <v>0</v>
      </c>
      <c r="G361" s="12">
        <v>1</v>
      </c>
      <c r="H361" s="12">
        <v>0.24</v>
      </c>
      <c r="I361" s="12">
        <v>0.2273</v>
      </c>
      <c r="J361" s="12">
        <v>0.44</v>
      </c>
      <c r="K361" s="12">
        <v>0.25369999999999998</v>
      </c>
      <c r="L361" s="12">
        <v>23</v>
      </c>
      <c r="M361" s="12">
        <v>70</v>
      </c>
      <c r="N361" s="12">
        <v>93</v>
      </c>
      <c r="O361" s="12" t="str">
        <f>VLOOKUP(G361,calculate_field!$B$2:$C$5,2,FALSE)</f>
        <v>Clear/Partly Cloudy</v>
      </c>
      <c r="P361" s="12" t="str">
        <f t="shared" si="37"/>
        <v>Sunday</v>
      </c>
      <c r="Q361" s="12" t="str">
        <f t="shared" si="38"/>
        <v>Weekend</v>
      </c>
      <c r="R361" s="12" t="str">
        <f t="shared" si="39"/>
        <v>Morning</v>
      </c>
      <c r="S361" s="28" t="str">
        <f>INDEX(calculate_field!$F$2:$F$4, MATCH(H361, calculate_field!$E$2:$E$4, 1))</f>
        <v>Mild</v>
      </c>
      <c r="T361" s="33">
        <f t="shared" si="40"/>
        <v>49.041666666666664</v>
      </c>
      <c r="U361" s="33">
        <f t="shared" si="41"/>
        <v>40.601434079049014</v>
      </c>
      <c r="V361" s="33">
        <f t="shared" si="42"/>
        <v>-0.13432465925424483</v>
      </c>
      <c r="W361" s="12" t="b">
        <f t="shared" si="43"/>
        <v>0</v>
      </c>
    </row>
    <row r="362" spans="1:23">
      <c r="A362" s="26">
        <v>361</v>
      </c>
      <c r="B362" s="27">
        <v>40559</v>
      </c>
      <c r="C362" s="12">
        <v>1</v>
      </c>
      <c r="D362" s="12">
        <v>12</v>
      </c>
      <c r="E362" s="12" t="b">
        <v>0</v>
      </c>
      <c r="F362" s="12">
        <v>0</v>
      </c>
      <c r="G362" s="12">
        <v>1</v>
      </c>
      <c r="H362" s="12">
        <v>0.24</v>
      </c>
      <c r="I362" s="12">
        <v>0.21210000000000001</v>
      </c>
      <c r="J362" s="12">
        <v>0.41</v>
      </c>
      <c r="K362" s="12">
        <v>0.28360000000000002</v>
      </c>
      <c r="L362" s="12">
        <v>29</v>
      </c>
      <c r="M362" s="12">
        <v>75</v>
      </c>
      <c r="N362" s="12">
        <v>104</v>
      </c>
      <c r="O362" s="12" t="str">
        <f>VLOOKUP(G362,calculate_field!$B$2:$C$5,2,FALSE)</f>
        <v>Clear/Partly Cloudy</v>
      </c>
      <c r="P362" s="12" t="str">
        <f t="shared" si="37"/>
        <v>Sunday</v>
      </c>
      <c r="Q362" s="12" t="str">
        <f t="shared" si="38"/>
        <v>Weekend</v>
      </c>
      <c r="R362" s="12" t="str">
        <f t="shared" si="39"/>
        <v>Afternoon</v>
      </c>
      <c r="S362" s="28" t="str">
        <f>INDEX(calculate_field!$F$2:$F$4, MATCH(H362, calculate_field!$E$2:$E$4, 1))</f>
        <v>Mild</v>
      </c>
      <c r="T362" s="33">
        <f t="shared" si="40"/>
        <v>47.833333333333336</v>
      </c>
      <c r="U362" s="33">
        <f t="shared" si="41"/>
        <v>39.656861533241212</v>
      </c>
      <c r="V362" s="33">
        <f t="shared" si="42"/>
        <v>8.5009814395196753E-2</v>
      </c>
      <c r="W362" s="12" t="b">
        <f t="shared" si="43"/>
        <v>0</v>
      </c>
    </row>
    <row r="363" spans="1:23">
      <c r="A363" s="26">
        <v>362</v>
      </c>
      <c r="B363" s="27">
        <v>40559</v>
      </c>
      <c r="C363" s="12">
        <v>1</v>
      </c>
      <c r="D363" s="12">
        <v>13</v>
      </c>
      <c r="E363" s="12" t="b">
        <v>0</v>
      </c>
      <c r="F363" s="12">
        <v>0</v>
      </c>
      <c r="G363" s="12">
        <v>1</v>
      </c>
      <c r="H363" s="12">
        <v>0.26</v>
      </c>
      <c r="I363" s="12">
        <v>0.2273</v>
      </c>
      <c r="J363" s="12">
        <v>0.35</v>
      </c>
      <c r="K363" s="12">
        <v>0.29849999999999999</v>
      </c>
      <c r="L363" s="12">
        <v>23</v>
      </c>
      <c r="M363" s="12">
        <v>95</v>
      </c>
      <c r="N363" s="12">
        <v>118</v>
      </c>
      <c r="O363" s="12" t="str">
        <f>VLOOKUP(G363,calculate_field!$B$2:$C$5,2,FALSE)</f>
        <v>Clear/Partly Cloudy</v>
      </c>
      <c r="P363" s="12" t="str">
        <f t="shared" si="37"/>
        <v>Sunday</v>
      </c>
      <c r="Q363" s="12" t="str">
        <f t="shared" si="38"/>
        <v>Weekend</v>
      </c>
      <c r="R363" s="12" t="str">
        <f t="shared" si="39"/>
        <v>Afternoon</v>
      </c>
      <c r="S363" s="28" t="str">
        <f>INDEX(calculate_field!$F$2:$F$4, MATCH(H363, calculate_field!$E$2:$E$4, 1))</f>
        <v>Mild</v>
      </c>
      <c r="T363" s="33">
        <f t="shared" si="40"/>
        <v>46.833333333333336</v>
      </c>
      <c r="U363" s="33">
        <f t="shared" si="41"/>
        <v>38.463609754706056</v>
      </c>
      <c r="V363" s="33">
        <f t="shared" si="42"/>
        <v>0.55616825884435916</v>
      </c>
      <c r="W363" s="12" t="b">
        <f t="shared" si="43"/>
        <v>0</v>
      </c>
    </row>
    <row r="364" spans="1:23">
      <c r="A364" s="26">
        <v>363</v>
      </c>
      <c r="B364" s="27">
        <v>40559</v>
      </c>
      <c r="C364" s="12">
        <v>1</v>
      </c>
      <c r="D364" s="12">
        <v>14</v>
      </c>
      <c r="E364" s="12" t="b">
        <v>0</v>
      </c>
      <c r="F364" s="12">
        <v>0</v>
      </c>
      <c r="G364" s="12">
        <v>1</v>
      </c>
      <c r="H364" s="12">
        <v>0.28000000000000003</v>
      </c>
      <c r="I364" s="12">
        <v>0.2727</v>
      </c>
      <c r="J364" s="12">
        <v>0.36</v>
      </c>
      <c r="K364" s="12">
        <v>0.25369999999999998</v>
      </c>
      <c r="L364" s="12">
        <v>22</v>
      </c>
      <c r="M364" s="12">
        <v>69</v>
      </c>
      <c r="N364" s="12">
        <v>91</v>
      </c>
      <c r="O364" s="12" t="str">
        <f>VLOOKUP(G364,calculate_field!$B$2:$C$5,2,FALSE)</f>
        <v>Clear/Partly Cloudy</v>
      </c>
      <c r="P364" s="12" t="str">
        <f t="shared" si="37"/>
        <v>Sunday</v>
      </c>
      <c r="Q364" s="12" t="str">
        <f t="shared" si="38"/>
        <v>Weekend</v>
      </c>
      <c r="R364" s="12" t="str">
        <f t="shared" si="39"/>
        <v>Afternoon</v>
      </c>
      <c r="S364" s="28" t="str">
        <f>INDEX(calculate_field!$F$2:$F$4, MATCH(H364, calculate_field!$E$2:$E$4, 1))</f>
        <v>Mild</v>
      </c>
      <c r="T364" s="33">
        <f t="shared" si="40"/>
        <v>45.791666666666664</v>
      </c>
      <c r="U364" s="33">
        <f t="shared" si="41"/>
        <v>36.752969908586294</v>
      </c>
      <c r="V364" s="33">
        <f t="shared" si="42"/>
        <v>0.95119406759186675</v>
      </c>
      <c r="W364" s="12" t="b">
        <f t="shared" si="43"/>
        <v>0</v>
      </c>
    </row>
    <row r="365" spans="1:23">
      <c r="A365" s="26">
        <v>364</v>
      </c>
      <c r="B365" s="27">
        <v>40559</v>
      </c>
      <c r="C365" s="12">
        <v>1</v>
      </c>
      <c r="D365" s="12">
        <v>15</v>
      </c>
      <c r="E365" s="12" t="b">
        <v>0</v>
      </c>
      <c r="F365" s="12">
        <v>0</v>
      </c>
      <c r="G365" s="12">
        <v>1</v>
      </c>
      <c r="H365" s="12">
        <v>0.26</v>
      </c>
      <c r="I365" s="12">
        <v>0.2424</v>
      </c>
      <c r="J365" s="12">
        <v>0.38</v>
      </c>
      <c r="K365" s="12">
        <v>0.25369999999999998</v>
      </c>
      <c r="L365" s="12">
        <v>35</v>
      </c>
      <c r="M365" s="12">
        <v>78</v>
      </c>
      <c r="N365" s="12">
        <v>113</v>
      </c>
      <c r="O365" s="12" t="str">
        <f>VLOOKUP(G365,calculate_field!$B$2:$C$5,2,FALSE)</f>
        <v>Clear/Partly Cloudy</v>
      </c>
      <c r="P365" s="12" t="str">
        <f t="shared" si="37"/>
        <v>Sunday</v>
      </c>
      <c r="Q365" s="12" t="str">
        <f t="shared" si="38"/>
        <v>Weekend</v>
      </c>
      <c r="R365" s="12" t="str">
        <f t="shared" si="39"/>
        <v>Afternoon</v>
      </c>
      <c r="S365" s="28" t="str">
        <f>INDEX(calculate_field!$F$2:$F$4, MATCH(H365, calculate_field!$E$2:$E$4, 1))</f>
        <v>Mild</v>
      </c>
      <c r="T365" s="33">
        <f t="shared" si="40"/>
        <v>45.583333333333336</v>
      </c>
      <c r="U365" s="33">
        <f t="shared" si="41"/>
        <v>36.498858429636762</v>
      </c>
      <c r="V365" s="33">
        <f t="shared" si="42"/>
        <v>0.85532763257288658</v>
      </c>
      <c r="W365" s="12" t="b">
        <f t="shared" si="43"/>
        <v>0</v>
      </c>
    </row>
    <row r="366" spans="1:23">
      <c r="A366" s="26">
        <v>365</v>
      </c>
      <c r="B366" s="27">
        <v>40559</v>
      </c>
      <c r="C366" s="12">
        <v>1</v>
      </c>
      <c r="D366" s="12">
        <v>16</v>
      </c>
      <c r="E366" s="12" t="b">
        <v>0</v>
      </c>
      <c r="F366" s="12">
        <v>0</v>
      </c>
      <c r="G366" s="12">
        <v>1</v>
      </c>
      <c r="H366" s="12">
        <v>0.24</v>
      </c>
      <c r="I366" s="12">
        <v>0.2273</v>
      </c>
      <c r="J366" s="12">
        <v>0.38</v>
      </c>
      <c r="K366" s="12">
        <v>0.22389999999999999</v>
      </c>
      <c r="L366" s="12">
        <v>22</v>
      </c>
      <c r="M366" s="12">
        <v>77</v>
      </c>
      <c r="N366" s="12">
        <v>99</v>
      </c>
      <c r="O366" s="12" t="str">
        <f>VLOOKUP(G366,calculate_field!$B$2:$C$5,2,FALSE)</f>
        <v>Clear/Partly Cloudy</v>
      </c>
      <c r="P366" s="12" t="str">
        <f t="shared" si="37"/>
        <v>Sunday</v>
      </c>
      <c r="Q366" s="12" t="str">
        <f t="shared" si="38"/>
        <v>Weekend</v>
      </c>
      <c r="R366" s="12" t="str">
        <f t="shared" si="39"/>
        <v>Afternoon</v>
      </c>
      <c r="S366" s="28" t="str">
        <f>INDEX(calculate_field!$F$2:$F$4, MATCH(H366, calculate_field!$E$2:$E$4, 1))</f>
        <v>Mild</v>
      </c>
      <c r="T366" s="33">
        <f t="shared" si="40"/>
        <v>44.75</v>
      </c>
      <c r="U366" s="33">
        <f t="shared" si="41"/>
        <v>35.093973222217791</v>
      </c>
      <c r="V366" s="33">
        <f t="shared" si="42"/>
        <v>1.1050588251844409</v>
      </c>
      <c r="W366" s="12" t="b">
        <f t="shared" si="43"/>
        <v>0</v>
      </c>
    </row>
    <row r="367" spans="1:23">
      <c r="A367" s="26">
        <v>366</v>
      </c>
      <c r="B367" s="27">
        <v>40559</v>
      </c>
      <c r="C367" s="12">
        <v>1</v>
      </c>
      <c r="D367" s="12">
        <v>17</v>
      </c>
      <c r="E367" s="12" t="b">
        <v>0</v>
      </c>
      <c r="F367" s="12">
        <v>0</v>
      </c>
      <c r="G367" s="12">
        <v>1</v>
      </c>
      <c r="H367" s="12">
        <v>0.22</v>
      </c>
      <c r="I367" s="12">
        <v>0.21210000000000001</v>
      </c>
      <c r="J367" s="12">
        <v>0.37</v>
      </c>
      <c r="K367" s="12">
        <v>0.25369999999999998</v>
      </c>
      <c r="L367" s="12">
        <v>23</v>
      </c>
      <c r="M367" s="12">
        <v>82</v>
      </c>
      <c r="N367" s="12">
        <v>105</v>
      </c>
      <c r="O367" s="12" t="str">
        <f>VLOOKUP(G367,calculate_field!$B$2:$C$5,2,FALSE)</f>
        <v>Clear/Partly Cloudy</v>
      </c>
      <c r="P367" s="12" t="str">
        <f t="shared" si="37"/>
        <v>Sunday</v>
      </c>
      <c r="Q367" s="12" t="str">
        <f t="shared" si="38"/>
        <v>Weekend</v>
      </c>
      <c r="R367" s="12" t="str">
        <f t="shared" si="39"/>
        <v>Evening</v>
      </c>
      <c r="S367" s="28" t="str">
        <f>INDEX(calculate_field!$F$2:$F$4, MATCH(H367, calculate_field!$E$2:$E$4, 1))</f>
        <v>Mild</v>
      </c>
      <c r="T367" s="33">
        <f t="shared" si="40"/>
        <v>44.041666666666664</v>
      </c>
      <c r="U367" s="33">
        <f t="shared" si="41"/>
        <v>34.109133249241218</v>
      </c>
      <c r="V367" s="33">
        <f t="shared" si="42"/>
        <v>0.92625936069210912</v>
      </c>
      <c r="W367" s="12" t="b">
        <f t="shared" si="43"/>
        <v>0</v>
      </c>
    </row>
    <row r="368" spans="1:23">
      <c r="A368" s="26">
        <v>367</v>
      </c>
      <c r="B368" s="27">
        <v>40559</v>
      </c>
      <c r="C368" s="12">
        <v>1</v>
      </c>
      <c r="D368" s="12">
        <v>18</v>
      </c>
      <c r="E368" s="12" t="b">
        <v>0</v>
      </c>
      <c r="F368" s="12">
        <v>0</v>
      </c>
      <c r="G368" s="12">
        <v>1</v>
      </c>
      <c r="H368" s="12">
        <v>0.2</v>
      </c>
      <c r="I368" s="12">
        <v>0.21210000000000001</v>
      </c>
      <c r="J368" s="12">
        <v>0.4</v>
      </c>
      <c r="K368" s="12">
        <v>0.16420000000000001</v>
      </c>
      <c r="L368" s="12">
        <v>11</v>
      </c>
      <c r="M368" s="12">
        <v>56</v>
      </c>
      <c r="N368" s="12">
        <v>67</v>
      </c>
      <c r="O368" s="12" t="str">
        <f>VLOOKUP(G368,calculate_field!$B$2:$C$5,2,FALSE)</f>
        <v>Clear/Partly Cloudy</v>
      </c>
      <c r="P368" s="12" t="str">
        <f t="shared" si="37"/>
        <v>Sunday</v>
      </c>
      <c r="Q368" s="12" t="str">
        <f t="shared" si="38"/>
        <v>Weekend</v>
      </c>
      <c r="R368" s="12" t="str">
        <f t="shared" si="39"/>
        <v>Evening</v>
      </c>
      <c r="S368" s="28" t="str">
        <f>INDEX(calculate_field!$F$2:$F$4, MATCH(H368, calculate_field!$E$2:$E$4, 1))</f>
        <v>Mild</v>
      </c>
      <c r="T368" s="33">
        <f t="shared" si="40"/>
        <v>42.625</v>
      </c>
      <c r="U368" s="33">
        <f t="shared" si="41"/>
        <v>32.115027635049607</v>
      </c>
      <c r="V368" s="33">
        <f t="shared" si="42"/>
        <v>0.73070464205763075</v>
      </c>
      <c r="W368" s="12" t="b">
        <f t="shared" si="43"/>
        <v>0</v>
      </c>
    </row>
    <row r="369" spans="1:23">
      <c r="A369" s="26">
        <v>368</v>
      </c>
      <c r="B369" s="27">
        <v>40559</v>
      </c>
      <c r="C369" s="12">
        <v>1</v>
      </c>
      <c r="D369" s="12">
        <v>19</v>
      </c>
      <c r="E369" s="12" t="b">
        <v>0</v>
      </c>
      <c r="F369" s="12">
        <v>0</v>
      </c>
      <c r="G369" s="12">
        <v>1</v>
      </c>
      <c r="H369" s="12">
        <v>0.18</v>
      </c>
      <c r="I369" s="12">
        <v>0.19700000000000001</v>
      </c>
      <c r="J369" s="12">
        <v>0.47</v>
      </c>
      <c r="K369" s="12">
        <v>0.1343</v>
      </c>
      <c r="L369" s="12">
        <v>14</v>
      </c>
      <c r="M369" s="12">
        <v>47</v>
      </c>
      <c r="N369" s="12">
        <v>61</v>
      </c>
      <c r="O369" s="12" t="str">
        <f>VLOOKUP(G369,calculate_field!$B$2:$C$5,2,FALSE)</f>
        <v>Clear/Partly Cloudy</v>
      </c>
      <c r="P369" s="12" t="str">
        <f t="shared" si="37"/>
        <v>Sunday</v>
      </c>
      <c r="Q369" s="12" t="str">
        <f t="shared" si="38"/>
        <v>Weekend</v>
      </c>
      <c r="R369" s="12" t="str">
        <f t="shared" si="39"/>
        <v>Evening</v>
      </c>
      <c r="S369" s="28" t="str">
        <f>INDEX(calculate_field!$F$2:$F$4, MATCH(H369, calculate_field!$E$2:$E$4, 1))</f>
        <v>Cold</v>
      </c>
      <c r="T369" s="33">
        <f t="shared" si="40"/>
        <v>43.666666666666664</v>
      </c>
      <c r="U369" s="33">
        <f t="shared" si="41"/>
        <v>33.322751943701313</v>
      </c>
      <c r="V369" s="33">
        <f t="shared" si="42"/>
        <v>1.3130432642324086</v>
      </c>
      <c r="W369" s="12" t="b">
        <f t="shared" si="43"/>
        <v>0</v>
      </c>
    </row>
    <row r="370" spans="1:23">
      <c r="A370" s="26">
        <v>369</v>
      </c>
      <c r="B370" s="27">
        <v>40559</v>
      </c>
      <c r="C370" s="12">
        <v>1</v>
      </c>
      <c r="D370" s="12">
        <v>20</v>
      </c>
      <c r="E370" s="12" t="b">
        <v>0</v>
      </c>
      <c r="F370" s="12">
        <v>0</v>
      </c>
      <c r="G370" s="12">
        <v>1</v>
      </c>
      <c r="H370" s="12">
        <v>0.18</v>
      </c>
      <c r="I370" s="12">
        <v>0.19700000000000001</v>
      </c>
      <c r="J370" s="12">
        <v>0.47</v>
      </c>
      <c r="K370" s="12">
        <v>0.16420000000000001</v>
      </c>
      <c r="L370" s="12">
        <v>7</v>
      </c>
      <c r="M370" s="12">
        <v>50</v>
      </c>
      <c r="N370" s="12">
        <v>57</v>
      </c>
      <c r="O370" s="12" t="str">
        <f>VLOOKUP(G370,calculate_field!$B$2:$C$5,2,FALSE)</f>
        <v>Clear/Partly Cloudy</v>
      </c>
      <c r="P370" s="12" t="str">
        <f t="shared" si="37"/>
        <v>Sunday</v>
      </c>
      <c r="Q370" s="12" t="str">
        <f t="shared" si="38"/>
        <v>Weekend</v>
      </c>
      <c r="R370" s="12" t="str">
        <f t="shared" si="39"/>
        <v>Evening</v>
      </c>
      <c r="S370" s="28" t="str">
        <f>INDEX(calculate_field!$F$2:$F$4, MATCH(H370, calculate_field!$E$2:$E$4, 1))</f>
        <v>Cold</v>
      </c>
      <c r="T370" s="33">
        <f t="shared" si="40"/>
        <v>43.625</v>
      </c>
      <c r="U370" s="33">
        <f t="shared" si="41"/>
        <v>33.300754006348029</v>
      </c>
      <c r="V370" s="33">
        <f t="shared" si="42"/>
        <v>0.50466452043868648</v>
      </c>
      <c r="W370" s="12" t="b">
        <f t="shared" si="43"/>
        <v>0</v>
      </c>
    </row>
    <row r="371" spans="1:23">
      <c r="A371" s="26">
        <v>370</v>
      </c>
      <c r="B371" s="27">
        <v>40559</v>
      </c>
      <c r="C371" s="12">
        <v>1</v>
      </c>
      <c r="D371" s="12">
        <v>21</v>
      </c>
      <c r="E371" s="12" t="b">
        <v>0</v>
      </c>
      <c r="F371" s="12">
        <v>0</v>
      </c>
      <c r="G371" s="12">
        <v>1</v>
      </c>
      <c r="H371" s="12">
        <v>0.18</v>
      </c>
      <c r="I371" s="12">
        <v>0.19700000000000001</v>
      </c>
      <c r="J371" s="12">
        <v>0.51</v>
      </c>
      <c r="K371" s="12">
        <v>0.16420000000000001</v>
      </c>
      <c r="L371" s="12">
        <v>6</v>
      </c>
      <c r="M371" s="12">
        <v>22</v>
      </c>
      <c r="N371" s="12">
        <v>28</v>
      </c>
      <c r="O371" s="12" t="str">
        <f>VLOOKUP(G371,calculate_field!$B$2:$C$5,2,FALSE)</f>
        <v>Clear/Partly Cloudy</v>
      </c>
      <c r="P371" s="12" t="str">
        <f t="shared" si="37"/>
        <v>Sunday</v>
      </c>
      <c r="Q371" s="12" t="str">
        <f t="shared" si="38"/>
        <v>Weekend</v>
      </c>
      <c r="R371" s="12" t="str">
        <f t="shared" si="39"/>
        <v>Night</v>
      </c>
      <c r="S371" s="28" t="str">
        <f>INDEX(calculate_field!$F$2:$F$4, MATCH(H371, calculate_field!$E$2:$E$4, 1))</f>
        <v>Cold</v>
      </c>
      <c r="T371" s="33">
        <f t="shared" si="40"/>
        <v>42.625</v>
      </c>
      <c r="U371" s="33">
        <f t="shared" si="41"/>
        <v>33.241949008941148</v>
      </c>
      <c r="V371" s="33">
        <f t="shared" si="42"/>
        <v>-0.25432499882885395</v>
      </c>
      <c r="W371" s="12" t="b">
        <f t="shared" si="43"/>
        <v>0</v>
      </c>
    </row>
    <row r="372" spans="1:23">
      <c r="A372" s="26">
        <v>371</v>
      </c>
      <c r="B372" s="27">
        <v>40559</v>
      </c>
      <c r="C372" s="12">
        <v>1</v>
      </c>
      <c r="D372" s="12">
        <v>22</v>
      </c>
      <c r="E372" s="12" t="b">
        <v>0</v>
      </c>
      <c r="F372" s="12">
        <v>0</v>
      </c>
      <c r="G372" s="12">
        <v>2</v>
      </c>
      <c r="H372" s="12">
        <v>0.2</v>
      </c>
      <c r="I372" s="12">
        <v>0.21210000000000001</v>
      </c>
      <c r="J372" s="12">
        <v>0.49</v>
      </c>
      <c r="K372" s="12">
        <v>0.1343</v>
      </c>
      <c r="L372" s="12">
        <v>2</v>
      </c>
      <c r="M372" s="12">
        <v>19</v>
      </c>
      <c r="N372" s="12">
        <v>21</v>
      </c>
      <c r="O372" s="12" t="str">
        <f>VLOOKUP(G372,calculate_field!$B$2:$C$5,2,FALSE)</f>
        <v xml:space="preserve">Mist / cloudy </v>
      </c>
      <c r="P372" s="12" t="str">
        <f t="shared" si="37"/>
        <v>Sunday</v>
      </c>
      <c r="Q372" s="12" t="str">
        <f t="shared" si="38"/>
        <v>Weekend</v>
      </c>
      <c r="R372" s="12" t="str">
        <f t="shared" si="39"/>
        <v>Night</v>
      </c>
      <c r="S372" s="28" t="str">
        <f>INDEX(calculate_field!$F$2:$F$4, MATCH(H372, calculate_field!$E$2:$E$4, 1))</f>
        <v>Mild</v>
      </c>
      <c r="T372" s="33">
        <f t="shared" si="40"/>
        <v>42.583333333333336</v>
      </c>
      <c r="U372" s="33">
        <f t="shared" si="41"/>
        <v>33.261698388839754</v>
      </c>
      <c r="V372" s="33">
        <f t="shared" si="42"/>
        <v>-0.42275484046221895</v>
      </c>
      <c r="W372" s="12" t="b">
        <f t="shared" si="43"/>
        <v>0</v>
      </c>
    </row>
    <row r="373" spans="1:23">
      <c r="A373" s="26">
        <v>372</v>
      </c>
      <c r="B373" s="27">
        <v>40559</v>
      </c>
      <c r="C373" s="12">
        <v>1</v>
      </c>
      <c r="D373" s="12">
        <v>23</v>
      </c>
      <c r="E373" s="12" t="b">
        <v>0</v>
      </c>
      <c r="F373" s="12">
        <v>0</v>
      </c>
      <c r="G373" s="12">
        <v>2</v>
      </c>
      <c r="H373" s="12">
        <v>0.2</v>
      </c>
      <c r="I373" s="12">
        <v>0.2273</v>
      </c>
      <c r="J373" s="12">
        <v>0.4</v>
      </c>
      <c r="K373" s="12">
        <v>0.1045</v>
      </c>
      <c r="L373" s="12">
        <v>0</v>
      </c>
      <c r="M373" s="12">
        <v>18</v>
      </c>
      <c r="N373" s="12">
        <v>18</v>
      </c>
      <c r="O373" s="12" t="str">
        <f>VLOOKUP(G373,calculate_field!$B$2:$C$5,2,FALSE)</f>
        <v xml:space="preserve">Mist / cloudy </v>
      </c>
      <c r="P373" s="12" t="str">
        <f t="shared" si="37"/>
        <v>Sunday</v>
      </c>
      <c r="Q373" s="12" t="str">
        <f t="shared" si="38"/>
        <v>Weekend</v>
      </c>
      <c r="R373" s="12" t="str">
        <f t="shared" si="39"/>
        <v>Night</v>
      </c>
      <c r="S373" s="28" t="str">
        <f>INDEX(calculate_field!$F$2:$F$4, MATCH(H373, calculate_field!$E$2:$E$4, 1))</f>
        <v>Mild</v>
      </c>
      <c r="T373" s="33">
        <f t="shared" si="40"/>
        <v>42.25</v>
      </c>
      <c r="U373" s="33">
        <f t="shared" si="41"/>
        <v>33.526433438861858</v>
      </c>
      <c r="V373" s="33">
        <f t="shared" si="42"/>
        <v>-0.71009077949827448</v>
      </c>
      <c r="W373" s="12" t="b">
        <f t="shared" si="43"/>
        <v>0</v>
      </c>
    </row>
    <row r="374" spans="1:23">
      <c r="A374" s="26">
        <v>373</v>
      </c>
      <c r="B374" s="27">
        <v>40560</v>
      </c>
      <c r="C374" s="12">
        <v>1</v>
      </c>
      <c r="D374" s="12">
        <v>0</v>
      </c>
      <c r="E374" s="12" t="b">
        <v>1</v>
      </c>
      <c r="F374" s="12">
        <v>1</v>
      </c>
      <c r="G374" s="12">
        <v>2</v>
      </c>
      <c r="H374" s="12">
        <v>0.2</v>
      </c>
      <c r="I374" s="12">
        <v>0.19700000000000001</v>
      </c>
      <c r="J374" s="12">
        <v>0.47</v>
      </c>
      <c r="K374" s="12">
        <v>0.22389999999999999</v>
      </c>
      <c r="L374" s="12">
        <v>1</v>
      </c>
      <c r="M374" s="12">
        <v>16</v>
      </c>
      <c r="N374" s="12">
        <v>17</v>
      </c>
      <c r="O374" s="12" t="str">
        <f>VLOOKUP(G374,calculate_field!$B$2:$C$5,2,FALSE)</f>
        <v xml:space="preserve">Mist / cloudy </v>
      </c>
      <c r="P374" s="12" t="str">
        <f t="shared" si="37"/>
        <v>Monday</v>
      </c>
      <c r="Q374" s="12" t="str">
        <f t="shared" si="38"/>
        <v>Weekday</v>
      </c>
      <c r="R374" s="12" t="str">
        <f t="shared" si="39"/>
        <v>Night</v>
      </c>
      <c r="S374" s="28" t="str">
        <f>INDEX(calculate_field!$F$2:$F$4, MATCH(H374, calculate_field!$E$2:$E$4, 1))</f>
        <v>Mild</v>
      </c>
      <c r="T374" s="33">
        <f t="shared" si="40"/>
        <v>41.666666666666664</v>
      </c>
      <c r="U374" s="33">
        <f t="shared" si="41"/>
        <v>34.083869277526816</v>
      </c>
      <c r="V374" s="33">
        <f t="shared" si="42"/>
        <v>-0.92533655026035322</v>
      </c>
      <c r="W374" s="12" t="b">
        <f t="shared" si="43"/>
        <v>0</v>
      </c>
    </row>
    <row r="375" spans="1:23">
      <c r="A375" s="26">
        <v>374</v>
      </c>
      <c r="B375" s="27">
        <v>40560</v>
      </c>
      <c r="C375" s="12">
        <v>1</v>
      </c>
      <c r="D375" s="12">
        <v>1</v>
      </c>
      <c r="E375" s="12" t="b">
        <v>1</v>
      </c>
      <c r="F375" s="12">
        <v>1</v>
      </c>
      <c r="G375" s="12">
        <v>2</v>
      </c>
      <c r="H375" s="12">
        <v>0.2</v>
      </c>
      <c r="I375" s="12">
        <v>0.19700000000000001</v>
      </c>
      <c r="J375" s="12">
        <v>0.44</v>
      </c>
      <c r="K375" s="12">
        <v>0.19400000000000001</v>
      </c>
      <c r="L375" s="12">
        <v>1</v>
      </c>
      <c r="M375" s="12">
        <v>15</v>
      </c>
      <c r="N375" s="12">
        <v>16</v>
      </c>
      <c r="O375" s="12" t="str">
        <f>VLOOKUP(G375,calculate_field!$B$2:$C$5,2,FALSE)</f>
        <v xml:space="preserve">Mist / cloudy </v>
      </c>
      <c r="P375" s="12" t="str">
        <f t="shared" si="37"/>
        <v>Monday</v>
      </c>
      <c r="Q375" s="12" t="str">
        <f t="shared" si="38"/>
        <v>Weekday</v>
      </c>
      <c r="R375" s="12" t="str">
        <f t="shared" si="39"/>
        <v>Night</v>
      </c>
      <c r="S375" s="28" t="str">
        <f>INDEX(calculate_field!$F$2:$F$4, MATCH(H375, calculate_field!$E$2:$E$4, 1))</f>
        <v>Mild</v>
      </c>
      <c r="T375" s="33">
        <f t="shared" si="40"/>
        <v>41.083333333333336</v>
      </c>
      <c r="U375" s="33">
        <f t="shared" si="41"/>
        <v>34.639656422970617</v>
      </c>
      <c r="V375" s="33">
        <f t="shared" si="42"/>
        <v>-1.0161103686691857</v>
      </c>
      <c r="W375" s="12" t="b">
        <f t="shared" si="43"/>
        <v>0</v>
      </c>
    </row>
    <row r="376" spans="1:23">
      <c r="A376" s="26">
        <v>375</v>
      </c>
      <c r="B376" s="27">
        <v>40560</v>
      </c>
      <c r="C376" s="12">
        <v>1</v>
      </c>
      <c r="D376" s="12">
        <v>2</v>
      </c>
      <c r="E376" s="12" t="b">
        <v>1</v>
      </c>
      <c r="F376" s="12">
        <v>1</v>
      </c>
      <c r="G376" s="12">
        <v>2</v>
      </c>
      <c r="H376" s="12">
        <v>0.18</v>
      </c>
      <c r="I376" s="12">
        <v>0.16669999999999999</v>
      </c>
      <c r="J376" s="12">
        <v>0.43</v>
      </c>
      <c r="K376" s="12">
        <v>0.25369999999999998</v>
      </c>
      <c r="L376" s="12">
        <v>0</v>
      </c>
      <c r="M376" s="12">
        <v>8</v>
      </c>
      <c r="N376" s="12">
        <v>8</v>
      </c>
      <c r="O376" s="12" t="str">
        <f>VLOOKUP(G376,calculate_field!$B$2:$C$5,2,FALSE)</f>
        <v xml:space="preserve">Mist / cloudy </v>
      </c>
      <c r="P376" s="12" t="str">
        <f t="shared" si="37"/>
        <v>Monday</v>
      </c>
      <c r="Q376" s="12" t="str">
        <f t="shared" si="38"/>
        <v>Weekday</v>
      </c>
      <c r="R376" s="12" t="str">
        <f t="shared" si="39"/>
        <v>Night</v>
      </c>
      <c r="S376" s="28" t="str">
        <f>INDEX(calculate_field!$F$2:$F$4, MATCH(H376, calculate_field!$E$2:$E$4, 1))</f>
        <v>Cold</v>
      </c>
      <c r="T376" s="33">
        <f t="shared" si="40"/>
        <v>41.333333333333336</v>
      </c>
      <c r="U376" s="33">
        <f t="shared" si="41"/>
        <v>34.472000820661833</v>
      </c>
      <c r="V376" s="33">
        <f t="shared" si="42"/>
        <v>-0.71554931524957843</v>
      </c>
      <c r="W376" s="12" t="b">
        <f t="shared" si="43"/>
        <v>0</v>
      </c>
    </row>
    <row r="377" spans="1:23">
      <c r="A377" s="26">
        <v>376</v>
      </c>
      <c r="B377" s="27">
        <v>40560</v>
      </c>
      <c r="C377" s="12">
        <v>1</v>
      </c>
      <c r="D377" s="12">
        <v>3</v>
      </c>
      <c r="E377" s="12" t="b">
        <v>1</v>
      </c>
      <c r="F377" s="12">
        <v>1</v>
      </c>
      <c r="G377" s="12">
        <v>2</v>
      </c>
      <c r="H377" s="12">
        <v>0.18</v>
      </c>
      <c r="I377" s="12">
        <v>0.18179999999999999</v>
      </c>
      <c r="J377" s="12">
        <v>0.43</v>
      </c>
      <c r="K377" s="12">
        <v>0.19400000000000001</v>
      </c>
      <c r="L377" s="12">
        <v>0</v>
      </c>
      <c r="M377" s="12">
        <v>2</v>
      </c>
      <c r="N377" s="12">
        <v>2</v>
      </c>
      <c r="O377" s="12" t="str">
        <f>VLOOKUP(G377,calculate_field!$B$2:$C$5,2,FALSE)</f>
        <v xml:space="preserve">Mist / cloudy </v>
      </c>
      <c r="P377" s="12" t="str">
        <f t="shared" si="37"/>
        <v>Monday</v>
      </c>
      <c r="Q377" s="12" t="str">
        <f t="shared" si="38"/>
        <v>Weekday</v>
      </c>
      <c r="R377" s="12" t="str">
        <f t="shared" si="39"/>
        <v>Night</v>
      </c>
      <c r="S377" s="28" t="str">
        <f>INDEX(calculate_field!$F$2:$F$4, MATCH(H377, calculate_field!$E$2:$E$4, 1))</f>
        <v>Cold</v>
      </c>
      <c r="T377" s="33">
        <f t="shared" si="40"/>
        <v>42.166666666666664</v>
      </c>
      <c r="U377" s="33">
        <f t="shared" si="41"/>
        <v>33.867602406335514</v>
      </c>
      <c r="V377" s="33">
        <f t="shared" si="42"/>
        <v>-0.6449501626677675</v>
      </c>
      <c r="W377" s="12" t="b">
        <f t="shared" si="43"/>
        <v>0</v>
      </c>
    </row>
    <row r="378" spans="1:23">
      <c r="A378" s="26">
        <v>377</v>
      </c>
      <c r="B378" s="27">
        <v>40560</v>
      </c>
      <c r="C378" s="12">
        <v>1</v>
      </c>
      <c r="D378" s="12">
        <v>4</v>
      </c>
      <c r="E378" s="12" t="b">
        <v>1</v>
      </c>
      <c r="F378" s="12">
        <v>1</v>
      </c>
      <c r="G378" s="12">
        <v>2</v>
      </c>
      <c r="H378" s="12">
        <v>0.18</v>
      </c>
      <c r="I378" s="12">
        <v>0.19700000000000001</v>
      </c>
      <c r="J378" s="12">
        <v>0.43</v>
      </c>
      <c r="K378" s="12">
        <v>0.1343</v>
      </c>
      <c r="L378" s="12">
        <v>1</v>
      </c>
      <c r="M378" s="12">
        <v>2</v>
      </c>
      <c r="N378" s="12">
        <v>3</v>
      </c>
      <c r="O378" s="12" t="str">
        <f>VLOOKUP(G378,calculate_field!$B$2:$C$5,2,FALSE)</f>
        <v xml:space="preserve">Mist / cloudy </v>
      </c>
      <c r="P378" s="12" t="str">
        <f t="shared" si="37"/>
        <v>Monday</v>
      </c>
      <c r="Q378" s="12" t="str">
        <f t="shared" si="38"/>
        <v>Weekday</v>
      </c>
      <c r="R378" s="12" t="str">
        <f t="shared" si="39"/>
        <v>Night</v>
      </c>
      <c r="S378" s="28" t="str">
        <f>INDEX(calculate_field!$F$2:$F$4, MATCH(H378, calculate_field!$E$2:$E$4, 1))</f>
        <v>Cold</v>
      </c>
      <c r="T378" s="33">
        <f t="shared" si="40"/>
        <v>43.541666666666664</v>
      </c>
      <c r="U378" s="33">
        <f t="shared" si="41"/>
        <v>32.819637767477047</v>
      </c>
      <c r="V378" s="33">
        <f t="shared" si="42"/>
        <v>-0.55104064166642641</v>
      </c>
      <c r="W378" s="12" t="b">
        <f t="shared" si="43"/>
        <v>1</v>
      </c>
    </row>
    <row r="379" spans="1:23">
      <c r="A379" s="26">
        <v>378</v>
      </c>
      <c r="B379" s="27">
        <v>40560</v>
      </c>
      <c r="C379" s="12">
        <v>1</v>
      </c>
      <c r="D379" s="12">
        <v>5</v>
      </c>
      <c r="E379" s="12" t="b">
        <v>1</v>
      </c>
      <c r="F379" s="12">
        <v>1</v>
      </c>
      <c r="G379" s="12">
        <v>2</v>
      </c>
      <c r="H379" s="12">
        <v>0.18</v>
      </c>
      <c r="I379" s="12">
        <v>0.19700000000000001</v>
      </c>
      <c r="J379" s="12">
        <v>0.43</v>
      </c>
      <c r="K379" s="12">
        <v>0.16420000000000001</v>
      </c>
      <c r="L379" s="12">
        <v>0</v>
      </c>
      <c r="M379" s="12">
        <v>1</v>
      </c>
      <c r="N379" s="12">
        <v>1</v>
      </c>
      <c r="O379" s="12" t="str">
        <f>VLOOKUP(G379,calculate_field!$B$2:$C$5,2,FALSE)</f>
        <v xml:space="preserve">Mist / cloudy </v>
      </c>
      <c r="P379" s="12" t="str">
        <f t="shared" si="37"/>
        <v>Monday</v>
      </c>
      <c r="Q379" s="12" t="str">
        <f t="shared" si="38"/>
        <v>Weekday</v>
      </c>
      <c r="R379" s="12" t="str">
        <f t="shared" si="39"/>
        <v>Night</v>
      </c>
      <c r="S379" s="28" t="str">
        <f>INDEX(calculate_field!$F$2:$F$4, MATCH(H379, calculate_field!$E$2:$E$4, 1))</f>
        <v>Cold</v>
      </c>
      <c r="T379" s="33">
        <f t="shared" si="40"/>
        <v>45.958333333333336</v>
      </c>
      <c r="U379" s="33">
        <f t="shared" si="41"/>
        <v>31.824900241199799</v>
      </c>
      <c r="V379" s="33">
        <f t="shared" si="42"/>
        <v>-7.5559988570946451E-2</v>
      </c>
      <c r="W379" s="12" t="b">
        <f t="shared" si="43"/>
        <v>0</v>
      </c>
    </row>
    <row r="380" spans="1:23">
      <c r="A380" s="26">
        <v>379</v>
      </c>
      <c r="B380" s="27">
        <v>40560</v>
      </c>
      <c r="C380" s="12">
        <v>1</v>
      </c>
      <c r="D380" s="12">
        <v>6</v>
      </c>
      <c r="E380" s="12" t="b">
        <v>1</v>
      </c>
      <c r="F380" s="12">
        <v>1</v>
      </c>
      <c r="G380" s="12">
        <v>2</v>
      </c>
      <c r="H380" s="12">
        <v>0.18</v>
      </c>
      <c r="I380" s="12">
        <v>0.18179999999999999</v>
      </c>
      <c r="J380" s="12">
        <v>0.43</v>
      </c>
      <c r="K380" s="12">
        <v>0.19400000000000001</v>
      </c>
      <c r="L380" s="12">
        <v>0</v>
      </c>
      <c r="M380" s="12">
        <v>5</v>
      </c>
      <c r="N380" s="12">
        <v>5</v>
      </c>
      <c r="O380" s="12" t="str">
        <f>VLOOKUP(G380,calculate_field!$B$2:$C$5,2,FALSE)</f>
        <v xml:space="preserve">Mist / cloudy </v>
      </c>
      <c r="P380" s="12" t="str">
        <f t="shared" si="37"/>
        <v>Monday</v>
      </c>
      <c r="Q380" s="12" t="str">
        <f t="shared" si="38"/>
        <v>Weekday</v>
      </c>
      <c r="R380" s="12" t="str">
        <f t="shared" si="39"/>
        <v>Morning</v>
      </c>
      <c r="S380" s="28" t="str">
        <f>INDEX(calculate_field!$F$2:$F$4, MATCH(H380, calculate_field!$E$2:$E$4, 1))</f>
        <v>Cold</v>
      </c>
      <c r="T380" s="33">
        <f t="shared" si="40"/>
        <v>51.125</v>
      </c>
      <c r="U380" s="33">
        <f t="shared" si="41"/>
        <v>34.186588394967941</v>
      </c>
      <c r="V380" s="33">
        <f t="shared" si="42"/>
        <v>0.97553011800591249</v>
      </c>
      <c r="W380" s="12" t="b">
        <f t="shared" si="43"/>
        <v>0</v>
      </c>
    </row>
    <row r="381" spans="1:23">
      <c r="A381" s="26">
        <v>380</v>
      </c>
      <c r="B381" s="27">
        <v>40560</v>
      </c>
      <c r="C381" s="12">
        <v>1</v>
      </c>
      <c r="D381" s="12">
        <v>7</v>
      </c>
      <c r="E381" s="12" t="b">
        <v>1</v>
      </c>
      <c r="F381" s="12">
        <v>1</v>
      </c>
      <c r="G381" s="12">
        <v>2</v>
      </c>
      <c r="H381" s="12">
        <v>0.16</v>
      </c>
      <c r="I381" s="12">
        <v>0.18179999999999999</v>
      </c>
      <c r="J381" s="12">
        <v>0.5</v>
      </c>
      <c r="K381" s="12">
        <v>0.1343</v>
      </c>
      <c r="L381" s="12">
        <v>4</v>
      </c>
      <c r="M381" s="12">
        <v>9</v>
      </c>
      <c r="N381" s="12">
        <v>13</v>
      </c>
      <c r="O381" s="12" t="str">
        <f>VLOOKUP(G381,calculate_field!$B$2:$C$5,2,FALSE)</f>
        <v xml:space="preserve">Mist / cloudy </v>
      </c>
      <c r="P381" s="12" t="str">
        <f t="shared" si="37"/>
        <v>Monday</v>
      </c>
      <c r="Q381" s="12" t="str">
        <f t="shared" si="38"/>
        <v>Weekday</v>
      </c>
      <c r="R381" s="12" t="str">
        <f t="shared" si="39"/>
        <v>Morning</v>
      </c>
      <c r="S381" s="28" t="str">
        <f>INDEX(calculate_field!$F$2:$F$4, MATCH(H381, calculate_field!$E$2:$E$4, 1))</f>
        <v>Cold</v>
      </c>
      <c r="T381" s="33">
        <f t="shared" si="40"/>
        <v>56.458333333333336</v>
      </c>
      <c r="U381" s="33">
        <f t="shared" si="41"/>
        <v>36.578657553357488</v>
      </c>
      <c r="V381" s="33">
        <f t="shared" si="42"/>
        <v>1.0544339498494324</v>
      </c>
      <c r="W381" s="12" t="b">
        <f t="shared" si="43"/>
        <v>0</v>
      </c>
    </row>
    <row r="382" spans="1:23">
      <c r="A382" s="26">
        <v>381</v>
      </c>
      <c r="B382" s="27">
        <v>40560</v>
      </c>
      <c r="C382" s="12">
        <v>1</v>
      </c>
      <c r="D382" s="12">
        <v>8</v>
      </c>
      <c r="E382" s="12" t="b">
        <v>1</v>
      </c>
      <c r="F382" s="12">
        <v>1</v>
      </c>
      <c r="G382" s="12">
        <v>2</v>
      </c>
      <c r="H382" s="12">
        <v>0.16</v>
      </c>
      <c r="I382" s="12">
        <v>0.1515</v>
      </c>
      <c r="J382" s="12">
        <v>0.47</v>
      </c>
      <c r="K382" s="12">
        <v>0.22389999999999999</v>
      </c>
      <c r="L382" s="12">
        <v>3</v>
      </c>
      <c r="M382" s="12">
        <v>30</v>
      </c>
      <c r="N382" s="12">
        <v>33</v>
      </c>
      <c r="O382" s="12" t="str">
        <f>VLOOKUP(G382,calculate_field!$B$2:$C$5,2,FALSE)</f>
        <v xml:space="preserve">Mist / cloudy </v>
      </c>
      <c r="P382" s="12" t="str">
        <f t="shared" si="37"/>
        <v>Monday</v>
      </c>
      <c r="Q382" s="12" t="str">
        <f t="shared" si="38"/>
        <v>Weekday</v>
      </c>
      <c r="R382" s="12" t="str">
        <f t="shared" si="39"/>
        <v>Morning</v>
      </c>
      <c r="S382" s="28" t="str">
        <f>INDEX(calculate_field!$F$2:$F$4, MATCH(H382, calculate_field!$E$2:$E$4, 1))</f>
        <v>Cold</v>
      </c>
      <c r="T382" s="33">
        <f t="shared" si="40"/>
        <v>60.041666666666664</v>
      </c>
      <c r="U382" s="33">
        <f t="shared" si="41"/>
        <v>36.347931185272088</v>
      </c>
      <c r="V382" s="33">
        <f t="shared" si="42"/>
        <v>0.48985665803197209</v>
      </c>
      <c r="W382" s="12" t="b">
        <f t="shared" si="43"/>
        <v>0</v>
      </c>
    </row>
    <row r="383" spans="1:23">
      <c r="A383" s="26">
        <v>382</v>
      </c>
      <c r="B383" s="27">
        <v>40560</v>
      </c>
      <c r="C383" s="12">
        <v>1</v>
      </c>
      <c r="D383" s="12">
        <v>9</v>
      </c>
      <c r="E383" s="12" t="b">
        <v>1</v>
      </c>
      <c r="F383" s="12">
        <v>1</v>
      </c>
      <c r="G383" s="12">
        <v>2</v>
      </c>
      <c r="H383" s="12">
        <v>0.16</v>
      </c>
      <c r="I383" s="12">
        <v>0.1515</v>
      </c>
      <c r="J383" s="12">
        <v>0.47</v>
      </c>
      <c r="K383" s="12">
        <v>0.22389999999999999</v>
      </c>
      <c r="L383" s="12">
        <v>8</v>
      </c>
      <c r="M383" s="12">
        <v>39</v>
      </c>
      <c r="N383" s="12">
        <v>47</v>
      </c>
      <c r="O383" s="12" t="str">
        <f>VLOOKUP(G383,calculate_field!$B$2:$C$5,2,FALSE)</f>
        <v xml:space="preserve">Mist / cloudy </v>
      </c>
      <c r="P383" s="12" t="str">
        <f t="shared" si="37"/>
        <v>Monday</v>
      </c>
      <c r="Q383" s="12" t="str">
        <f t="shared" si="38"/>
        <v>Weekday</v>
      </c>
      <c r="R383" s="12" t="str">
        <f t="shared" si="39"/>
        <v>Morning</v>
      </c>
      <c r="S383" s="28" t="str">
        <f>INDEX(calculate_field!$F$2:$F$4, MATCH(H383, calculate_field!$E$2:$E$4, 1))</f>
        <v>Cold</v>
      </c>
      <c r="T383" s="33">
        <f t="shared" si="40"/>
        <v>62.125</v>
      </c>
      <c r="U383" s="33">
        <f t="shared" si="41"/>
        <v>36.163051645952478</v>
      </c>
      <c r="V383" s="33">
        <f t="shared" si="42"/>
        <v>0.2278919034636778</v>
      </c>
      <c r="W383" s="12" t="b">
        <f t="shared" si="43"/>
        <v>0</v>
      </c>
    </row>
    <row r="384" spans="1:23">
      <c r="A384" s="26">
        <v>383</v>
      </c>
      <c r="B384" s="27">
        <v>40560</v>
      </c>
      <c r="C384" s="12">
        <v>1</v>
      </c>
      <c r="D384" s="12">
        <v>10</v>
      </c>
      <c r="E384" s="12" t="b">
        <v>1</v>
      </c>
      <c r="F384" s="12">
        <v>1</v>
      </c>
      <c r="G384" s="12">
        <v>2</v>
      </c>
      <c r="H384" s="12">
        <v>0.16</v>
      </c>
      <c r="I384" s="12">
        <v>0.1515</v>
      </c>
      <c r="J384" s="12">
        <v>0.5</v>
      </c>
      <c r="K384" s="12">
        <v>0.25369999999999998</v>
      </c>
      <c r="L384" s="12">
        <v>7</v>
      </c>
      <c r="M384" s="12">
        <v>50</v>
      </c>
      <c r="N384" s="12">
        <v>57</v>
      </c>
      <c r="O384" s="12" t="str">
        <f>VLOOKUP(G384,calculate_field!$B$2:$C$5,2,FALSE)</f>
        <v xml:space="preserve">Mist / cloudy </v>
      </c>
      <c r="P384" s="12" t="str">
        <f t="shared" si="37"/>
        <v>Monday</v>
      </c>
      <c r="Q384" s="12" t="str">
        <f t="shared" si="38"/>
        <v>Weekday</v>
      </c>
      <c r="R384" s="12" t="str">
        <f t="shared" si="39"/>
        <v>Morning</v>
      </c>
      <c r="S384" s="28" t="str">
        <f>INDEX(calculate_field!$F$2:$F$4, MATCH(H384, calculate_field!$E$2:$E$4, 1))</f>
        <v>Cold</v>
      </c>
      <c r="T384" s="33">
        <f t="shared" si="40"/>
        <v>61.875</v>
      </c>
      <c r="U384" s="33">
        <f t="shared" si="41"/>
        <v>36.292666045575274</v>
      </c>
      <c r="V384" s="33">
        <f t="shared" si="42"/>
        <v>-0.49338741634711808</v>
      </c>
      <c r="W384" s="12" t="b">
        <f t="shared" si="43"/>
        <v>0</v>
      </c>
    </row>
    <row r="385" spans="1:23">
      <c r="A385" s="26">
        <v>384</v>
      </c>
      <c r="B385" s="27">
        <v>40560</v>
      </c>
      <c r="C385" s="12">
        <v>1</v>
      </c>
      <c r="D385" s="12">
        <v>11</v>
      </c>
      <c r="E385" s="12" t="b">
        <v>1</v>
      </c>
      <c r="F385" s="12">
        <v>1</v>
      </c>
      <c r="G385" s="12">
        <v>2</v>
      </c>
      <c r="H385" s="12">
        <v>0.16</v>
      </c>
      <c r="I385" s="12">
        <v>0.1515</v>
      </c>
      <c r="J385" s="12">
        <v>0.55000000000000004</v>
      </c>
      <c r="K385" s="12">
        <v>0.19400000000000001</v>
      </c>
      <c r="L385" s="12">
        <v>9</v>
      </c>
      <c r="M385" s="12">
        <v>55</v>
      </c>
      <c r="N385" s="12">
        <v>64</v>
      </c>
      <c r="O385" s="12" t="str">
        <f>VLOOKUP(G385,calculate_field!$B$2:$C$5,2,FALSE)</f>
        <v xml:space="preserve">Mist / cloudy </v>
      </c>
      <c r="P385" s="12" t="str">
        <f t="shared" si="37"/>
        <v>Monday</v>
      </c>
      <c r="Q385" s="12" t="str">
        <f t="shared" si="38"/>
        <v>Weekday</v>
      </c>
      <c r="R385" s="12" t="str">
        <f t="shared" si="39"/>
        <v>Morning</v>
      </c>
      <c r="S385" s="28" t="str">
        <f>INDEX(calculate_field!$F$2:$F$4, MATCH(H385, calculate_field!$E$2:$E$4, 1))</f>
        <v>Cold</v>
      </c>
      <c r="T385" s="33">
        <f t="shared" si="40"/>
        <v>60.875</v>
      </c>
      <c r="U385" s="33">
        <f t="shared" si="41"/>
        <v>36.760461391815127</v>
      </c>
      <c r="V385" s="33">
        <f t="shared" si="42"/>
        <v>-0.65040878328151697</v>
      </c>
      <c r="W385" s="12" t="b">
        <f t="shared" si="43"/>
        <v>0</v>
      </c>
    </row>
    <row r="386" spans="1:23">
      <c r="A386" s="26">
        <v>385</v>
      </c>
      <c r="B386" s="27">
        <v>40560</v>
      </c>
      <c r="C386" s="12">
        <v>1</v>
      </c>
      <c r="D386" s="12">
        <v>12</v>
      </c>
      <c r="E386" s="12" t="b">
        <v>1</v>
      </c>
      <c r="F386" s="12">
        <v>1</v>
      </c>
      <c r="G386" s="12">
        <v>2</v>
      </c>
      <c r="H386" s="12">
        <v>0.18</v>
      </c>
      <c r="I386" s="12">
        <v>0.19700000000000001</v>
      </c>
      <c r="J386" s="12">
        <v>0.47</v>
      </c>
      <c r="K386" s="12">
        <v>0.1343</v>
      </c>
      <c r="L386" s="12">
        <v>10</v>
      </c>
      <c r="M386" s="12">
        <v>70</v>
      </c>
      <c r="N386" s="12">
        <v>80</v>
      </c>
      <c r="O386" s="12" t="str">
        <f>VLOOKUP(G386,calculate_field!$B$2:$C$5,2,FALSE)</f>
        <v xml:space="preserve">Mist / cloudy </v>
      </c>
      <c r="P386" s="12" t="str">
        <f t="shared" ref="P386:P449" si="44">CHOOSE(F386+1,"Sunday","Monday","Tuesday","Wednesday","Thursday","Friday","Saturday")</f>
        <v>Monday</v>
      </c>
      <c r="Q386" s="12" t="str">
        <f t="shared" ref="Q386:Q449" si="45">IF(OR(F386=0,F386=6),"Weekend","Weekday")</f>
        <v>Weekday</v>
      </c>
      <c r="R386" s="12" t="str">
        <f t="shared" ref="R386:R449" si="46">IF(D386&lt;6,"Night",IF(D386&lt;12,"Morning",IF(D386&lt;17,"Afternoon",IF(D386&lt;21,"Evening","Night"))))</f>
        <v>Afternoon</v>
      </c>
      <c r="S386" s="28" t="str">
        <f>INDEX(calculate_field!$F$2:$F$4, MATCH(H386, calculate_field!$E$2:$E$4, 1))</f>
        <v>Cold</v>
      </c>
      <c r="T386" s="33">
        <f t="shared" ref="T386:T449" si="47">AVERAGE(N386:N409)</f>
        <v>59.041666666666664</v>
      </c>
      <c r="U386" s="33">
        <f t="shared" ref="U386:U449" si="48">_xlfn.STDEV.S(N386:N409)</f>
        <v>37.683440218040957</v>
      </c>
      <c r="V386" s="33">
        <f t="shared" ref="V386:V449" si="49">(N409-T409)/U409</f>
        <v>-0.87421747381356907</v>
      </c>
      <c r="W386" s="12" t="b">
        <f t="shared" ref="W386:W449" si="50">IFERROR(ABS(V402)&gt;1.5,FALSE)</f>
        <v>0</v>
      </c>
    </row>
    <row r="387" spans="1:23">
      <c r="A387" s="26">
        <v>386</v>
      </c>
      <c r="B387" s="27">
        <v>40560</v>
      </c>
      <c r="C387" s="12">
        <v>1</v>
      </c>
      <c r="D387" s="12">
        <v>13</v>
      </c>
      <c r="E387" s="12" t="b">
        <v>1</v>
      </c>
      <c r="F387" s="12">
        <v>1</v>
      </c>
      <c r="G387" s="12">
        <v>2</v>
      </c>
      <c r="H387" s="12">
        <v>0.18</v>
      </c>
      <c r="I387" s="12">
        <v>0.19700000000000001</v>
      </c>
      <c r="J387" s="12">
        <v>0.47</v>
      </c>
      <c r="K387" s="12">
        <v>0.1343</v>
      </c>
      <c r="L387" s="12">
        <v>13</v>
      </c>
      <c r="M387" s="12">
        <v>80</v>
      </c>
      <c r="N387" s="12">
        <v>93</v>
      </c>
      <c r="O387" s="12" t="str">
        <f>VLOOKUP(G387,calculate_field!$B$2:$C$5,2,FALSE)</f>
        <v xml:space="preserve">Mist / cloudy </v>
      </c>
      <c r="P387" s="12" t="str">
        <f t="shared" si="44"/>
        <v>Monday</v>
      </c>
      <c r="Q387" s="12" t="str">
        <f t="shared" si="45"/>
        <v>Weekday</v>
      </c>
      <c r="R387" s="12" t="str">
        <f t="shared" si="46"/>
        <v>Afternoon</v>
      </c>
      <c r="S387" s="28" t="str">
        <f>INDEX(calculate_field!$F$2:$F$4, MATCH(H387, calculate_field!$E$2:$E$4, 1))</f>
        <v>Cold</v>
      </c>
      <c r="T387" s="33">
        <f t="shared" si="47"/>
        <v>55.833333333333336</v>
      </c>
      <c r="U387" s="33">
        <f t="shared" si="48"/>
        <v>39.073694772678017</v>
      </c>
      <c r="V387" s="33">
        <f t="shared" si="49"/>
        <v>-1.16299645697133</v>
      </c>
      <c r="W387" s="12" t="b">
        <f t="shared" si="50"/>
        <v>1</v>
      </c>
    </row>
    <row r="388" spans="1:23">
      <c r="A388" s="26">
        <v>387</v>
      </c>
      <c r="B388" s="27">
        <v>40560</v>
      </c>
      <c r="C388" s="12">
        <v>1</v>
      </c>
      <c r="D388" s="12">
        <v>14</v>
      </c>
      <c r="E388" s="12" t="b">
        <v>1</v>
      </c>
      <c r="F388" s="12">
        <v>1</v>
      </c>
      <c r="G388" s="12">
        <v>2</v>
      </c>
      <c r="H388" s="12">
        <v>0.18</v>
      </c>
      <c r="I388" s="12">
        <v>0.21210000000000001</v>
      </c>
      <c r="J388" s="12">
        <v>0.43</v>
      </c>
      <c r="K388" s="12">
        <v>0.1045</v>
      </c>
      <c r="L388" s="12">
        <v>12</v>
      </c>
      <c r="M388" s="12">
        <v>74</v>
      </c>
      <c r="N388" s="12">
        <v>86</v>
      </c>
      <c r="O388" s="12" t="str">
        <f>VLOOKUP(G388,calculate_field!$B$2:$C$5,2,FALSE)</f>
        <v xml:space="preserve">Mist / cloudy </v>
      </c>
      <c r="P388" s="12" t="str">
        <f t="shared" si="44"/>
        <v>Monday</v>
      </c>
      <c r="Q388" s="12" t="str">
        <f t="shared" si="45"/>
        <v>Weekday</v>
      </c>
      <c r="R388" s="12" t="str">
        <f t="shared" si="46"/>
        <v>Afternoon</v>
      </c>
      <c r="S388" s="28" t="str">
        <f>INDEX(calculate_field!$F$2:$F$4, MATCH(H388, calculate_field!$E$2:$E$4, 1))</f>
        <v>Cold</v>
      </c>
      <c r="T388" s="33">
        <f t="shared" si="47"/>
        <v>52.25</v>
      </c>
      <c r="U388" s="33">
        <f t="shared" si="48"/>
        <v>39.458563847022681</v>
      </c>
      <c r="V388" s="33">
        <f t="shared" si="49"/>
        <v>-1.0962023407477866</v>
      </c>
      <c r="W388" s="12" t="b">
        <f t="shared" si="50"/>
        <v>0</v>
      </c>
    </row>
    <row r="389" spans="1:23">
      <c r="A389" s="26">
        <v>388</v>
      </c>
      <c r="B389" s="27">
        <v>40560</v>
      </c>
      <c r="C389" s="12">
        <v>1</v>
      </c>
      <c r="D389" s="12">
        <v>15</v>
      </c>
      <c r="E389" s="12" t="b">
        <v>1</v>
      </c>
      <c r="F389" s="12">
        <v>1</v>
      </c>
      <c r="G389" s="12">
        <v>2</v>
      </c>
      <c r="H389" s="12">
        <v>0.2</v>
      </c>
      <c r="I389" s="12">
        <v>0.21210000000000001</v>
      </c>
      <c r="J389" s="12">
        <v>0.47</v>
      </c>
      <c r="K389" s="12">
        <v>0.16420000000000001</v>
      </c>
      <c r="L389" s="12">
        <v>21</v>
      </c>
      <c r="M389" s="12">
        <v>72</v>
      </c>
      <c r="N389" s="12">
        <v>93</v>
      </c>
      <c r="O389" s="12" t="str">
        <f>VLOOKUP(G389,calculate_field!$B$2:$C$5,2,FALSE)</f>
        <v xml:space="preserve">Mist / cloudy </v>
      </c>
      <c r="P389" s="12" t="str">
        <f t="shared" si="44"/>
        <v>Monday</v>
      </c>
      <c r="Q389" s="12" t="str">
        <f t="shared" si="45"/>
        <v>Weekday</v>
      </c>
      <c r="R389" s="12" t="str">
        <f t="shared" si="46"/>
        <v>Afternoon</v>
      </c>
      <c r="S389" s="28" t="str">
        <f>INDEX(calculate_field!$F$2:$F$4, MATCH(H389, calculate_field!$E$2:$E$4, 1))</f>
        <v>Mild</v>
      </c>
      <c r="T389" s="33">
        <f t="shared" si="47"/>
        <v>48.791666666666664</v>
      </c>
      <c r="U389" s="33">
        <f t="shared" si="48"/>
        <v>40.005411771590261</v>
      </c>
      <c r="V389" s="33">
        <f t="shared" si="49"/>
        <v>-1.1578142088375363</v>
      </c>
      <c r="W389" s="12" t="b">
        <f t="shared" si="50"/>
        <v>0</v>
      </c>
    </row>
    <row r="390" spans="1:23">
      <c r="A390" s="26">
        <v>389</v>
      </c>
      <c r="B390" s="27">
        <v>40560</v>
      </c>
      <c r="C390" s="12">
        <v>1</v>
      </c>
      <c r="D390" s="12">
        <v>16</v>
      </c>
      <c r="E390" s="12" t="b">
        <v>1</v>
      </c>
      <c r="F390" s="12">
        <v>1</v>
      </c>
      <c r="G390" s="12">
        <v>2</v>
      </c>
      <c r="H390" s="12">
        <v>0.2</v>
      </c>
      <c r="I390" s="12">
        <v>0.21210000000000001</v>
      </c>
      <c r="J390" s="12">
        <v>0.47</v>
      </c>
      <c r="K390" s="12">
        <v>0.16420000000000001</v>
      </c>
      <c r="L390" s="12">
        <v>6</v>
      </c>
      <c r="M390" s="12">
        <v>76</v>
      </c>
      <c r="N390" s="12">
        <v>82</v>
      </c>
      <c r="O390" s="12" t="str">
        <f>VLOOKUP(G390,calculate_field!$B$2:$C$5,2,FALSE)</f>
        <v xml:space="preserve">Mist / cloudy </v>
      </c>
      <c r="P390" s="12" t="str">
        <f t="shared" si="44"/>
        <v>Monday</v>
      </c>
      <c r="Q390" s="12" t="str">
        <f t="shared" si="45"/>
        <v>Weekday</v>
      </c>
      <c r="R390" s="12" t="str">
        <f t="shared" si="46"/>
        <v>Afternoon</v>
      </c>
      <c r="S390" s="28" t="str">
        <f>INDEX(calculate_field!$F$2:$F$4, MATCH(H390, calculate_field!$E$2:$E$4, 1))</f>
        <v>Mild</v>
      </c>
      <c r="T390" s="33">
        <f t="shared" si="47"/>
        <v>45</v>
      </c>
      <c r="U390" s="33">
        <f t="shared" si="48"/>
        <v>39.945615202585671</v>
      </c>
      <c r="V390" s="33">
        <f t="shared" si="49"/>
        <v>-1.1717620905111688</v>
      </c>
      <c r="W390" s="12" t="b">
        <f t="shared" si="50"/>
        <v>0</v>
      </c>
    </row>
    <row r="391" spans="1:23">
      <c r="A391" s="26">
        <v>390</v>
      </c>
      <c r="B391" s="27">
        <v>40560</v>
      </c>
      <c r="C391" s="12">
        <v>1</v>
      </c>
      <c r="D391" s="12">
        <v>17</v>
      </c>
      <c r="E391" s="12" t="b">
        <v>1</v>
      </c>
      <c r="F391" s="12">
        <v>1</v>
      </c>
      <c r="G391" s="12">
        <v>1</v>
      </c>
      <c r="H391" s="12">
        <v>0.2</v>
      </c>
      <c r="I391" s="12">
        <v>0.19700000000000001</v>
      </c>
      <c r="J391" s="12">
        <v>0.51</v>
      </c>
      <c r="K391" s="12">
        <v>0.19400000000000001</v>
      </c>
      <c r="L391" s="12">
        <v>4</v>
      </c>
      <c r="M391" s="12">
        <v>67</v>
      </c>
      <c r="N391" s="12">
        <v>71</v>
      </c>
      <c r="O391" s="12" t="str">
        <f>VLOOKUP(G391,calculate_field!$B$2:$C$5,2,FALSE)</f>
        <v>Clear/Partly Cloudy</v>
      </c>
      <c r="P391" s="12" t="str">
        <f t="shared" si="44"/>
        <v>Monday</v>
      </c>
      <c r="Q391" s="12" t="str">
        <f t="shared" si="45"/>
        <v>Weekday</v>
      </c>
      <c r="R391" s="12" t="str">
        <f t="shared" si="46"/>
        <v>Evening</v>
      </c>
      <c r="S391" s="28" t="str">
        <f>INDEX(calculate_field!$F$2:$F$4, MATCH(H391, calculate_field!$E$2:$E$4, 1))</f>
        <v>Mild</v>
      </c>
      <c r="T391" s="33">
        <f t="shared" si="47"/>
        <v>41.875</v>
      </c>
      <c r="U391" s="33">
        <f t="shared" si="48"/>
        <v>39.858786058872347</v>
      </c>
      <c r="V391" s="33">
        <f t="shared" si="49"/>
        <v>-1.0827280263030075</v>
      </c>
      <c r="W391" s="12" t="b">
        <f t="shared" si="50"/>
        <v>0</v>
      </c>
    </row>
    <row r="392" spans="1:23">
      <c r="A392" s="26">
        <v>391</v>
      </c>
      <c r="B392" s="27">
        <v>40560</v>
      </c>
      <c r="C392" s="12">
        <v>1</v>
      </c>
      <c r="D392" s="12">
        <v>18</v>
      </c>
      <c r="E392" s="12" t="b">
        <v>1</v>
      </c>
      <c r="F392" s="12">
        <v>1</v>
      </c>
      <c r="G392" s="12">
        <v>2</v>
      </c>
      <c r="H392" s="12">
        <v>0.18</v>
      </c>
      <c r="I392" s="12">
        <v>0.16669999999999999</v>
      </c>
      <c r="J392" s="12">
        <v>0.55000000000000004</v>
      </c>
      <c r="K392" s="12">
        <v>0.25369999999999998</v>
      </c>
      <c r="L392" s="12">
        <v>7</v>
      </c>
      <c r="M392" s="12">
        <v>85</v>
      </c>
      <c r="N392" s="12">
        <v>92</v>
      </c>
      <c r="O392" s="12" t="str">
        <f>VLOOKUP(G392,calculate_field!$B$2:$C$5,2,FALSE)</f>
        <v xml:space="preserve">Mist / cloudy </v>
      </c>
      <c r="P392" s="12" t="str">
        <f t="shared" si="44"/>
        <v>Monday</v>
      </c>
      <c r="Q392" s="12" t="str">
        <f t="shared" si="45"/>
        <v>Weekday</v>
      </c>
      <c r="R392" s="12" t="str">
        <f t="shared" si="46"/>
        <v>Evening</v>
      </c>
      <c r="S392" s="28" t="str">
        <f>INDEX(calculate_field!$F$2:$F$4, MATCH(H392, calculate_field!$E$2:$E$4, 1))</f>
        <v>Cold</v>
      </c>
      <c r="T392" s="33">
        <f t="shared" si="47"/>
        <v>40.25</v>
      </c>
      <c r="U392" s="33">
        <f t="shared" si="48"/>
        <v>39.412258079898464</v>
      </c>
      <c r="V392" s="33">
        <f t="shared" si="49"/>
        <v>-0.64517629037848512</v>
      </c>
      <c r="W392" s="12" t="b">
        <f t="shared" si="50"/>
        <v>0</v>
      </c>
    </row>
    <row r="393" spans="1:23">
      <c r="A393" s="26">
        <v>392</v>
      </c>
      <c r="B393" s="27">
        <v>40560</v>
      </c>
      <c r="C393" s="12">
        <v>1</v>
      </c>
      <c r="D393" s="12">
        <v>19</v>
      </c>
      <c r="E393" s="12" t="b">
        <v>1</v>
      </c>
      <c r="F393" s="12">
        <v>1</v>
      </c>
      <c r="G393" s="12">
        <v>3</v>
      </c>
      <c r="H393" s="12">
        <v>0.18</v>
      </c>
      <c r="I393" s="12">
        <v>0.18179999999999999</v>
      </c>
      <c r="J393" s="12">
        <v>0.59</v>
      </c>
      <c r="K393" s="12">
        <v>0.19400000000000001</v>
      </c>
      <c r="L393" s="12">
        <v>2</v>
      </c>
      <c r="M393" s="12">
        <v>58</v>
      </c>
      <c r="N393" s="12">
        <v>60</v>
      </c>
      <c r="O393" s="12" t="str">
        <f>VLOOKUP(G393,calculate_field!$B$2:$C$5,2,FALSE)</f>
        <v xml:space="preserve">Light Snow / Rain </v>
      </c>
      <c r="P393" s="12" t="str">
        <f t="shared" si="44"/>
        <v>Monday</v>
      </c>
      <c r="Q393" s="12" t="str">
        <f t="shared" si="45"/>
        <v>Weekday</v>
      </c>
      <c r="R393" s="12" t="str">
        <f t="shared" si="46"/>
        <v>Evening</v>
      </c>
      <c r="S393" s="28" t="str">
        <f>INDEX(calculate_field!$F$2:$F$4, MATCH(H393, calculate_field!$E$2:$E$4, 1))</f>
        <v>Cold</v>
      </c>
      <c r="T393" s="33">
        <f t="shared" si="47"/>
        <v>40.166666666666664</v>
      </c>
      <c r="U393" s="33">
        <f t="shared" si="48"/>
        <v>39.300035033358284</v>
      </c>
      <c r="V393" s="33">
        <f t="shared" si="49"/>
        <v>0.36451596067968828</v>
      </c>
      <c r="W393" s="12" t="b">
        <f t="shared" si="50"/>
        <v>0</v>
      </c>
    </row>
    <row r="394" spans="1:23">
      <c r="A394" s="26">
        <v>393</v>
      </c>
      <c r="B394" s="27">
        <v>40560</v>
      </c>
      <c r="C394" s="12">
        <v>1</v>
      </c>
      <c r="D394" s="12">
        <v>20</v>
      </c>
      <c r="E394" s="12" t="b">
        <v>1</v>
      </c>
      <c r="F394" s="12">
        <v>1</v>
      </c>
      <c r="G394" s="12">
        <v>3</v>
      </c>
      <c r="H394" s="12">
        <v>0.16</v>
      </c>
      <c r="I394" s="12">
        <v>0.1515</v>
      </c>
      <c r="J394" s="12">
        <v>0.8</v>
      </c>
      <c r="K394" s="12">
        <v>0.19400000000000001</v>
      </c>
      <c r="L394" s="12">
        <v>4</v>
      </c>
      <c r="M394" s="12">
        <v>29</v>
      </c>
      <c r="N394" s="12">
        <v>33</v>
      </c>
      <c r="O394" s="12" t="str">
        <f>VLOOKUP(G394,calculate_field!$B$2:$C$5,2,FALSE)</f>
        <v xml:space="preserve">Light Snow / Rain </v>
      </c>
      <c r="P394" s="12" t="str">
        <f t="shared" si="44"/>
        <v>Monday</v>
      </c>
      <c r="Q394" s="12" t="str">
        <f t="shared" si="45"/>
        <v>Weekday</v>
      </c>
      <c r="R394" s="12" t="str">
        <f t="shared" si="46"/>
        <v>Evening</v>
      </c>
      <c r="S394" s="28" t="str">
        <f>INDEX(calculate_field!$F$2:$F$4, MATCH(H394, calculate_field!$E$2:$E$4, 1))</f>
        <v>Cold</v>
      </c>
      <c r="T394" s="33">
        <f t="shared" si="47"/>
        <v>45.875</v>
      </c>
      <c r="U394" s="33">
        <f t="shared" si="48"/>
        <v>50.624201550332579</v>
      </c>
      <c r="V394" s="33">
        <f t="shared" si="49"/>
        <v>2.2164946882709118</v>
      </c>
      <c r="W394" s="12" t="b">
        <f t="shared" si="50"/>
        <v>0</v>
      </c>
    </row>
    <row r="395" spans="1:23">
      <c r="A395" s="26">
        <v>394</v>
      </c>
      <c r="B395" s="27">
        <v>40560</v>
      </c>
      <c r="C395" s="12">
        <v>1</v>
      </c>
      <c r="D395" s="12">
        <v>21</v>
      </c>
      <c r="E395" s="12" t="b">
        <v>1</v>
      </c>
      <c r="F395" s="12">
        <v>1</v>
      </c>
      <c r="G395" s="12">
        <v>3</v>
      </c>
      <c r="H395" s="12">
        <v>0.16</v>
      </c>
      <c r="I395" s="12">
        <v>0.1515</v>
      </c>
      <c r="J395" s="12">
        <v>0.8</v>
      </c>
      <c r="K395" s="12">
        <v>0.19400000000000001</v>
      </c>
      <c r="L395" s="12">
        <v>3</v>
      </c>
      <c r="M395" s="12">
        <v>24</v>
      </c>
      <c r="N395" s="12">
        <v>27</v>
      </c>
      <c r="O395" s="12" t="str">
        <f>VLOOKUP(G395,calculate_field!$B$2:$C$5,2,FALSE)</f>
        <v xml:space="preserve">Light Snow / Rain </v>
      </c>
      <c r="P395" s="12" t="str">
        <f t="shared" si="44"/>
        <v>Monday</v>
      </c>
      <c r="Q395" s="12" t="str">
        <f t="shared" si="45"/>
        <v>Weekday</v>
      </c>
      <c r="R395" s="12" t="str">
        <f t="shared" si="46"/>
        <v>Night</v>
      </c>
      <c r="S395" s="28" t="str">
        <f>INDEX(calculate_field!$F$2:$F$4, MATCH(H395, calculate_field!$E$2:$E$4, 1))</f>
        <v>Cold</v>
      </c>
      <c r="T395" s="33">
        <f t="shared" si="47"/>
        <v>49.041666666666664</v>
      </c>
      <c r="U395" s="33">
        <f t="shared" si="48"/>
        <v>52.138176922036919</v>
      </c>
      <c r="V395" s="33">
        <f t="shared" si="49"/>
        <v>0.58945975740363266</v>
      </c>
      <c r="W395" s="12" t="b">
        <f t="shared" si="50"/>
        <v>0</v>
      </c>
    </row>
    <row r="396" spans="1:23">
      <c r="A396" s="26">
        <v>395</v>
      </c>
      <c r="B396" s="27">
        <v>40560</v>
      </c>
      <c r="C396" s="12">
        <v>1</v>
      </c>
      <c r="D396" s="12">
        <v>22</v>
      </c>
      <c r="E396" s="12" t="b">
        <v>1</v>
      </c>
      <c r="F396" s="12">
        <v>1</v>
      </c>
      <c r="G396" s="12">
        <v>3</v>
      </c>
      <c r="H396" s="12">
        <v>0.14000000000000001</v>
      </c>
      <c r="I396" s="12">
        <v>0.1212</v>
      </c>
      <c r="J396" s="12">
        <v>0.93</v>
      </c>
      <c r="K396" s="12">
        <v>0.25369999999999998</v>
      </c>
      <c r="L396" s="12">
        <v>0</v>
      </c>
      <c r="M396" s="12">
        <v>13</v>
      </c>
      <c r="N396" s="12">
        <v>13</v>
      </c>
      <c r="O396" s="12" t="str">
        <f>VLOOKUP(G396,calculate_field!$B$2:$C$5,2,FALSE)</f>
        <v xml:space="preserve">Light Snow / Rain </v>
      </c>
      <c r="P396" s="12" t="str">
        <f t="shared" si="44"/>
        <v>Monday</v>
      </c>
      <c r="Q396" s="12" t="str">
        <f t="shared" si="45"/>
        <v>Weekday</v>
      </c>
      <c r="R396" s="12" t="str">
        <f t="shared" si="46"/>
        <v>Night</v>
      </c>
      <c r="S396" s="28" t="str">
        <f>INDEX(calculate_field!$F$2:$F$4, MATCH(H396, calculate_field!$E$2:$E$4, 1))</f>
        <v>Cold</v>
      </c>
      <c r="T396" s="33">
        <f t="shared" si="47"/>
        <v>49.875</v>
      </c>
      <c r="U396" s="33">
        <f t="shared" si="48"/>
        <v>51.929980031644114</v>
      </c>
      <c r="V396" s="33">
        <f t="shared" si="49"/>
        <v>-0.40610177656212265</v>
      </c>
      <c r="W396" s="12" t="b">
        <f t="shared" si="50"/>
        <v>0</v>
      </c>
    </row>
    <row r="397" spans="1:23">
      <c r="A397" s="26">
        <v>396</v>
      </c>
      <c r="B397" s="27">
        <v>40560</v>
      </c>
      <c r="C397" s="12">
        <v>1</v>
      </c>
      <c r="D397" s="12">
        <v>23</v>
      </c>
      <c r="E397" s="12" t="b">
        <v>1</v>
      </c>
      <c r="F397" s="12">
        <v>1</v>
      </c>
      <c r="G397" s="12">
        <v>3</v>
      </c>
      <c r="H397" s="12">
        <v>0.16</v>
      </c>
      <c r="I397" s="12">
        <v>0.13639999999999999</v>
      </c>
      <c r="J397" s="12">
        <v>0.86</v>
      </c>
      <c r="K397" s="12">
        <v>0.28360000000000002</v>
      </c>
      <c r="L397" s="12">
        <v>1</v>
      </c>
      <c r="M397" s="12">
        <v>3</v>
      </c>
      <c r="N397" s="12">
        <v>4</v>
      </c>
      <c r="O397" s="12" t="str">
        <f>VLOOKUP(G397,calculate_field!$B$2:$C$5,2,FALSE)</f>
        <v xml:space="preserve">Light Snow / Rain </v>
      </c>
      <c r="P397" s="12" t="str">
        <f t="shared" si="44"/>
        <v>Monday</v>
      </c>
      <c r="Q397" s="12" t="str">
        <f t="shared" si="45"/>
        <v>Weekday</v>
      </c>
      <c r="R397" s="12" t="str">
        <f t="shared" si="46"/>
        <v>Night</v>
      </c>
      <c r="S397" s="28" t="str">
        <f>INDEX(calculate_field!$F$2:$F$4, MATCH(H397, calculate_field!$E$2:$E$4, 1))</f>
        <v>Cold</v>
      </c>
      <c r="T397" s="33">
        <f t="shared" si="47"/>
        <v>51.5</v>
      </c>
      <c r="U397" s="33">
        <f t="shared" si="48"/>
        <v>51.332674567578003</v>
      </c>
      <c r="V397" s="33">
        <f t="shared" si="49"/>
        <v>-0.3357216455759458</v>
      </c>
      <c r="W397" s="12" t="b">
        <f t="shared" si="50"/>
        <v>0</v>
      </c>
    </row>
    <row r="398" spans="1:23">
      <c r="A398" s="26">
        <v>397</v>
      </c>
      <c r="B398" s="27">
        <v>40561</v>
      </c>
      <c r="C398" s="12">
        <v>1</v>
      </c>
      <c r="D398" s="12">
        <v>12</v>
      </c>
      <c r="E398" s="12" t="b">
        <v>0</v>
      </c>
      <c r="F398" s="12">
        <v>2</v>
      </c>
      <c r="G398" s="12">
        <v>2</v>
      </c>
      <c r="H398" s="12">
        <v>0.2</v>
      </c>
      <c r="I398" s="12">
        <v>0.18179999999999999</v>
      </c>
      <c r="J398" s="12">
        <v>0.86</v>
      </c>
      <c r="K398" s="12">
        <v>0.32840000000000003</v>
      </c>
      <c r="L398" s="12">
        <v>0</v>
      </c>
      <c r="M398" s="12">
        <v>3</v>
      </c>
      <c r="N398" s="12">
        <v>3</v>
      </c>
      <c r="O398" s="12" t="str">
        <f>VLOOKUP(G398,calculate_field!$B$2:$C$5,2,FALSE)</f>
        <v xml:space="preserve">Mist / cloudy </v>
      </c>
      <c r="P398" s="12" t="str">
        <f t="shared" si="44"/>
        <v>Tuesday</v>
      </c>
      <c r="Q398" s="12" t="str">
        <f t="shared" si="45"/>
        <v>Weekday</v>
      </c>
      <c r="R398" s="12" t="str">
        <f t="shared" si="46"/>
        <v>Afternoon</v>
      </c>
      <c r="S398" s="28" t="str">
        <f>INDEX(calculate_field!$F$2:$F$4, MATCH(H398, calculate_field!$E$2:$E$4, 1))</f>
        <v>Mild</v>
      </c>
      <c r="T398" s="33">
        <f t="shared" si="47"/>
        <v>54.25</v>
      </c>
      <c r="U398" s="33">
        <f t="shared" si="48"/>
        <v>50.437434338085595</v>
      </c>
      <c r="V398" s="33">
        <f t="shared" si="49"/>
        <v>-6.6262742809528236E-2</v>
      </c>
      <c r="W398" s="12" t="b">
        <f t="shared" si="50"/>
        <v>0</v>
      </c>
    </row>
    <row r="399" spans="1:23">
      <c r="A399" s="26">
        <v>398</v>
      </c>
      <c r="B399" s="27">
        <v>40561</v>
      </c>
      <c r="C399" s="12">
        <v>1</v>
      </c>
      <c r="D399" s="12">
        <v>13</v>
      </c>
      <c r="E399" s="12" t="b">
        <v>0</v>
      </c>
      <c r="F399" s="12">
        <v>2</v>
      </c>
      <c r="G399" s="12">
        <v>2</v>
      </c>
      <c r="H399" s="12">
        <v>0.2</v>
      </c>
      <c r="I399" s="12">
        <v>0.19700000000000001</v>
      </c>
      <c r="J399" s="12">
        <v>0.86</v>
      </c>
      <c r="K399" s="12">
        <v>0.22389999999999999</v>
      </c>
      <c r="L399" s="12">
        <v>0</v>
      </c>
      <c r="M399" s="12">
        <v>22</v>
      </c>
      <c r="N399" s="12">
        <v>22</v>
      </c>
      <c r="O399" s="12" t="str">
        <f>VLOOKUP(G399,calculate_field!$B$2:$C$5,2,FALSE)</f>
        <v xml:space="preserve">Mist / cloudy </v>
      </c>
      <c r="P399" s="12" t="str">
        <f t="shared" si="44"/>
        <v>Tuesday</v>
      </c>
      <c r="Q399" s="12" t="str">
        <f t="shared" si="45"/>
        <v>Weekday</v>
      </c>
      <c r="R399" s="12" t="str">
        <f t="shared" si="46"/>
        <v>Afternoon</v>
      </c>
      <c r="S399" s="28" t="str">
        <f>INDEX(calculate_field!$F$2:$F$4, MATCH(H399, calculate_field!$E$2:$E$4, 1))</f>
        <v>Mild</v>
      </c>
      <c r="T399" s="33">
        <f t="shared" si="47"/>
        <v>57.375</v>
      </c>
      <c r="U399" s="33">
        <f t="shared" si="48"/>
        <v>49.437542942321812</v>
      </c>
      <c r="V399" s="33">
        <f t="shared" si="49"/>
        <v>4.9354290425667316E-2</v>
      </c>
      <c r="W399" s="12" t="b">
        <f t="shared" si="50"/>
        <v>0</v>
      </c>
    </row>
    <row r="400" spans="1:23">
      <c r="A400" s="26">
        <v>399</v>
      </c>
      <c r="B400" s="27">
        <v>40561</v>
      </c>
      <c r="C400" s="12">
        <v>1</v>
      </c>
      <c r="D400" s="12">
        <v>14</v>
      </c>
      <c r="E400" s="12" t="b">
        <v>0</v>
      </c>
      <c r="F400" s="12">
        <v>2</v>
      </c>
      <c r="G400" s="12">
        <v>2</v>
      </c>
      <c r="H400" s="12">
        <v>0.22</v>
      </c>
      <c r="I400" s="12">
        <v>0.2273</v>
      </c>
      <c r="J400" s="12">
        <v>0.8</v>
      </c>
      <c r="K400" s="12">
        <v>0.16420000000000001</v>
      </c>
      <c r="L400" s="12">
        <v>2</v>
      </c>
      <c r="M400" s="12">
        <v>26</v>
      </c>
      <c r="N400" s="12">
        <v>28</v>
      </c>
      <c r="O400" s="12" t="str">
        <f>VLOOKUP(G400,calculate_field!$B$2:$C$5,2,FALSE)</f>
        <v xml:space="preserve">Mist / cloudy </v>
      </c>
      <c r="P400" s="12" t="str">
        <f t="shared" si="44"/>
        <v>Tuesday</v>
      </c>
      <c r="Q400" s="12" t="str">
        <f t="shared" si="45"/>
        <v>Weekday</v>
      </c>
      <c r="R400" s="12" t="str">
        <f t="shared" si="46"/>
        <v>Afternoon</v>
      </c>
      <c r="S400" s="28" t="str">
        <f>INDEX(calculate_field!$F$2:$F$4, MATCH(H400, calculate_field!$E$2:$E$4, 1))</f>
        <v>Mild</v>
      </c>
      <c r="T400" s="33">
        <f t="shared" si="47"/>
        <v>59.583333333333336</v>
      </c>
      <c r="U400" s="33">
        <f t="shared" si="48"/>
        <v>48.970192057464175</v>
      </c>
      <c r="V400" s="33">
        <f t="shared" si="49"/>
        <v>-1.036250682259022E-2</v>
      </c>
      <c r="W400" s="12" t="b">
        <f t="shared" si="50"/>
        <v>0</v>
      </c>
    </row>
    <row r="401" spans="1:23">
      <c r="A401" s="26">
        <v>400</v>
      </c>
      <c r="B401" s="27">
        <v>40561</v>
      </c>
      <c r="C401" s="12">
        <v>1</v>
      </c>
      <c r="D401" s="12">
        <v>15</v>
      </c>
      <c r="E401" s="12" t="b">
        <v>0</v>
      </c>
      <c r="F401" s="12">
        <v>2</v>
      </c>
      <c r="G401" s="12">
        <v>2</v>
      </c>
      <c r="H401" s="12">
        <v>0.22</v>
      </c>
      <c r="I401" s="12">
        <v>0.2273</v>
      </c>
      <c r="J401" s="12">
        <v>0.87</v>
      </c>
      <c r="K401" s="12">
        <v>0.16420000000000001</v>
      </c>
      <c r="L401" s="12">
        <v>3</v>
      </c>
      <c r="M401" s="12">
        <v>32</v>
      </c>
      <c r="N401" s="12">
        <v>35</v>
      </c>
      <c r="O401" s="12" t="str">
        <f>VLOOKUP(G401,calculate_field!$B$2:$C$5,2,FALSE)</f>
        <v xml:space="preserve">Mist / cloudy </v>
      </c>
      <c r="P401" s="12" t="str">
        <f t="shared" si="44"/>
        <v>Tuesday</v>
      </c>
      <c r="Q401" s="12" t="str">
        <f t="shared" si="45"/>
        <v>Weekday</v>
      </c>
      <c r="R401" s="12" t="str">
        <f t="shared" si="46"/>
        <v>Afternoon</v>
      </c>
      <c r="S401" s="28" t="str">
        <f>INDEX(calculate_field!$F$2:$F$4, MATCH(H401, calculate_field!$E$2:$E$4, 1))</f>
        <v>Mild</v>
      </c>
      <c r="T401" s="33">
        <f t="shared" si="47"/>
        <v>61.833333333333336</v>
      </c>
      <c r="U401" s="33">
        <f t="shared" si="48"/>
        <v>48.695742753538944</v>
      </c>
      <c r="V401" s="33">
        <f t="shared" si="49"/>
        <v>9.4544716229587475E-2</v>
      </c>
      <c r="W401" s="12" t="b">
        <f t="shared" si="50"/>
        <v>0</v>
      </c>
    </row>
    <row r="402" spans="1:23">
      <c r="A402" s="26">
        <v>401</v>
      </c>
      <c r="B402" s="27">
        <v>40561</v>
      </c>
      <c r="C402" s="12">
        <v>1</v>
      </c>
      <c r="D402" s="12">
        <v>16</v>
      </c>
      <c r="E402" s="12" t="b">
        <v>0</v>
      </c>
      <c r="F402" s="12">
        <v>2</v>
      </c>
      <c r="G402" s="12">
        <v>2</v>
      </c>
      <c r="H402" s="12">
        <v>0.22</v>
      </c>
      <c r="I402" s="12">
        <v>0.2273</v>
      </c>
      <c r="J402" s="12">
        <v>0.87</v>
      </c>
      <c r="K402" s="12">
        <v>0.19400000000000001</v>
      </c>
      <c r="L402" s="12">
        <v>0</v>
      </c>
      <c r="M402" s="12">
        <v>61</v>
      </c>
      <c r="N402" s="12">
        <v>61</v>
      </c>
      <c r="O402" s="12" t="str">
        <f>VLOOKUP(G402,calculate_field!$B$2:$C$5,2,FALSE)</f>
        <v xml:space="preserve">Mist / cloudy </v>
      </c>
      <c r="P402" s="12" t="str">
        <f t="shared" si="44"/>
        <v>Tuesday</v>
      </c>
      <c r="Q402" s="12" t="str">
        <f t="shared" si="45"/>
        <v>Weekday</v>
      </c>
      <c r="R402" s="12" t="str">
        <f t="shared" si="46"/>
        <v>Afternoon</v>
      </c>
      <c r="S402" s="28" t="str">
        <f>INDEX(calculate_field!$F$2:$F$4, MATCH(H402, calculate_field!$E$2:$E$4, 1))</f>
        <v>Mild</v>
      </c>
      <c r="T402" s="33">
        <f t="shared" si="47"/>
        <v>64.708333333333329</v>
      </c>
      <c r="U402" s="33">
        <f t="shared" si="48"/>
        <v>49.078002835474472</v>
      </c>
      <c r="V402" s="33">
        <f t="shared" si="49"/>
        <v>0.44424931501884496</v>
      </c>
      <c r="W402" s="12" t="b">
        <f t="shared" si="50"/>
        <v>1</v>
      </c>
    </row>
    <row r="403" spans="1:23">
      <c r="A403" s="26">
        <v>402</v>
      </c>
      <c r="B403" s="27">
        <v>40561</v>
      </c>
      <c r="C403" s="12">
        <v>1</v>
      </c>
      <c r="D403" s="12">
        <v>17</v>
      </c>
      <c r="E403" s="12" t="b">
        <v>0</v>
      </c>
      <c r="F403" s="12">
        <v>2</v>
      </c>
      <c r="G403" s="12">
        <v>2</v>
      </c>
      <c r="H403" s="12">
        <v>0.22</v>
      </c>
      <c r="I403" s="12">
        <v>0.2273</v>
      </c>
      <c r="J403" s="12">
        <v>0.82</v>
      </c>
      <c r="K403" s="12">
        <v>0.19400000000000001</v>
      </c>
      <c r="L403" s="12">
        <v>1</v>
      </c>
      <c r="M403" s="12">
        <v>124</v>
      </c>
      <c r="N403" s="12">
        <v>125</v>
      </c>
      <c r="O403" s="12" t="str">
        <f>VLOOKUP(G403,calculate_field!$B$2:$C$5,2,FALSE)</f>
        <v xml:space="preserve">Mist / cloudy </v>
      </c>
      <c r="P403" s="12" t="str">
        <f t="shared" si="44"/>
        <v>Tuesday</v>
      </c>
      <c r="Q403" s="12" t="str">
        <f t="shared" si="45"/>
        <v>Weekday</v>
      </c>
      <c r="R403" s="12" t="str">
        <f t="shared" si="46"/>
        <v>Evening</v>
      </c>
      <c r="S403" s="28" t="str">
        <f>INDEX(calculate_field!$F$2:$F$4, MATCH(H403, calculate_field!$E$2:$E$4, 1))</f>
        <v>Mild</v>
      </c>
      <c r="T403" s="33">
        <f t="shared" si="47"/>
        <v>70.375</v>
      </c>
      <c r="U403" s="33">
        <f t="shared" si="48"/>
        <v>55.995195834301171</v>
      </c>
      <c r="V403" s="33">
        <f t="shared" si="49"/>
        <v>1.9039171732145703</v>
      </c>
      <c r="W403" s="12" t="b">
        <f t="shared" si="50"/>
        <v>0</v>
      </c>
    </row>
    <row r="404" spans="1:23">
      <c r="A404" s="26">
        <v>403</v>
      </c>
      <c r="B404" s="27">
        <v>40561</v>
      </c>
      <c r="C404" s="12">
        <v>1</v>
      </c>
      <c r="D404" s="12">
        <v>18</v>
      </c>
      <c r="E404" s="12" t="b">
        <v>0</v>
      </c>
      <c r="F404" s="12">
        <v>2</v>
      </c>
      <c r="G404" s="12">
        <v>2</v>
      </c>
      <c r="H404" s="12">
        <v>0.22</v>
      </c>
      <c r="I404" s="12">
        <v>0.2273</v>
      </c>
      <c r="J404" s="12">
        <v>0.8</v>
      </c>
      <c r="K404" s="12">
        <v>0.16420000000000001</v>
      </c>
      <c r="L404" s="12">
        <v>1</v>
      </c>
      <c r="M404" s="12">
        <v>132</v>
      </c>
      <c r="N404" s="12">
        <v>133</v>
      </c>
      <c r="O404" s="12" t="str">
        <f>VLOOKUP(G404,calculate_field!$B$2:$C$5,2,FALSE)</f>
        <v xml:space="preserve">Mist / cloudy </v>
      </c>
      <c r="P404" s="12" t="str">
        <f t="shared" si="44"/>
        <v>Tuesday</v>
      </c>
      <c r="Q404" s="12" t="str">
        <f t="shared" si="45"/>
        <v>Weekday</v>
      </c>
      <c r="R404" s="12" t="str">
        <f t="shared" si="46"/>
        <v>Evening</v>
      </c>
      <c r="S404" s="28" t="str">
        <f>INDEX(calculate_field!$F$2:$F$4, MATCH(H404, calculate_field!$E$2:$E$4, 1))</f>
        <v>Mild</v>
      </c>
      <c r="T404" s="33">
        <f t="shared" si="47"/>
        <v>71.875</v>
      </c>
      <c r="U404" s="33">
        <f t="shared" si="48"/>
        <v>57.969491601373726</v>
      </c>
      <c r="V404" s="33">
        <f t="shared" si="49"/>
        <v>1.2990724619260228</v>
      </c>
      <c r="W404" s="12" t="b">
        <f t="shared" si="50"/>
        <v>0</v>
      </c>
    </row>
    <row r="405" spans="1:23">
      <c r="A405" s="26">
        <v>404</v>
      </c>
      <c r="B405" s="27">
        <v>40561</v>
      </c>
      <c r="C405" s="12">
        <v>1</v>
      </c>
      <c r="D405" s="12">
        <v>19</v>
      </c>
      <c r="E405" s="12" t="b">
        <v>0</v>
      </c>
      <c r="F405" s="12">
        <v>2</v>
      </c>
      <c r="G405" s="12">
        <v>2</v>
      </c>
      <c r="H405" s="12">
        <v>0.22</v>
      </c>
      <c r="I405" s="12">
        <v>0.2273</v>
      </c>
      <c r="J405" s="12">
        <v>0.8</v>
      </c>
      <c r="K405" s="12">
        <v>0.1343</v>
      </c>
      <c r="L405" s="12">
        <v>1</v>
      </c>
      <c r="M405" s="12">
        <v>98</v>
      </c>
      <c r="N405" s="12">
        <v>99</v>
      </c>
      <c r="O405" s="12" t="str">
        <f>VLOOKUP(G405,calculate_field!$B$2:$C$5,2,FALSE)</f>
        <v xml:space="preserve">Mist / cloudy </v>
      </c>
      <c r="P405" s="12" t="str">
        <f t="shared" si="44"/>
        <v>Tuesday</v>
      </c>
      <c r="Q405" s="12" t="str">
        <f t="shared" si="45"/>
        <v>Weekday</v>
      </c>
      <c r="R405" s="12" t="str">
        <f t="shared" si="46"/>
        <v>Evening</v>
      </c>
      <c r="S405" s="28" t="str">
        <f>INDEX(calculate_field!$F$2:$F$4, MATCH(H405, calculate_field!$E$2:$E$4, 1))</f>
        <v>Mild</v>
      </c>
      <c r="T405" s="33">
        <f t="shared" si="47"/>
        <v>71</v>
      </c>
      <c r="U405" s="33">
        <f t="shared" si="48"/>
        <v>57.159578298867359</v>
      </c>
      <c r="V405" s="33">
        <f t="shared" si="49"/>
        <v>0.52609643695112507</v>
      </c>
      <c r="W405" s="12" t="b">
        <f t="shared" si="50"/>
        <v>0</v>
      </c>
    </row>
    <row r="406" spans="1:23">
      <c r="A406" s="26">
        <v>405</v>
      </c>
      <c r="B406" s="27">
        <v>40561</v>
      </c>
      <c r="C406" s="12">
        <v>1</v>
      </c>
      <c r="D406" s="12">
        <v>20</v>
      </c>
      <c r="E406" s="12" t="b">
        <v>0</v>
      </c>
      <c r="F406" s="12">
        <v>2</v>
      </c>
      <c r="G406" s="12">
        <v>2</v>
      </c>
      <c r="H406" s="12">
        <v>0.22</v>
      </c>
      <c r="I406" s="12">
        <v>0.2727</v>
      </c>
      <c r="J406" s="12">
        <v>0.87</v>
      </c>
      <c r="K406" s="12">
        <v>0</v>
      </c>
      <c r="L406" s="12">
        <v>0</v>
      </c>
      <c r="M406" s="12">
        <v>83</v>
      </c>
      <c r="N406" s="12">
        <v>83</v>
      </c>
      <c r="O406" s="12" t="str">
        <f>VLOOKUP(G406,calculate_field!$B$2:$C$5,2,FALSE)</f>
        <v xml:space="preserve">Mist / cloudy </v>
      </c>
      <c r="P406" s="12" t="str">
        <f t="shared" si="44"/>
        <v>Tuesday</v>
      </c>
      <c r="Q406" s="12" t="str">
        <f t="shared" si="45"/>
        <v>Weekday</v>
      </c>
      <c r="R406" s="12" t="str">
        <f t="shared" si="46"/>
        <v>Evening</v>
      </c>
      <c r="S406" s="28" t="str">
        <f>INDEX(calculate_field!$F$2:$F$4, MATCH(H406, calculate_field!$E$2:$E$4, 1))</f>
        <v>Mild</v>
      </c>
      <c r="T406" s="33">
        <f t="shared" si="47"/>
        <v>70.041666666666671</v>
      </c>
      <c r="U406" s="33">
        <f t="shared" si="48"/>
        <v>56.861753912194921</v>
      </c>
      <c r="V406" s="33">
        <f t="shared" si="49"/>
        <v>-3.3388351671011091E-2</v>
      </c>
      <c r="W406" s="12" t="b">
        <f t="shared" si="50"/>
        <v>0</v>
      </c>
    </row>
    <row r="407" spans="1:23">
      <c r="A407" s="26">
        <v>406</v>
      </c>
      <c r="B407" s="27">
        <v>40561</v>
      </c>
      <c r="C407" s="12">
        <v>1</v>
      </c>
      <c r="D407" s="12">
        <v>21</v>
      </c>
      <c r="E407" s="12" t="b">
        <v>0</v>
      </c>
      <c r="F407" s="12">
        <v>2</v>
      </c>
      <c r="G407" s="12">
        <v>2</v>
      </c>
      <c r="H407" s="12">
        <v>0.22</v>
      </c>
      <c r="I407" s="12">
        <v>0.2424</v>
      </c>
      <c r="J407" s="12">
        <v>0.93</v>
      </c>
      <c r="K407" s="12">
        <v>0.1045</v>
      </c>
      <c r="L407" s="12">
        <v>0</v>
      </c>
      <c r="M407" s="12">
        <v>41</v>
      </c>
      <c r="N407" s="12">
        <v>41</v>
      </c>
      <c r="O407" s="12" t="str">
        <f>VLOOKUP(G407,calculate_field!$B$2:$C$5,2,FALSE)</f>
        <v xml:space="preserve">Mist / cloudy </v>
      </c>
      <c r="P407" s="12" t="str">
        <f t="shared" si="44"/>
        <v>Tuesday</v>
      </c>
      <c r="Q407" s="12" t="str">
        <f t="shared" si="45"/>
        <v>Weekday</v>
      </c>
      <c r="R407" s="12" t="str">
        <f t="shared" si="46"/>
        <v>Night</v>
      </c>
      <c r="S407" s="28" t="str">
        <f>INDEX(calculate_field!$F$2:$F$4, MATCH(H407, calculate_field!$E$2:$E$4, 1))</f>
        <v>Mild</v>
      </c>
      <c r="T407" s="33">
        <f t="shared" si="47"/>
        <v>69.041666666666671</v>
      </c>
      <c r="U407" s="33">
        <f t="shared" si="48"/>
        <v>56.83498552573181</v>
      </c>
      <c r="V407" s="33">
        <f t="shared" si="49"/>
        <v>-0.30835453504217819</v>
      </c>
      <c r="W407" s="12" t="b">
        <f t="shared" si="50"/>
        <v>0</v>
      </c>
    </row>
    <row r="408" spans="1:23">
      <c r="A408" s="26">
        <v>407</v>
      </c>
      <c r="B408" s="27">
        <v>40561</v>
      </c>
      <c r="C408" s="12">
        <v>1</v>
      </c>
      <c r="D408" s="12">
        <v>22</v>
      </c>
      <c r="E408" s="12" t="b">
        <v>0</v>
      </c>
      <c r="F408" s="12">
        <v>2</v>
      </c>
      <c r="G408" s="12">
        <v>2</v>
      </c>
      <c r="H408" s="12">
        <v>0.22</v>
      </c>
      <c r="I408" s="12">
        <v>0.2576</v>
      </c>
      <c r="J408" s="12">
        <v>0.93</v>
      </c>
      <c r="K408" s="12">
        <v>8.9599999999999999E-2</v>
      </c>
      <c r="L408" s="12">
        <v>0</v>
      </c>
      <c r="M408" s="12">
        <v>33</v>
      </c>
      <c r="N408" s="12">
        <v>33</v>
      </c>
      <c r="O408" s="12" t="str">
        <f>VLOOKUP(G408,calculate_field!$B$2:$C$5,2,FALSE)</f>
        <v xml:space="preserve">Mist / cloudy </v>
      </c>
      <c r="P408" s="12" t="str">
        <f t="shared" si="44"/>
        <v>Tuesday</v>
      </c>
      <c r="Q408" s="12" t="str">
        <f t="shared" si="45"/>
        <v>Weekday</v>
      </c>
      <c r="R408" s="12" t="str">
        <f t="shared" si="46"/>
        <v>Night</v>
      </c>
      <c r="S408" s="28" t="str">
        <f>INDEX(calculate_field!$F$2:$F$4, MATCH(H408, calculate_field!$E$2:$E$4, 1))</f>
        <v>Mild</v>
      </c>
      <c r="T408" s="33">
        <f t="shared" si="47"/>
        <v>69.791666666666671</v>
      </c>
      <c r="U408" s="33">
        <f t="shared" si="48"/>
        <v>56.566989272563539</v>
      </c>
      <c r="V408" s="33">
        <f t="shared" si="49"/>
        <v>-0.30702831223931842</v>
      </c>
      <c r="W408" s="12" t="b">
        <f t="shared" si="50"/>
        <v>0</v>
      </c>
    </row>
    <row r="409" spans="1:23">
      <c r="A409" s="26">
        <v>408</v>
      </c>
      <c r="B409" s="27">
        <v>40561</v>
      </c>
      <c r="C409" s="12">
        <v>1</v>
      </c>
      <c r="D409" s="12">
        <v>23</v>
      </c>
      <c r="E409" s="12" t="b">
        <v>0</v>
      </c>
      <c r="F409" s="12">
        <v>2</v>
      </c>
      <c r="G409" s="12">
        <v>2</v>
      </c>
      <c r="H409" s="12">
        <v>0.22</v>
      </c>
      <c r="I409" s="12">
        <v>0.2727</v>
      </c>
      <c r="J409" s="12">
        <v>0.93</v>
      </c>
      <c r="K409" s="12">
        <v>0</v>
      </c>
      <c r="L409" s="12">
        <v>1</v>
      </c>
      <c r="M409" s="12">
        <v>19</v>
      </c>
      <c r="N409" s="12">
        <v>20</v>
      </c>
      <c r="O409" s="12" t="str">
        <f>VLOOKUP(G409,calculate_field!$B$2:$C$5,2,FALSE)</f>
        <v xml:space="preserve">Mist / cloudy </v>
      </c>
      <c r="P409" s="12" t="str">
        <f t="shared" si="44"/>
        <v>Tuesday</v>
      </c>
      <c r="Q409" s="12" t="str">
        <f t="shared" si="45"/>
        <v>Weekday</v>
      </c>
      <c r="R409" s="12" t="str">
        <f t="shared" si="46"/>
        <v>Night</v>
      </c>
      <c r="S409" s="28" t="str">
        <f>INDEX(calculate_field!$F$2:$F$4, MATCH(H409, calculate_field!$E$2:$E$4, 1))</f>
        <v>Mild</v>
      </c>
      <c r="T409" s="33">
        <f t="shared" si="47"/>
        <v>69.583333333333329</v>
      </c>
      <c r="U409" s="33">
        <f t="shared" si="48"/>
        <v>56.717389915620934</v>
      </c>
      <c r="V409" s="33">
        <f t="shared" si="49"/>
        <v>-0.75178609340098923</v>
      </c>
      <c r="W409" s="12" t="b">
        <f t="shared" si="50"/>
        <v>0</v>
      </c>
    </row>
    <row r="410" spans="1:23">
      <c r="A410" s="26">
        <v>409</v>
      </c>
      <c r="B410" s="27">
        <v>40562</v>
      </c>
      <c r="C410" s="12">
        <v>1</v>
      </c>
      <c r="D410" s="12">
        <v>0</v>
      </c>
      <c r="E410" s="12" t="b">
        <v>0</v>
      </c>
      <c r="F410" s="12">
        <v>3</v>
      </c>
      <c r="G410" s="12">
        <v>2</v>
      </c>
      <c r="H410" s="12">
        <v>0.22</v>
      </c>
      <c r="I410" s="12">
        <v>0.2727</v>
      </c>
      <c r="J410" s="12">
        <v>0.93</v>
      </c>
      <c r="K410" s="12">
        <v>0</v>
      </c>
      <c r="L410" s="12">
        <v>0</v>
      </c>
      <c r="M410" s="12">
        <v>3</v>
      </c>
      <c r="N410" s="12">
        <v>3</v>
      </c>
      <c r="O410" s="12" t="str">
        <f>VLOOKUP(G410,calculate_field!$B$2:$C$5,2,FALSE)</f>
        <v xml:space="preserve">Mist / cloudy </v>
      </c>
      <c r="P410" s="12" t="str">
        <f t="shared" si="44"/>
        <v>Wednesday</v>
      </c>
      <c r="Q410" s="12" t="str">
        <f t="shared" si="45"/>
        <v>Weekday</v>
      </c>
      <c r="R410" s="12" t="str">
        <f t="shared" si="46"/>
        <v>Night</v>
      </c>
      <c r="S410" s="28" t="str">
        <f>INDEX(calculate_field!$F$2:$F$4, MATCH(H410, calculate_field!$E$2:$E$4, 1))</f>
        <v>Mild</v>
      </c>
      <c r="T410" s="33">
        <f t="shared" si="47"/>
        <v>69.291666666666671</v>
      </c>
      <c r="U410" s="33">
        <f t="shared" si="48"/>
        <v>57.000746880436012</v>
      </c>
      <c r="V410" s="33">
        <f t="shared" si="49"/>
        <v>-0.9710914261437148</v>
      </c>
      <c r="W410" s="12" t="b">
        <f t="shared" si="50"/>
        <v>0</v>
      </c>
    </row>
    <row r="411" spans="1:23">
      <c r="A411" s="26">
        <v>410</v>
      </c>
      <c r="B411" s="27">
        <v>40562</v>
      </c>
      <c r="C411" s="12">
        <v>1</v>
      </c>
      <c r="D411" s="12">
        <v>1</v>
      </c>
      <c r="E411" s="12" t="b">
        <v>0</v>
      </c>
      <c r="F411" s="12">
        <v>3</v>
      </c>
      <c r="G411" s="12">
        <v>3</v>
      </c>
      <c r="H411" s="12">
        <v>0.22</v>
      </c>
      <c r="I411" s="12">
        <v>0.2273</v>
      </c>
      <c r="J411" s="12">
        <v>0.93</v>
      </c>
      <c r="K411" s="12">
        <v>0.1343</v>
      </c>
      <c r="L411" s="12">
        <v>1</v>
      </c>
      <c r="M411" s="12">
        <v>6</v>
      </c>
      <c r="N411" s="12">
        <v>7</v>
      </c>
      <c r="O411" s="12" t="str">
        <f>VLOOKUP(G411,calculate_field!$B$2:$C$5,2,FALSE)</f>
        <v xml:space="preserve">Light Snow / Rain </v>
      </c>
      <c r="P411" s="12" t="str">
        <f t="shared" si="44"/>
        <v>Wednesday</v>
      </c>
      <c r="Q411" s="12" t="str">
        <f t="shared" si="45"/>
        <v>Weekday</v>
      </c>
      <c r="R411" s="12" t="str">
        <f t="shared" si="46"/>
        <v>Night</v>
      </c>
      <c r="S411" s="28" t="str">
        <f>INDEX(calculate_field!$F$2:$F$4, MATCH(H411, calculate_field!$E$2:$E$4, 1))</f>
        <v>Mild</v>
      </c>
      <c r="T411" s="33">
        <f t="shared" si="47"/>
        <v>69.375</v>
      </c>
      <c r="U411" s="33">
        <f t="shared" si="48"/>
        <v>56.900991433251463</v>
      </c>
      <c r="V411" s="33">
        <f t="shared" si="49"/>
        <v>-1.0964019209058447</v>
      </c>
      <c r="W411" s="12" t="b">
        <f t="shared" si="50"/>
        <v>1</v>
      </c>
    </row>
    <row r="412" spans="1:23">
      <c r="A412" s="26">
        <v>411</v>
      </c>
      <c r="B412" s="27">
        <v>40562</v>
      </c>
      <c r="C412" s="12">
        <v>1</v>
      </c>
      <c r="D412" s="12">
        <v>2</v>
      </c>
      <c r="E412" s="12" t="b">
        <v>0</v>
      </c>
      <c r="F412" s="12">
        <v>3</v>
      </c>
      <c r="G412" s="12">
        <v>3</v>
      </c>
      <c r="H412" s="12">
        <v>0.22</v>
      </c>
      <c r="I412" s="12">
        <v>0.2273</v>
      </c>
      <c r="J412" s="12">
        <v>0.93</v>
      </c>
      <c r="K412" s="12">
        <v>0.1343</v>
      </c>
      <c r="L412" s="12">
        <v>0</v>
      </c>
      <c r="M412" s="12">
        <v>3</v>
      </c>
      <c r="N412" s="12">
        <v>3</v>
      </c>
      <c r="O412" s="12" t="str">
        <f>VLOOKUP(G412,calculate_field!$B$2:$C$5,2,FALSE)</f>
        <v xml:space="preserve">Light Snow / Rain </v>
      </c>
      <c r="P412" s="12" t="str">
        <f t="shared" si="44"/>
        <v>Wednesday</v>
      </c>
      <c r="Q412" s="12" t="str">
        <f t="shared" si="45"/>
        <v>Weekday</v>
      </c>
      <c r="R412" s="12" t="str">
        <f t="shared" si="46"/>
        <v>Night</v>
      </c>
      <c r="S412" s="28" t="str">
        <f>INDEX(calculate_field!$F$2:$F$4, MATCH(H412, calculate_field!$E$2:$E$4, 1))</f>
        <v>Mild</v>
      </c>
      <c r="T412" s="33">
        <f t="shared" si="47"/>
        <v>69.166666666666671</v>
      </c>
      <c r="U412" s="33">
        <f t="shared" si="48"/>
        <v>57.147913854934501</v>
      </c>
      <c r="V412" s="33">
        <f t="shared" si="49"/>
        <v>-1.1412836517675122</v>
      </c>
      <c r="W412" s="12" t="b">
        <f t="shared" si="50"/>
        <v>1</v>
      </c>
    </row>
    <row r="413" spans="1:23">
      <c r="A413" s="26">
        <v>412</v>
      </c>
      <c r="B413" s="27">
        <v>40562</v>
      </c>
      <c r="C413" s="12">
        <v>1</v>
      </c>
      <c r="D413" s="12">
        <v>4</v>
      </c>
      <c r="E413" s="12" t="b">
        <v>0</v>
      </c>
      <c r="F413" s="12">
        <v>3</v>
      </c>
      <c r="G413" s="12">
        <v>3</v>
      </c>
      <c r="H413" s="12">
        <v>0.22</v>
      </c>
      <c r="I413" s="12">
        <v>0.2273</v>
      </c>
      <c r="J413" s="12">
        <v>0.93</v>
      </c>
      <c r="K413" s="12">
        <v>0.1343</v>
      </c>
      <c r="L413" s="12">
        <v>1</v>
      </c>
      <c r="M413" s="12">
        <v>1</v>
      </c>
      <c r="N413" s="12">
        <v>2</v>
      </c>
      <c r="O413" s="12" t="str">
        <f>VLOOKUP(G413,calculate_field!$B$2:$C$5,2,FALSE)</f>
        <v xml:space="preserve">Light Snow / Rain </v>
      </c>
      <c r="P413" s="12" t="str">
        <f t="shared" si="44"/>
        <v>Wednesday</v>
      </c>
      <c r="Q413" s="12" t="str">
        <f t="shared" si="45"/>
        <v>Weekday</v>
      </c>
      <c r="R413" s="12" t="str">
        <f t="shared" si="46"/>
        <v>Night</v>
      </c>
      <c r="S413" s="28" t="str">
        <f>INDEX(calculate_field!$F$2:$F$4, MATCH(H413, calculate_field!$E$2:$E$4, 1))</f>
        <v>Mild</v>
      </c>
      <c r="T413" s="33">
        <f t="shared" si="47"/>
        <v>69.083333333333329</v>
      </c>
      <c r="U413" s="33">
        <f t="shared" si="48"/>
        <v>57.249960445527755</v>
      </c>
      <c r="V413" s="33">
        <f t="shared" si="49"/>
        <v>-1.1557914947984551</v>
      </c>
      <c r="W413" s="12" t="b">
        <f t="shared" si="50"/>
        <v>0</v>
      </c>
    </row>
    <row r="414" spans="1:23">
      <c r="A414" s="26">
        <v>413</v>
      </c>
      <c r="B414" s="27">
        <v>40562</v>
      </c>
      <c r="C414" s="12">
        <v>1</v>
      </c>
      <c r="D414" s="12">
        <v>5</v>
      </c>
      <c r="E414" s="12" t="b">
        <v>0</v>
      </c>
      <c r="F414" s="12">
        <v>3</v>
      </c>
      <c r="G414" s="12">
        <v>2</v>
      </c>
      <c r="H414" s="12">
        <v>0.22</v>
      </c>
      <c r="I414" s="12">
        <v>0.2576</v>
      </c>
      <c r="J414" s="12">
        <v>0.93</v>
      </c>
      <c r="K414" s="12">
        <v>8.9599999999999999E-2</v>
      </c>
      <c r="L414" s="12">
        <v>0</v>
      </c>
      <c r="M414" s="12">
        <v>7</v>
      </c>
      <c r="N414" s="12">
        <v>7</v>
      </c>
      <c r="O414" s="12" t="str">
        <f>VLOOKUP(G414,calculate_field!$B$2:$C$5,2,FALSE)</f>
        <v xml:space="preserve">Mist / cloudy </v>
      </c>
      <c r="P414" s="12" t="str">
        <f t="shared" si="44"/>
        <v>Wednesday</v>
      </c>
      <c r="Q414" s="12" t="str">
        <f t="shared" si="45"/>
        <v>Weekday</v>
      </c>
      <c r="R414" s="12" t="str">
        <f t="shared" si="46"/>
        <v>Night</v>
      </c>
      <c r="S414" s="28" t="str">
        <f>INDEX(calculate_field!$F$2:$F$4, MATCH(H414, calculate_field!$E$2:$E$4, 1))</f>
        <v>Mild</v>
      </c>
      <c r="T414" s="33">
        <f t="shared" si="47"/>
        <v>69.041666666666671</v>
      </c>
      <c r="U414" s="33">
        <f t="shared" si="48"/>
        <v>57.301247551990457</v>
      </c>
      <c r="V414" s="33">
        <f t="shared" si="49"/>
        <v>-1.1557914947984551</v>
      </c>
      <c r="W414" s="12" t="b">
        <f t="shared" si="50"/>
        <v>0</v>
      </c>
    </row>
    <row r="415" spans="1:23">
      <c r="A415" s="26">
        <v>414</v>
      </c>
      <c r="B415" s="27">
        <v>40562</v>
      </c>
      <c r="C415" s="12">
        <v>1</v>
      </c>
      <c r="D415" s="12">
        <v>6</v>
      </c>
      <c r="E415" s="12" t="b">
        <v>0</v>
      </c>
      <c r="F415" s="12">
        <v>3</v>
      </c>
      <c r="G415" s="12">
        <v>2</v>
      </c>
      <c r="H415" s="12">
        <v>0.22</v>
      </c>
      <c r="I415" s="12">
        <v>0.2576</v>
      </c>
      <c r="J415" s="12">
        <v>0.93</v>
      </c>
      <c r="K415" s="12">
        <v>8.9599999999999999E-2</v>
      </c>
      <c r="L415" s="12">
        <v>0</v>
      </c>
      <c r="M415" s="12">
        <v>32</v>
      </c>
      <c r="N415" s="12">
        <v>32</v>
      </c>
      <c r="O415" s="12" t="str">
        <f>VLOOKUP(G415,calculate_field!$B$2:$C$5,2,FALSE)</f>
        <v xml:space="preserve">Mist / cloudy </v>
      </c>
      <c r="P415" s="12" t="str">
        <f t="shared" si="44"/>
        <v>Wednesday</v>
      </c>
      <c r="Q415" s="12" t="str">
        <f t="shared" si="45"/>
        <v>Weekday</v>
      </c>
      <c r="R415" s="12" t="str">
        <f t="shared" si="46"/>
        <v>Morning</v>
      </c>
      <c r="S415" s="28" t="str">
        <f>INDEX(calculate_field!$F$2:$F$4, MATCH(H415, calculate_field!$E$2:$E$4, 1))</f>
        <v>Mild</v>
      </c>
      <c r="T415" s="33">
        <f t="shared" si="47"/>
        <v>69</v>
      </c>
      <c r="U415" s="33">
        <f t="shared" si="48"/>
        <v>57.348666638531284</v>
      </c>
      <c r="V415" s="33">
        <f t="shared" si="49"/>
        <v>-1.0832522796437405</v>
      </c>
      <c r="W415" s="12" t="b">
        <f t="shared" si="50"/>
        <v>0</v>
      </c>
    </row>
    <row r="416" spans="1:23">
      <c r="A416" s="26">
        <v>415</v>
      </c>
      <c r="B416" s="27">
        <v>40562</v>
      </c>
      <c r="C416" s="12">
        <v>1</v>
      </c>
      <c r="D416" s="12">
        <v>7</v>
      </c>
      <c r="E416" s="12" t="b">
        <v>0</v>
      </c>
      <c r="F416" s="12">
        <v>3</v>
      </c>
      <c r="G416" s="12">
        <v>2</v>
      </c>
      <c r="H416" s="12">
        <v>0.24</v>
      </c>
      <c r="I416" s="12">
        <v>0.2576</v>
      </c>
      <c r="J416" s="12">
        <v>0.92</v>
      </c>
      <c r="K416" s="12">
        <v>0.1045</v>
      </c>
      <c r="L416" s="12">
        <v>1</v>
      </c>
      <c r="M416" s="12">
        <v>89</v>
      </c>
      <c r="N416" s="12">
        <v>90</v>
      </c>
      <c r="O416" s="12" t="str">
        <f>VLOOKUP(G416,calculate_field!$B$2:$C$5,2,FALSE)</f>
        <v xml:space="preserve">Mist / cloudy </v>
      </c>
      <c r="P416" s="12" t="str">
        <f t="shared" si="44"/>
        <v>Wednesday</v>
      </c>
      <c r="Q416" s="12" t="str">
        <f t="shared" si="45"/>
        <v>Weekday</v>
      </c>
      <c r="R416" s="12" t="str">
        <f t="shared" si="46"/>
        <v>Morning</v>
      </c>
      <c r="S416" s="28" t="str">
        <f>INDEX(calculate_field!$F$2:$F$4, MATCH(H416, calculate_field!$E$2:$E$4, 1))</f>
        <v>Mild</v>
      </c>
      <c r="T416" s="33">
        <f t="shared" si="47"/>
        <v>69.125</v>
      </c>
      <c r="U416" s="33">
        <f t="shared" si="48"/>
        <v>57.267725564268289</v>
      </c>
      <c r="V416" s="33">
        <f t="shared" si="49"/>
        <v>-0.66146562170352607</v>
      </c>
      <c r="W416" s="12" t="b">
        <f t="shared" si="50"/>
        <v>0</v>
      </c>
    </row>
    <row r="417" spans="1:23">
      <c r="A417" s="26">
        <v>416</v>
      </c>
      <c r="B417" s="27">
        <v>40562</v>
      </c>
      <c r="C417" s="12">
        <v>1</v>
      </c>
      <c r="D417" s="12">
        <v>8</v>
      </c>
      <c r="E417" s="12" t="b">
        <v>0</v>
      </c>
      <c r="F417" s="12">
        <v>3</v>
      </c>
      <c r="G417" s="12">
        <v>2</v>
      </c>
      <c r="H417" s="12">
        <v>0.24</v>
      </c>
      <c r="I417" s="12">
        <v>0.2576</v>
      </c>
      <c r="J417" s="12">
        <v>0.93</v>
      </c>
      <c r="K417" s="12">
        <v>0.1045</v>
      </c>
      <c r="L417" s="12">
        <v>1</v>
      </c>
      <c r="M417" s="12">
        <v>196</v>
      </c>
      <c r="N417" s="12">
        <v>197</v>
      </c>
      <c r="O417" s="12" t="str">
        <f>VLOOKUP(G417,calculate_field!$B$2:$C$5,2,FALSE)</f>
        <v xml:space="preserve">Mist / cloudy </v>
      </c>
      <c r="P417" s="12" t="str">
        <f t="shared" si="44"/>
        <v>Wednesday</v>
      </c>
      <c r="Q417" s="12" t="str">
        <f t="shared" si="45"/>
        <v>Weekday</v>
      </c>
      <c r="R417" s="12" t="str">
        <f t="shared" si="46"/>
        <v>Morning</v>
      </c>
      <c r="S417" s="28" t="str">
        <f>INDEX(calculate_field!$F$2:$F$4, MATCH(H417, calculate_field!$E$2:$E$4, 1))</f>
        <v>Mild</v>
      </c>
      <c r="T417" s="33">
        <f t="shared" si="47"/>
        <v>69.583333333333329</v>
      </c>
      <c r="U417" s="33">
        <f t="shared" si="48"/>
        <v>57.485662988917177</v>
      </c>
      <c r="V417" s="33">
        <f t="shared" si="49"/>
        <v>0.29914713938952481</v>
      </c>
      <c r="W417" s="12" t="b">
        <f t="shared" si="50"/>
        <v>0</v>
      </c>
    </row>
    <row r="418" spans="1:23">
      <c r="A418" s="26">
        <v>417</v>
      </c>
      <c r="B418" s="27">
        <v>40562</v>
      </c>
      <c r="C418" s="12">
        <v>1</v>
      </c>
      <c r="D418" s="12">
        <v>9</v>
      </c>
      <c r="E418" s="12" t="b">
        <v>0</v>
      </c>
      <c r="F418" s="12">
        <v>3</v>
      </c>
      <c r="G418" s="12">
        <v>2</v>
      </c>
      <c r="H418" s="12">
        <v>0.24</v>
      </c>
      <c r="I418" s="12">
        <v>0.2576</v>
      </c>
      <c r="J418" s="12">
        <v>0.93</v>
      </c>
      <c r="K418" s="12">
        <v>0.1045</v>
      </c>
      <c r="L418" s="12">
        <v>2</v>
      </c>
      <c r="M418" s="12">
        <v>107</v>
      </c>
      <c r="N418" s="12">
        <v>109</v>
      </c>
      <c r="O418" s="12" t="str">
        <f>VLOOKUP(G418,calculate_field!$B$2:$C$5,2,FALSE)</f>
        <v xml:space="preserve">Mist / cloudy </v>
      </c>
      <c r="P418" s="12" t="str">
        <f t="shared" si="44"/>
        <v>Wednesday</v>
      </c>
      <c r="Q418" s="12" t="str">
        <f t="shared" si="45"/>
        <v>Weekday</v>
      </c>
      <c r="R418" s="12" t="str">
        <f t="shared" si="46"/>
        <v>Morning</v>
      </c>
      <c r="S418" s="28" t="str">
        <f>INDEX(calculate_field!$F$2:$F$4, MATCH(H418, calculate_field!$E$2:$E$4, 1))</f>
        <v>Mild</v>
      </c>
      <c r="T418" s="33">
        <f t="shared" si="47"/>
        <v>71.75</v>
      </c>
      <c r="U418" s="33">
        <f t="shared" si="48"/>
        <v>63.193457283790551</v>
      </c>
      <c r="V418" s="33">
        <f t="shared" si="49"/>
        <v>2.4605886437226165</v>
      </c>
      <c r="W418" s="12" t="b">
        <f t="shared" si="50"/>
        <v>0</v>
      </c>
    </row>
    <row r="419" spans="1:23">
      <c r="A419" s="26">
        <v>418</v>
      </c>
      <c r="B419" s="27">
        <v>40562</v>
      </c>
      <c r="C419" s="12">
        <v>1</v>
      </c>
      <c r="D419" s="12">
        <v>10</v>
      </c>
      <c r="E419" s="12" t="b">
        <v>0</v>
      </c>
      <c r="F419" s="12">
        <v>3</v>
      </c>
      <c r="G419" s="12">
        <v>2</v>
      </c>
      <c r="H419" s="12">
        <v>0.26</v>
      </c>
      <c r="I419" s="12">
        <v>0.2727</v>
      </c>
      <c r="J419" s="12">
        <v>0.93</v>
      </c>
      <c r="K419" s="12">
        <v>0.1343</v>
      </c>
      <c r="L419" s="12">
        <v>1</v>
      </c>
      <c r="M419" s="12">
        <v>46</v>
      </c>
      <c r="N419" s="12">
        <v>47</v>
      </c>
      <c r="O419" s="12" t="str">
        <f>VLOOKUP(G419,calculate_field!$B$2:$C$5,2,FALSE)</f>
        <v xml:space="preserve">Mist / cloudy </v>
      </c>
      <c r="P419" s="12" t="str">
        <f t="shared" si="44"/>
        <v>Wednesday</v>
      </c>
      <c r="Q419" s="12" t="str">
        <f t="shared" si="45"/>
        <v>Weekday</v>
      </c>
      <c r="R419" s="12" t="str">
        <f t="shared" si="46"/>
        <v>Morning</v>
      </c>
      <c r="S419" s="28" t="str">
        <f>INDEX(calculate_field!$F$2:$F$4, MATCH(H419, calculate_field!$E$2:$E$4, 1))</f>
        <v>Mild</v>
      </c>
      <c r="T419" s="33">
        <f t="shared" si="47"/>
        <v>73.166666666666671</v>
      </c>
      <c r="U419" s="33">
        <f t="shared" si="48"/>
        <v>64.433765565327136</v>
      </c>
      <c r="V419" s="33">
        <f t="shared" si="49"/>
        <v>0.99214330583005228</v>
      </c>
      <c r="W419" s="12" t="b">
        <f t="shared" si="50"/>
        <v>0</v>
      </c>
    </row>
    <row r="420" spans="1:23">
      <c r="A420" s="26">
        <v>419</v>
      </c>
      <c r="B420" s="27">
        <v>40562</v>
      </c>
      <c r="C420" s="12">
        <v>1</v>
      </c>
      <c r="D420" s="12">
        <v>11</v>
      </c>
      <c r="E420" s="12" t="b">
        <v>0</v>
      </c>
      <c r="F420" s="12">
        <v>3</v>
      </c>
      <c r="G420" s="12">
        <v>2</v>
      </c>
      <c r="H420" s="12">
        <v>0.28000000000000003</v>
      </c>
      <c r="I420" s="12">
        <v>0.30299999999999999</v>
      </c>
      <c r="J420" s="12">
        <v>0.87</v>
      </c>
      <c r="K420" s="12">
        <v>8.9599999999999999E-2</v>
      </c>
      <c r="L420" s="12">
        <v>5</v>
      </c>
      <c r="M420" s="12">
        <v>47</v>
      </c>
      <c r="N420" s="12">
        <v>52</v>
      </c>
      <c r="O420" s="12" t="str">
        <f>VLOOKUP(G420,calculate_field!$B$2:$C$5,2,FALSE)</f>
        <v xml:space="preserve">Mist / cloudy </v>
      </c>
      <c r="P420" s="12" t="str">
        <f t="shared" si="44"/>
        <v>Wednesday</v>
      </c>
      <c r="Q420" s="12" t="str">
        <f t="shared" si="45"/>
        <v>Weekday</v>
      </c>
      <c r="R420" s="12" t="str">
        <f t="shared" si="46"/>
        <v>Morning</v>
      </c>
      <c r="S420" s="28" t="str">
        <f>INDEX(calculate_field!$F$2:$F$4, MATCH(H420, calculate_field!$E$2:$E$4, 1))</f>
        <v>Mild</v>
      </c>
      <c r="T420" s="33">
        <f t="shared" si="47"/>
        <v>73.583333333333329</v>
      </c>
      <c r="U420" s="33">
        <f t="shared" si="48"/>
        <v>64.289370726472328</v>
      </c>
      <c r="V420" s="33">
        <f t="shared" si="49"/>
        <v>-0.32111496385829852</v>
      </c>
      <c r="W420" s="12" t="b">
        <f t="shared" si="50"/>
        <v>0</v>
      </c>
    </row>
    <row r="421" spans="1:23">
      <c r="A421" s="26">
        <v>420</v>
      </c>
      <c r="B421" s="27">
        <v>40562</v>
      </c>
      <c r="C421" s="12">
        <v>1</v>
      </c>
      <c r="D421" s="12">
        <v>12</v>
      </c>
      <c r="E421" s="12" t="b">
        <v>0</v>
      </c>
      <c r="F421" s="12">
        <v>3</v>
      </c>
      <c r="G421" s="12">
        <v>2</v>
      </c>
      <c r="H421" s="12">
        <v>0.3</v>
      </c>
      <c r="I421" s="12">
        <v>0.31819999999999998</v>
      </c>
      <c r="J421" s="12">
        <v>0.81</v>
      </c>
      <c r="K421" s="12">
        <v>8.9599999999999999E-2</v>
      </c>
      <c r="L421" s="12">
        <v>5</v>
      </c>
      <c r="M421" s="12">
        <v>65</v>
      </c>
      <c r="N421" s="12">
        <v>70</v>
      </c>
      <c r="O421" s="12" t="str">
        <f>VLOOKUP(G421,calculate_field!$B$2:$C$5,2,FALSE)</f>
        <v xml:space="preserve">Mist / cloudy </v>
      </c>
      <c r="P421" s="12" t="str">
        <f t="shared" si="44"/>
        <v>Wednesday</v>
      </c>
      <c r="Q421" s="12" t="str">
        <f t="shared" si="45"/>
        <v>Weekday</v>
      </c>
      <c r="R421" s="12" t="str">
        <f t="shared" si="46"/>
        <v>Afternoon</v>
      </c>
      <c r="S421" s="28" t="str">
        <f>INDEX(calculate_field!$F$2:$F$4, MATCH(H421, calculate_field!$E$2:$E$4, 1))</f>
        <v>Warm</v>
      </c>
      <c r="T421" s="33">
        <f t="shared" si="47"/>
        <v>74.25</v>
      </c>
      <c r="U421" s="33">
        <f t="shared" si="48"/>
        <v>64.138606701153222</v>
      </c>
      <c r="V421" s="33">
        <f t="shared" si="49"/>
        <v>-0.16104239043054946</v>
      </c>
      <c r="W421" s="12" t="b">
        <f t="shared" si="50"/>
        <v>0</v>
      </c>
    </row>
    <row r="422" spans="1:23">
      <c r="A422" s="26">
        <v>421</v>
      </c>
      <c r="B422" s="27">
        <v>40562</v>
      </c>
      <c r="C422" s="12">
        <v>1</v>
      </c>
      <c r="D422" s="12">
        <v>13</v>
      </c>
      <c r="E422" s="12" t="b">
        <v>0</v>
      </c>
      <c r="F422" s="12">
        <v>3</v>
      </c>
      <c r="G422" s="12">
        <v>1</v>
      </c>
      <c r="H422" s="12">
        <v>0.4</v>
      </c>
      <c r="I422" s="12">
        <v>0.40910000000000002</v>
      </c>
      <c r="J422" s="12">
        <v>0.62</v>
      </c>
      <c r="K422" s="12">
        <v>0.28360000000000002</v>
      </c>
      <c r="L422" s="12">
        <v>11</v>
      </c>
      <c r="M422" s="12">
        <v>67</v>
      </c>
      <c r="N422" s="12">
        <v>78</v>
      </c>
      <c r="O422" s="12" t="str">
        <f>VLOOKUP(G422,calculate_field!$B$2:$C$5,2,FALSE)</f>
        <v>Clear/Partly Cloudy</v>
      </c>
      <c r="P422" s="12" t="str">
        <f t="shared" si="44"/>
        <v>Wednesday</v>
      </c>
      <c r="Q422" s="12" t="str">
        <f t="shared" si="45"/>
        <v>Weekday</v>
      </c>
      <c r="R422" s="12" t="str">
        <f t="shared" si="46"/>
        <v>Afternoon</v>
      </c>
      <c r="S422" s="28" t="str">
        <f>INDEX(calculate_field!$F$2:$F$4, MATCH(H422, calculate_field!$E$2:$E$4, 1))</f>
        <v>Warm</v>
      </c>
      <c r="T422" s="33">
        <f t="shared" si="47"/>
        <v>74.833333333333329</v>
      </c>
      <c r="U422" s="33">
        <f t="shared" si="48"/>
        <v>64.161932819923734</v>
      </c>
      <c r="V422" s="33">
        <f t="shared" si="49"/>
        <v>8.320978207257769E-2</v>
      </c>
      <c r="W422" s="12" t="b">
        <f t="shared" si="50"/>
        <v>0</v>
      </c>
    </row>
    <row r="423" spans="1:23">
      <c r="A423" s="26">
        <v>422</v>
      </c>
      <c r="B423" s="27">
        <v>40562</v>
      </c>
      <c r="C423" s="12">
        <v>1</v>
      </c>
      <c r="D423" s="12">
        <v>14</v>
      </c>
      <c r="E423" s="12" t="b">
        <v>0</v>
      </c>
      <c r="F423" s="12">
        <v>3</v>
      </c>
      <c r="G423" s="12">
        <v>1</v>
      </c>
      <c r="H423" s="12">
        <v>0.4</v>
      </c>
      <c r="I423" s="12">
        <v>0.40910000000000002</v>
      </c>
      <c r="J423" s="12">
        <v>0.57999999999999996</v>
      </c>
      <c r="K423" s="12">
        <v>0.25369999999999998</v>
      </c>
      <c r="L423" s="12">
        <v>7</v>
      </c>
      <c r="M423" s="12">
        <v>68</v>
      </c>
      <c r="N423" s="12">
        <v>75</v>
      </c>
      <c r="O423" s="12" t="str">
        <f>VLOOKUP(G423,calculate_field!$B$2:$C$5,2,FALSE)</f>
        <v>Clear/Partly Cloudy</v>
      </c>
      <c r="P423" s="12" t="str">
        <f t="shared" si="44"/>
        <v>Wednesday</v>
      </c>
      <c r="Q423" s="12" t="str">
        <f t="shared" si="45"/>
        <v>Weekday</v>
      </c>
      <c r="R423" s="12" t="str">
        <f t="shared" si="46"/>
        <v>Afternoon</v>
      </c>
      <c r="S423" s="28" t="str">
        <f>INDEX(calculate_field!$F$2:$F$4, MATCH(H423, calculate_field!$E$2:$E$4, 1))</f>
        <v>Warm</v>
      </c>
      <c r="T423" s="33">
        <f t="shared" si="47"/>
        <v>75.666666666666671</v>
      </c>
      <c r="U423" s="33">
        <f t="shared" si="48"/>
        <v>64.334497248613715</v>
      </c>
      <c r="V423" s="33">
        <f t="shared" si="49"/>
        <v>0.29562741135753928</v>
      </c>
      <c r="W423" s="12" t="b">
        <f t="shared" si="50"/>
        <v>0</v>
      </c>
    </row>
    <row r="424" spans="1:23">
      <c r="A424" s="26">
        <v>423</v>
      </c>
      <c r="B424" s="27">
        <v>40562</v>
      </c>
      <c r="C424" s="12">
        <v>1</v>
      </c>
      <c r="D424" s="12">
        <v>15</v>
      </c>
      <c r="E424" s="12" t="b">
        <v>0</v>
      </c>
      <c r="F424" s="12">
        <v>3</v>
      </c>
      <c r="G424" s="12">
        <v>1</v>
      </c>
      <c r="H424" s="12">
        <v>0.4</v>
      </c>
      <c r="I424" s="12">
        <v>0.40910000000000002</v>
      </c>
      <c r="J424" s="12">
        <v>0.54</v>
      </c>
      <c r="K424" s="12">
        <v>0.28360000000000002</v>
      </c>
      <c r="L424" s="12">
        <v>4</v>
      </c>
      <c r="M424" s="12">
        <v>78</v>
      </c>
      <c r="N424" s="12">
        <v>82</v>
      </c>
      <c r="O424" s="12" t="str">
        <f>VLOOKUP(G424,calculate_field!$B$2:$C$5,2,FALSE)</f>
        <v>Clear/Partly Cloudy</v>
      </c>
      <c r="P424" s="12" t="str">
        <f t="shared" si="44"/>
        <v>Wednesday</v>
      </c>
      <c r="Q424" s="12" t="str">
        <f t="shared" si="45"/>
        <v>Weekday</v>
      </c>
      <c r="R424" s="12" t="str">
        <f t="shared" si="46"/>
        <v>Afternoon</v>
      </c>
      <c r="S424" s="28" t="str">
        <f>INDEX(calculate_field!$F$2:$F$4, MATCH(H424, calculate_field!$E$2:$E$4, 1))</f>
        <v>Warm</v>
      </c>
      <c r="T424" s="33">
        <f t="shared" si="47"/>
        <v>75.916666666666671</v>
      </c>
      <c r="U424" s="33">
        <f t="shared" si="48"/>
        <v>64.343451183045261</v>
      </c>
      <c r="V424" s="33">
        <f t="shared" si="49"/>
        <v>5.7869004465114546E-2</v>
      </c>
      <c r="W424" s="12" t="b">
        <f t="shared" si="50"/>
        <v>0</v>
      </c>
    </row>
    <row r="425" spans="1:23">
      <c r="A425" s="26">
        <v>424</v>
      </c>
      <c r="B425" s="27">
        <v>40562</v>
      </c>
      <c r="C425" s="12">
        <v>1</v>
      </c>
      <c r="D425" s="12">
        <v>16</v>
      </c>
      <c r="E425" s="12" t="b">
        <v>0</v>
      </c>
      <c r="F425" s="12">
        <v>3</v>
      </c>
      <c r="G425" s="12">
        <v>1</v>
      </c>
      <c r="H425" s="12">
        <v>0.38</v>
      </c>
      <c r="I425" s="12">
        <v>0.39389999999999997</v>
      </c>
      <c r="J425" s="12">
        <v>0.57999999999999996</v>
      </c>
      <c r="K425" s="12">
        <v>0.3881</v>
      </c>
      <c r="L425" s="12">
        <v>10</v>
      </c>
      <c r="M425" s="12">
        <v>94</v>
      </c>
      <c r="N425" s="12">
        <v>104</v>
      </c>
      <c r="O425" s="12" t="str">
        <f>VLOOKUP(G425,calculate_field!$B$2:$C$5,2,FALSE)</f>
        <v>Clear/Partly Cloudy</v>
      </c>
      <c r="P425" s="12" t="str">
        <f t="shared" si="44"/>
        <v>Wednesday</v>
      </c>
      <c r="Q425" s="12" t="str">
        <f t="shared" si="45"/>
        <v>Weekday</v>
      </c>
      <c r="R425" s="12" t="str">
        <f t="shared" si="46"/>
        <v>Afternoon</v>
      </c>
      <c r="S425" s="28" t="str">
        <f>INDEX(calculate_field!$F$2:$F$4, MATCH(H425, calculate_field!$E$2:$E$4, 1))</f>
        <v>Warm</v>
      </c>
      <c r="T425" s="33">
        <f t="shared" si="47"/>
        <v>75.416666666666671</v>
      </c>
      <c r="U425" s="33">
        <f t="shared" si="48"/>
        <v>64.340748239805009</v>
      </c>
      <c r="V425" s="33">
        <f t="shared" si="49"/>
        <v>-9.4490610204676667E-2</v>
      </c>
      <c r="W425" s="12" t="b">
        <f t="shared" si="50"/>
        <v>0</v>
      </c>
    </row>
    <row r="426" spans="1:23">
      <c r="A426" s="26">
        <v>425</v>
      </c>
      <c r="B426" s="27">
        <v>40562</v>
      </c>
      <c r="C426" s="12">
        <v>1</v>
      </c>
      <c r="D426" s="12">
        <v>17</v>
      </c>
      <c r="E426" s="12" t="b">
        <v>0</v>
      </c>
      <c r="F426" s="12">
        <v>3</v>
      </c>
      <c r="G426" s="12">
        <v>1</v>
      </c>
      <c r="H426" s="12">
        <v>0.36</v>
      </c>
      <c r="I426" s="12">
        <v>0.33329999999999999</v>
      </c>
      <c r="J426" s="12">
        <v>0.56999999999999995</v>
      </c>
      <c r="K426" s="12">
        <v>0.32840000000000003</v>
      </c>
      <c r="L426" s="12">
        <v>7</v>
      </c>
      <c r="M426" s="12">
        <v>190</v>
      </c>
      <c r="N426" s="12">
        <v>197</v>
      </c>
      <c r="O426" s="12" t="str">
        <f>VLOOKUP(G426,calculate_field!$B$2:$C$5,2,FALSE)</f>
        <v>Clear/Partly Cloudy</v>
      </c>
      <c r="P426" s="12" t="str">
        <f t="shared" si="44"/>
        <v>Wednesday</v>
      </c>
      <c r="Q426" s="12" t="str">
        <f t="shared" si="45"/>
        <v>Weekday</v>
      </c>
      <c r="R426" s="12" t="str">
        <f t="shared" si="46"/>
        <v>Evening</v>
      </c>
      <c r="S426" s="28" t="str">
        <f>INDEX(calculate_field!$F$2:$F$4, MATCH(H426, calculate_field!$E$2:$E$4, 1))</f>
        <v>Warm</v>
      </c>
      <c r="T426" s="33">
        <f t="shared" si="47"/>
        <v>74.875</v>
      </c>
      <c r="U426" s="33">
        <f t="shared" si="48"/>
        <v>64.144071873570198</v>
      </c>
      <c r="V426" s="33">
        <f t="shared" si="49"/>
        <v>0.22183492015302328</v>
      </c>
      <c r="W426" s="12" t="b">
        <f t="shared" si="50"/>
        <v>1</v>
      </c>
    </row>
    <row r="427" spans="1:23">
      <c r="A427" s="26">
        <v>426</v>
      </c>
      <c r="B427" s="27">
        <v>40562</v>
      </c>
      <c r="C427" s="12">
        <v>1</v>
      </c>
      <c r="D427" s="12">
        <v>18</v>
      </c>
      <c r="E427" s="12" t="b">
        <v>0</v>
      </c>
      <c r="F427" s="12">
        <v>3</v>
      </c>
      <c r="G427" s="12">
        <v>1</v>
      </c>
      <c r="H427" s="12">
        <v>0.34</v>
      </c>
      <c r="I427" s="12">
        <v>0.31819999999999998</v>
      </c>
      <c r="J427" s="12">
        <v>0.61</v>
      </c>
      <c r="K427" s="12">
        <v>0.28360000000000002</v>
      </c>
      <c r="L427" s="12">
        <v>5</v>
      </c>
      <c r="M427" s="12">
        <v>156</v>
      </c>
      <c r="N427" s="12">
        <v>161</v>
      </c>
      <c r="O427" s="12" t="str">
        <f>VLOOKUP(G427,calculate_field!$B$2:$C$5,2,FALSE)</f>
        <v>Clear/Partly Cloudy</v>
      </c>
      <c r="P427" s="12" t="str">
        <f t="shared" si="44"/>
        <v>Wednesday</v>
      </c>
      <c r="Q427" s="12" t="str">
        <f t="shared" si="45"/>
        <v>Weekday</v>
      </c>
      <c r="R427" s="12" t="str">
        <f t="shared" si="46"/>
        <v>Evening</v>
      </c>
      <c r="S427" s="28" t="str">
        <f>INDEX(calculate_field!$F$2:$F$4, MATCH(H427, calculate_field!$E$2:$E$4, 1))</f>
        <v>Warm</v>
      </c>
      <c r="T427" s="33">
        <f t="shared" si="47"/>
        <v>75.625</v>
      </c>
      <c r="U427" s="33">
        <f t="shared" si="48"/>
        <v>65.719967516994274</v>
      </c>
      <c r="V427" s="33">
        <f t="shared" si="49"/>
        <v>2.0652265745261968</v>
      </c>
      <c r="W427" s="12" t="b">
        <f t="shared" si="50"/>
        <v>1</v>
      </c>
    </row>
    <row r="428" spans="1:23">
      <c r="A428" s="26">
        <v>427</v>
      </c>
      <c r="B428" s="27">
        <v>40562</v>
      </c>
      <c r="C428" s="12">
        <v>1</v>
      </c>
      <c r="D428" s="12">
        <v>19</v>
      </c>
      <c r="E428" s="12" t="b">
        <v>0</v>
      </c>
      <c r="F428" s="12">
        <v>3</v>
      </c>
      <c r="G428" s="12">
        <v>1</v>
      </c>
      <c r="H428" s="12">
        <v>0.32</v>
      </c>
      <c r="I428" s="12">
        <v>0.28789999999999999</v>
      </c>
      <c r="J428" s="12">
        <v>0.56999999999999995</v>
      </c>
      <c r="K428" s="12">
        <v>0.41789999999999999</v>
      </c>
      <c r="L428" s="12">
        <v>4</v>
      </c>
      <c r="M428" s="12">
        <v>108</v>
      </c>
      <c r="N428" s="12">
        <v>112</v>
      </c>
      <c r="O428" s="12" t="str">
        <f>VLOOKUP(G428,calculate_field!$B$2:$C$5,2,FALSE)</f>
        <v>Clear/Partly Cloudy</v>
      </c>
      <c r="P428" s="12" t="str">
        <f t="shared" si="44"/>
        <v>Wednesday</v>
      </c>
      <c r="Q428" s="12" t="str">
        <f t="shared" si="45"/>
        <v>Weekday</v>
      </c>
      <c r="R428" s="12" t="str">
        <f t="shared" si="46"/>
        <v>Evening</v>
      </c>
      <c r="S428" s="28" t="str">
        <f>INDEX(calculate_field!$F$2:$F$4, MATCH(H428, calculate_field!$E$2:$E$4, 1))</f>
        <v>Warm</v>
      </c>
      <c r="T428" s="33">
        <f t="shared" si="47"/>
        <v>76.625</v>
      </c>
      <c r="U428" s="33">
        <f t="shared" si="48"/>
        <v>67.240523819184077</v>
      </c>
      <c r="V428" s="33">
        <f t="shared" si="49"/>
        <v>1.7583454902012281</v>
      </c>
      <c r="W428" s="12" t="b">
        <f t="shared" si="50"/>
        <v>0</v>
      </c>
    </row>
    <row r="429" spans="1:23">
      <c r="A429" s="26">
        <v>428</v>
      </c>
      <c r="B429" s="27">
        <v>40562</v>
      </c>
      <c r="C429" s="12">
        <v>1</v>
      </c>
      <c r="D429" s="12">
        <v>20</v>
      </c>
      <c r="E429" s="12" t="b">
        <v>0</v>
      </c>
      <c r="F429" s="12">
        <v>3</v>
      </c>
      <c r="G429" s="12">
        <v>1</v>
      </c>
      <c r="H429" s="12">
        <v>0.32</v>
      </c>
      <c r="I429" s="12">
        <v>0.30299999999999999</v>
      </c>
      <c r="J429" s="12">
        <v>0.49</v>
      </c>
      <c r="K429" s="12">
        <v>0.29849999999999999</v>
      </c>
      <c r="L429" s="12">
        <v>2</v>
      </c>
      <c r="M429" s="12">
        <v>74</v>
      </c>
      <c r="N429" s="12">
        <v>76</v>
      </c>
      <c r="O429" s="12" t="str">
        <f>VLOOKUP(G429,calculate_field!$B$2:$C$5,2,FALSE)</f>
        <v>Clear/Partly Cloudy</v>
      </c>
      <c r="P429" s="12" t="str">
        <f t="shared" si="44"/>
        <v>Wednesday</v>
      </c>
      <c r="Q429" s="12" t="str">
        <f t="shared" si="45"/>
        <v>Weekday</v>
      </c>
      <c r="R429" s="12" t="str">
        <f t="shared" si="46"/>
        <v>Evening</v>
      </c>
      <c r="S429" s="28" t="str">
        <f>INDEX(calculate_field!$F$2:$F$4, MATCH(H429, calculate_field!$E$2:$E$4, 1))</f>
        <v>Warm</v>
      </c>
      <c r="T429" s="33">
        <f t="shared" si="47"/>
        <v>78.291666666666671</v>
      </c>
      <c r="U429" s="33">
        <f t="shared" si="48"/>
        <v>68.636711666613209</v>
      </c>
      <c r="V429" s="33">
        <f t="shared" si="49"/>
        <v>1.357177508682998</v>
      </c>
      <c r="W429" s="12" t="b">
        <f t="shared" si="50"/>
        <v>0</v>
      </c>
    </row>
    <row r="430" spans="1:23">
      <c r="A430" s="26">
        <v>429</v>
      </c>
      <c r="B430" s="27">
        <v>40562</v>
      </c>
      <c r="C430" s="12">
        <v>1</v>
      </c>
      <c r="D430" s="12">
        <v>21</v>
      </c>
      <c r="E430" s="12" t="b">
        <v>0</v>
      </c>
      <c r="F430" s="12">
        <v>3</v>
      </c>
      <c r="G430" s="12">
        <v>1</v>
      </c>
      <c r="H430" s="12">
        <v>0.32</v>
      </c>
      <c r="I430" s="12">
        <v>0.28789999999999999</v>
      </c>
      <c r="J430" s="12">
        <v>0.49</v>
      </c>
      <c r="K430" s="12">
        <v>0.41789999999999999</v>
      </c>
      <c r="L430" s="12">
        <v>4</v>
      </c>
      <c r="M430" s="12">
        <v>55</v>
      </c>
      <c r="N430" s="12">
        <v>59</v>
      </c>
      <c r="O430" s="12" t="str">
        <f>VLOOKUP(G430,calculate_field!$B$2:$C$5,2,FALSE)</f>
        <v>Clear/Partly Cloudy</v>
      </c>
      <c r="P430" s="12" t="str">
        <f t="shared" si="44"/>
        <v>Wednesday</v>
      </c>
      <c r="Q430" s="12" t="str">
        <f t="shared" si="45"/>
        <v>Weekday</v>
      </c>
      <c r="R430" s="12" t="str">
        <f t="shared" si="46"/>
        <v>Night</v>
      </c>
      <c r="S430" s="28" t="str">
        <f>INDEX(calculate_field!$F$2:$F$4, MATCH(H430, calculate_field!$E$2:$E$4, 1))</f>
        <v>Warm</v>
      </c>
      <c r="T430" s="33">
        <f t="shared" si="47"/>
        <v>80.375</v>
      </c>
      <c r="U430" s="33">
        <f t="shared" si="48"/>
        <v>69.319557752170653</v>
      </c>
      <c r="V430" s="33">
        <f t="shared" si="49"/>
        <v>0.99628185459457719</v>
      </c>
      <c r="W430" s="12" t="b">
        <f t="shared" si="50"/>
        <v>0</v>
      </c>
    </row>
    <row r="431" spans="1:23">
      <c r="A431" s="26">
        <v>430</v>
      </c>
      <c r="B431" s="27">
        <v>40562</v>
      </c>
      <c r="C431" s="12">
        <v>1</v>
      </c>
      <c r="D431" s="12">
        <v>22</v>
      </c>
      <c r="E431" s="12" t="b">
        <v>0</v>
      </c>
      <c r="F431" s="12">
        <v>3</v>
      </c>
      <c r="G431" s="12">
        <v>1</v>
      </c>
      <c r="H431" s="12">
        <v>0.3</v>
      </c>
      <c r="I431" s="12">
        <v>0.30299999999999999</v>
      </c>
      <c r="J431" s="12">
        <v>0.52</v>
      </c>
      <c r="K431" s="12">
        <v>0.16420000000000001</v>
      </c>
      <c r="L431" s="12">
        <v>6</v>
      </c>
      <c r="M431" s="12">
        <v>53</v>
      </c>
      <c r="N431" s="12">
        <v>59</v>
      </c>
      <c r="O431" s="12" t="str">
        <f>VLOOKUP(G431,calculate_field!$B$2:$C$5,2,FALSE)</f>
        <v>Clear/Partly Cloudy</v>
      </c>
      <c r="P431" s="12" t="str">
        <f t="shared" si="44"/>
        <v>Wednesday</v>
      </c>
      <c r="Q431" s="12" t="str">
        <f t="shared" si="45"/>
        <v>Weekday</v>
      </c>
      <c r="R431" s="12" t="str">
        <f t="shared" si="46"/>
        <v>Night</v>
      </c>
      <c r="S431" s="28" t="str">
        <f>INDEX(calculate_field!$F$2:$F$4, MATCH(H431, calculate_field!$E$2:$E$4, 1))</f>
        <v>Warm</v>
      </c>
      <c r="T431" s="33">
        <f t="shared" si="47"/>
        <v>80.291666666666671</v>
      </c>
      <c r="U431" s="33">
        <f t="shared" si="48"/>
        <v>69.347567692944622</v>
      </c>
      <c r="V431" s="33">
        <f t="shared" si="49"/>
        <v>-0.1617558009187462</v>
      </c>
      <c r="W431" s="12" t="b">
        <f t="shared" si="50"/>
        <v>0</v>
      </c>
    </row>
    <row r="432" spans="1:23">
      <c r="A432" s="26">
        <v>431</v>
      </c>
      <c r="B432" s="27">
        <v>40562</v>
      </c>
      <c r="C432" s="12">
        <v>1</v>
      </c>
      <c r="D432" s="12">
        <v>23</v>
      </c>
      <c r="E432" s="12" t="b">
        <v>0</v>
      </c>
      <c r="F432" s="12">
        <v>3</v>
      </c>
      <c r="G432" s="12">
        <v>1</v>
      </c>
      <c r="H432" s="12">
        <v>0.3</v>
      </c>
      <c r="I432" s="12">
        <v>0.2727</v>
      </c>
      <c r="J432" s="12">
        <v>0.52</v>
      </c>
      <c r="K432" s="12">
        <v>0.4627</v>
      </c>
      <c r="L432" s="12">
        <v>1</v>
      </c>
      <c r="M432" s="12">
        <v>27</v>
      </c>
      <c r="N432" s="12">
        <v>28</v>
      </c>
      <c r="O432" s="12" t="str">
        <f>VLOOKUP(G432,calculate_field!$B$2:$C$5,2,FALSE)</f>
        <v>Clear/Partly Cloudy</v>
      </c>
      <c r="P432" s="12" t="str">
        <f t="shared" si="44"/>
        <v>Wednesday</v>
      </c>
      <c r="Q432" s="12" t="str">
        <f t="shared" si="45"/>
        <v>Weekday</v>
      </c>
      <c r="R432" s="12" t="str">
        <f t="shared" si="46"/>
        <v>Night</v>
      </c>
      <c r="S432" s="28" t="str">
        <f>INDEX(calculate_field!$F$2:$F$4, MATCH(H432, calculate_field!$E$2:$E$4, 1))</f>
        <v>Warm</v>
      </c>
      <c r="T432" s="33">
        <f t="shared" si="47"/>
        <v>80.166666666666671</v>
      </c>
      <c r="U432" s="33">
        <f t="shared" si="48"/>
        <v>69.3903054666401</v>
      </c>
      <c r="V432" s="33">
        <f t="shared" si="49"/>
        <v>-0.16709868596713853</v>
      </c>
      <c r="W432" s="12" t="b">
        <f t="shared" si="50"/>
        <v>0</v>
      </c>
    </row>
    <row r="433" spans="1:23">
      <c r="A433" s="26">
        <v>432</v>
      </c>
      <c r="B433" s="27">
        <v>40563</v>
      </c>
      <c r="C433" s="12">
        <v>1</v>
      </c>
      <c r="D433" s="12">
        <v>0</v>
      </c>
      <c r="E433" s="12" t="b">
        <v>0</v>
      </c>
      <c r="F433" s="12">
        <v>4</v>
      </c>
      <c r="G433" s="12">
        <v>1</v>
      </c>
      <c r="H433" s="12">
        <v>0.26</v>
      </c>
      <c r="I433" s="12">
        <v>0.2273</v>
      </c>
      <c r="J433" s="12">
        <v>0.56000000000000005</v>
      </c>
      <c r="K433" s="12">
        <v>0.3881</v>
      </c>
      <c r="L433" s="12">
        <v>5</v>
      </c>
      <c r="M433" s="12">
        <v>8</v>
      </c>
      <c r="N433" s="12">
        <v>13</v>
      </c>
      <c r="O433" s="12" t="str">
        <f>VLOOKUP(G433,calculate_field!$B$2:$C$5,2,FALSE)</f>
        <v>Clear/Partly Cloudy</v>
      </c>
      <c r="P433" s="12" t="str">
        <f t="shared" si="44"/>
        <v>Thursday</v>
      </c>
      <c r="Q433" s="12" t="str">
        <f t="shared" si="45"/>
        <v>Weekday</v>
      </c>
      <c r="R433" s="12" t="str">
        <f t="shared" si="46"/>
        <v>Night</v>
      </c>
      <c r="S433" s="28" t="str">
        <f>INDEX(calculate_field!$F$2:$F$4, MATCH(H433, calculate_field!$E$2:$E$4, 1))</f>
        <v>Mild</v>
      </c>
      <c r="T433" s="33">
        <f t="shared" si="47"/>
        <v>80.291666666666671</v>
      </c>
      <c r="U433" s="33">
        <f t="shared" si="48"/>
        <v>69.294882907047693</v>
      </c>
      <c r="V433" s="33">
        <f t="shared" si="49"/>
        <v>-0.59277979875843578</v>
      </c>
      <c r="W433" s="12" t="b">
        <f t="shared" si="50"/>
        <v>0</v>
      </c>
    </row>
    <row r="434" spans="1:23">
      <c r="A434" s="26">
        <v>433</v>
      </c>
      <c r="B434" s="27">
        <v>40563</v>
      </c>
      <c r="C434" s="12">
        <v>1</v>
      </c>
      <c r="D434" s="12">
        <v>1</v>
      </c>
      <c r="E434" s="12" t="b">
        <v>0</v>
      </c>
      <c r="F434" s="12">
        <v>4</v>
      </c>
      <c r="G434" s="12">
        <v>1</v>
      </c>
      <c r="H434" s="12">
        <v>0.26</v>
      </c>
      <c r="I434" s="12">
        <v>0.2727</v>
      </c>
      <c r="J434" s="12">
        <v>0.56000000000000005</v>
      </c>
      <c r="K434" s="12">
        <v>0</v>
      </c>
      <c r="L434" s="12">
        <v>2</v>
      </c>
      <c r="M434" s="12">
        <v>3</v>
      </c>
      <c r="N434" s="12">
        <v>5</v>
      </c>
      <c r="O434" s="12" t="str">
        <f>VLOOKUP(G434,calculate_field!$B$2:$C$5,2,FALSE)</f>
        <v>Clear/Partly Cloudy</v>
      </c>
      <c r="P434" s="12" t="str">
        <f t="shared" si="44"/>
        <v>Thursday</v>
      </c>
      <c r="Q434" s="12" t="str">
        <f t="shared" si="45"/>
        <v>Weekday</v>
      </c>
      <c r="R434" s="12" t="str">
        <f t="shared" si="46"/>
        <v>Night</v>
      </c>
      <c r="S434" s="28" t="str">
        <f>INDEX(calculate_field!$F$2:$F$4, MATCH(H434, calculate_field!$E$2:$E$4, 1))</f>
        <v>Mild</v>
      </c>
      <c r="T434" s="33">
        <f t="shared" si="47"/>
        <v>80.625</v>
      </c>
      <c r="U434" s="33">
        <f t="shared" si="48"/>
        <v>68.975617935363346</v>
      </c>
      <c r="V434" s="33">
        <f t="shared" si="49"/>
        <v>-0.76551964941332318</v>
      </c>
      <c r="W434" s="12" t="b">
        <f t="shared" si="50"/>
        <v>0</v>
      </c>
    </row>
    <row r="435" spans="1:23">
      <c r="A435" s="26">
        <v>434</v>
      </c>
      <c r="B435" s="27">
        <v>40563</v>
      </c>
      <c r="C435" s="12">
        <v>1</v>
      </c>
      <c r="D435" s="12">
        <v>2</v>
      </c>
      <c r="E435" s="12" t="b">
        <v>0</v>
      </c>
      <c r="F435" s="12">
        <v>4</v>
      </c>
      <c r="G435" s="12">
        <v>1</v>
      </c>
      <c r="H435" s="12">
        <v>0.26</v>
      </c>
      <c r="I435" s="12">
        <v>0.2727</v>
      </c>
      <c r="J435" s="12">
        <v>0.56000000000000005</v>
      </c>
      <c r="K435" s="12">
        <v>0</v>
      </c>
      <c r="L435" s="12">
        <v>0</v>
      </c>
      <c r="M435" s="12">
        <v>2</v>
      </c>
      <c r="N435" s="12">
        <v>2</v>
      </c>
      <c r="O435" s="12" t="str">
        <f>VLOOKUP(G435,calculate_field!$B$2:$C$5,2,FALSE)</f>
        <v>Clear/Partly Cloudy</v>
      </c>
      <c r="P435" s="12" t="str">
        <f t="shared" si="44"/>
        <v>Thursday</v>
      </c>
      <c r="Q435" s="12" t="str">
        <f t="shared" si="45"/>
        <v>Weekday</v>
      </c>
      <c r="R435" s="12" t="str">
        <f t="shared" si="46"/>
        <v>Night</v>
      </c>
      <c r="S435" s="28" t="str">
        <f>INDEX(calculate_field!$F$2:$F$4, MATCH(H435, calculate_field!$E$2:$E$4, 1))</f>
        <v>Mild</v>
      </c>
      <c r="T435" s="33">
        <f t="shared" si="47"/>
        <v>80.666666666666671</v>
      </c>
      <c r="U435" s="33">
        <f t="shared" si="48"/>
        <v>68.92823405017252</v>
      </c>
      <c r="V435" s="33">
        <f t="shared" si="49"/>
        <v>-1.0196552865290573</v>
      </c>
      <c r="W435" s="12" t="b">
        <f t="shared" si="50"/>
        <v>1</v>
      </c>
    </row>
    <row r="436" spans="1:23">
      <c r="A436" s="26">
        <v>435</v>
      </c>
      <c r="B436" s="27">
        <v>40563</v>
      </c>
      <c r="C436" s="12">
        <v>1</v>
      </c>
      <c r="D436" s="12">
        <v>3</v>
      </c>
      <c r="E436" s="12" t="b">
        <v>0</v>
      </c>
      <c r="F436" s="12">
        <v>4</v>
      </c>
      <c r="G436" s="12">
        <v>1</v>
      </c>
      <c r="H436" s="12">
        <v>0.26</v>
      </c>
      <c r="I436" s="12">
        <v>0.2576</v>
      </c>
      <c r="J436" s="12">
        <v>0.56000000000000005</v>
      </c>
      <c r="K436" s="12">
        <v>0.16420000000000001</v>
      </c>
      <c r="L436" s="12">
        <v>0</v>
      </c>
      <c r="M436" s="12">
        <v>1</v>
      </c>
      <c r="N436" s="12">
        <v>1</v>
      </c>
      <c r="O436" s="12" t="str">
        <f>VLOOKUP(G436,calculate_field!$B$2:$C$5,2,FALSE)</f>
        <v>Clear/Partly Cloudy</v>
      </c>
      <c r="P436" s="12" t="str">
        <f t="shared" si="44"/>
        <v>Thursday</v>
      </c>
      <c r="Q436" s="12" t="str">
        <f t="shared" si="45"/>
        <v>Weekday</v>
      </c>
      <c r="R436" s="12" t="str">
        <f t="shared" si="46"/>
        <v>Night</v>
      </c>
      <c r="S436" s="28" t="str">
        <f>INDEX(calculate_field!$F$2:$F$4, MATCH(H436, calculate_field!$E$2:$E$4, 1))</f>
        <v>Mild</v>
      </c>
      <c r="T436" s="33">
        <f t="shared" si="47"/>
        <v>80.666666666666671</v>
      </c>
      <c r="U436" s="33">
        <f t="shared" si="48"/>
        <v>68.92823405017252</v>
      </c>
      <c r="V436" s="33">
        <f t="shared" si="49"/>
        <v>-1.0993253209931637</v>
      </c>
      <c r="W436" s="12" t="b">
        <f t="shared" si="50"/>
        <v>1</v>
      </c>
    </row>
    <row r="437" spans="1:23">
      <c r="A437" s="26">
        <v>436</v>
      </c>
      <c r="B437" s="27">
        <v>40563</v>
      </c>
      <c r="C437" s="12">
        <v>1</v>
      </c>
      <c r="D437" s="12">
        <v>4</v>
      </c>
      <c r="E437" s="12" t="b">
        <v>0</v>
      </c>
      <c r="F437" s="12">
        <v>4</v>
      </c>
      <c r="G437" s="12">
        <v>1</v>
      </c>
      <c r="H437" s="12">
        <v>0.26</v>
      </c>
      <c r="I437" s="12">
        <v>0.2576</v>
      </c>
      <c r="J437" s="12">
        <v>0.56000000000000005</v>
      </c>
      <c r="K437" s="12">
        <v>0.16420000000000001</v>
      </c>
      <c r="L437" s="12">
        <v>0</v>
      </c>
      <c r="M437" s="12">
        <v>1</v>
      </c>
      <c r="N437" s="12">
        <v>1</v>
      </c>
      <c r="O437" s="12" t="str">
        <f>VLOOKUP(G437,calculate_field!$B$2:$C$5,2,FALSE)</f>
        <v>Clear/Partly Cloudy</v>
      </c>
      <c r="P437" s="12" t="str">
        <f t="shared" si="44"/>
        <v>Thursday</v>
      </c>
      <c r="Q437" s="12" t="str">
        <f t="shared" si="45"/>
        <v>Weekday</v>
      </c>
      <c r="R437" s="12" t="str">
        <f t="shared" si="46"/>
        <v>Night</v>
      </c>
      <c r="S437" s="28" t="str">
        <f>INDEX(calculate_field!$F$2:$F$4, MATCH(H437, calculate_field!$E$2:$E$4, 1))</f>
        <v>Mild</v>
      </c>
      <c r="T437" s="33">
        <f t="shared" si="47"/>
        <v>80.666666666666671</v>
      </c>
      <c r="U437" s="33">
        <f t="shared" si="48"/>
        <v>68.92823405017252</v>
      </c>
      <c r="V437" s="33">
        <f t="shared" si="49"/>
        <v>-1.1316587122612283</v>
      </c>
      <c r="W437" s="12" t="b">
        <f t="shared" si="50"/>
        <v>1</v>
      </c>
    </row>
    <row r="438" spans="1:23">
      <c r="A438" s="26">
        <v>437</v>
      </c>
      <c r="B438" s="27">
        <v>40563</v>
      </c>
      <c r="C438" s="12">
        <v>1</v>
      </c>
      <c r="D438" s="12">
        <v>5</v>
      </c>
      <c r="E438" s="12" t="b">
        <v>0</v>
      </c>
      <c r="F438" s="12">
        <v>4</v>
      </c>
      <c r="G438" s="12">
        <v>1</v>
      </c>
      <c r="H438" s="12">
        <v>0.24</v>
      </c>
      <c r="I438" s="12">
        <v>0.2273</v>
      </c>
      <c r="J438" s="12">
        <v>0.6</v>
      </c>
      <c r="K438" s="12">
        <v>0.22389999999999999</v>
      </c>
      <c r="L438" s="12">
        <v>0</v>
      </c>
      <c r="M438" s="12">
        <v>6</v>
      </c>
      <c r="N438" s="12">
        <v>6</v>
      </c>
      <c r="O438" s="12" t="str">
        <f>VLOOKUP(G438,calculate_field!$B$2:$C$5,2,FALSE)</f>
        <v>Clear/Partly Cloudy</v>
      </c>
      <c r="P438" s="12" t="str">
        <f t="shared" si="44"/>
        <v>Thursday</v>
      </c>
      <c r="Q438" s="12" t="str">
        <f t="shared" si="45"/>
        <v>Weekday</v>
      </c>
      <c r="R438" s="12" t="str">
        <f t="shared" si="46"/>
        <v>Night</v>
      </c>
      <c r="S438" s="28" t="str">
        <f>INDEX(calculate_field!$F$2:$F$4, MATCH(H438, calculate_field!$E$2:$E$4, 1))</f>
        <v>Mild</v>
      </c>
      <c r="T438" s="33">
        <f t="shared" si="47"/>
        <v>80.666666666666671</v>
      </c>
      <c r="U438" s="33">
        <f t="shared" si="48"/>
        <v>68.92823405017252</v>
      </c>
      <c r="V438" s="33">
        <f t="shared" si="49"/>
        <v>-1.1418509600142397</v>
      </c>
      <c r="W438" s="12" t="b">
        <f t="shared" si="50"/>
        <v>0</v>
      </c>
    </row>
    <row r="439" spans="1:23">
      <c r="A439" s="26">
        <v>438</v>
      </c>
      <c r="B439" s="27">
        <v>40563</v>
      </c>
      <c r="C439" s="12">
        <v>1</v>
      </c>
      <c r="D439" s="12">
        <v>6</v>
      </c>
      <c r="E439" s="12" t="b">
        <v>0</v>
      </c>
      <c r="F439" s="12">
        <v>4</v>
      </c>
      <c r="G439" s="12">
        <v>1</v>
      </c>
      <c r="H439" s="12">
        <v>0.22</v>
      </c>
      <c r="I439" s="12">
        <v>0.21210000000000001</v>
      </c>
      <c r="J439" s="12">
        <v>0.6</v>
      </c>
      <c r="K439" s="12">
        <v>0.22389999999999999</v>
      </c>
      <c r="L439" s="12">
        <v>0</v>
      </c>
      <c r="M439" s="12">
        <v>35</v>
      </c>
      <c r="N439" s="12">
        <v>35</v>
      </c>
      <c r="O439" s="12" t="str">
        <f>VLOOKUP(G439,calculate_field!$B$2:$C$5,2,FALSE)</f>
        <v>Clear/Partly Cloudy</v>
      </c>
      <c r="P439" s="12" t="str">
        <f t="shared" si="44"/>
        <v>Thursday</v>
      </c>
      <c r="Q439" s="12" t="str">
        <f t="shared" si="45"/>
        <v>Weekday</v>
      </c>
      <c r="R439" s="12" t="str">
        <f t="shared" si="46"/>
        <v>Morning</v>
      </c>
      <c r="S439" s="28" t="str">
        <f>INDEX(calculate_field!$F$2:$F$4, MATCH(H439, calculate_field!$E$2:$E$4, 1))</f>
        <v>Mild</v>
      </c>
      <c r="T439" s="33">
        <f t="shared" si="47"/>
        <v>80.625</v>
      </c>
      <c r="U439" s="33">
        <f t="shared" si="48"/>
        <v>68.975617935363346</v>
      </c>
      <c r="V439" s="33">
        <f t="shared" si="49"/>
        <v>-1.0736695963399108</v>
      </c>
      <c r="W439" s="12" t="b">
        <f t="shared" si="50"/>
        <v>0</v>
      </c>
    </row>
    <row r="440" spans="1:23">
      <c r="A440" s="26">
        <v>439</v>
      </c>
      <c r="B440" s="27">
        <v>40563</v>
      </c>
      <c r="C440" s="12">
        <v>1</v>
      </c>
      <c r="D440" s="12">
        <v>7</v>
      </c>
      <c r="E440" s="12" t="b">
        <v>0</v>
      </c>
      <c r="F440" s="12">
        <v>4</v>
      </c>
      <c r="G440" s="12">
        <v>1</v>
      </c>
      <c r="H440" s="12">
        <v>0.22</v>
      </c>
      <c r="I440" s="12">
        <v>0.21210000000000001</v>
      </c>
      <c r="J440" s="12">
        <v>0.55000000000000004</v>
      </c>
      <c r="K440" s="12">
        <v>0.22389999999999999</v>
      </c>
      <c r="L440" s="12">
        <v>1</v>
      </c>
      <c r="M440" s="12">
        <v>100</v>
      </c>
      <c r="N440" s="12">
        <v>101</v>
      </c>
      <c r="O440" s="12" t="str">
        <f>VLOOKUP(G440,calculate_field!$B$2:$C$5,2,FALSE)</f>
        <v>Clear/Partly Cloudy</v>
      </c>
      <c r="P440" s="12" t="str">
        <f t="shared" si="44"/>
        <v>Thursday</v>
      </c>
      <c r="Q440" s="12" t="str">
        <f t="shared" si="45"/>
        <v>Weekday</v>
      </c>
      <c r="R440" s="12" t="str">
        <f t="shared" si="46"/>
        <v>Morning</v>
      </c>
      <c r="S440" s="28" t="str">
        <f>INDEX(calculate_field!$F$2:$F$4, MATCH(H440, calculate_field!$E$2:$E$4, 1))</f>
        <v>Mild</v>
      </c>
      <c r="T440" s="33">
        <f t="shared" si="47"/>
        <v>80.291666666666671</v>
      </c>
      <c r="U440" s="33">
        <f t="shared" si="48"/>
        <v>69.224574153017855</v>
      </c>
      <c r="V440" s="33">
        <f t="shared" si="49"/>
        <v>-0.67546975059301595</v>
      </c>
      <c r="W440" s="12" t="b">
        <f t="shared" si="50"/>
        <v>0</v>
      </c>
    </row>
    <row r="441" spans="1:23">
      <c r="A441" s="26">
        <v>440</v>
      </c>
      <c r="B441" s="27">
        <v>40563</v>
      </c>
      <c r="C441" s="12">
        <v>1</v>
      </c>
      <c r="D441" s="12">
        <v>8</v>
      </c>
      <c r="E441" s="12" t="b">
        <v>0</v>
      </c>
      <c r="F441" s="12">
        <v>4</v>
      </c>
      <c r="G441" s="12">
        <v>1</v>
      </c>
      <c r="H441" s="12">
        <v>0.22</v>
      </c>
      <c r="I441" s="12">
        <v>0.21210000000000001</v>
      </c>
      <c r="J441" s="12">
        <v>0.55000000000000004</v>
      </c>
      <c r="K441" s="12">
        <v>0.28360000000000002</v>
      </c>
      <c r="L441" s="12">
        <v>2</v>
      </c>
      <c r="M441" s="12">
        <v>247</v>
      </c>
      <c r="N441" s="12">
        <v>249</v>
      </c>
      <c r="O441" s="12" t="str">
        <f>VLOOKUP(G441,calculate_field!$B$2:$C$5,2,FALSE)</f>
        <v>Clear/Partly Cloudy</v>
      </c>
      <c r="P441" s="12" t="str">
        <f t="shared" si="44"/>
        <v>Thursday</v>
      </c>
      <c r="Q441" s="12" t="str">
        <f t="shared" si="45"/>
        <v>Weekday</v>
      </c>
      <c r="R441" s="12" t="str">
        <f t="shared" si="46"/>
        <v>Morning</v>
      </c>
      <c r="S441" s="28" t="str">
        <f>INDEX(calculate_field!$F$2:$F$4, MATCH(H441, calculate_field!$E$2:$E$4, 1))</f>
        <v>Mild</v>
      </c>
      <c r="T441" s="33">
        <f t="shared" si="47"/>
        <v>78.916666666666671</v>
      </c>
      <c r="U441" s="33">
        <f t="shared" si="48"/>
        <v>69.123026218642863</v>
      </c>
      <c r="V441" s="33">
        <f t="shared" si="49"/>
        <v>7.0625326783831183E-2</v>
      </c>
      <c r="W441" s="12" t="b">
        <f t="shared" si="50"/>
        <v>0</v>
      </c>
    </row>
    <row r="442" spans="1:23">
      <c r="A442" s="26">
        <v>441</v>
      </c>
      <c r="B442" s="27">
        <v>40563</v>
      </c>
      <c r="C442" s="12">
        <v>1</v>
      </c>
      <c r="D442" s="12">
        <v>9</v>
      </c>
      <c r="E442" s="12" t="b">
        <v>0</v>
      </c>
      <c r="F442" s="12">
        <v>4</v>
      </c>
      <c r="G442" s="12">
        <v>2</v>
      </c>
      <c r="H442" s="12">
        <v>0.24</v>
      </c>
      <c r="I442" s="12">
        <v>0.2273</v>
      </c>
      <c r="J442" s="12">
        <v>0.52</v>
      </c>
      <c r="K442" s="12">
        <v>0.22389999999999999</v>
      </c>
      <c r="L442" s="12">
        <v>3</v>
      </c>
      <c r="M442" s="12">
        <v>140</v>
      </c>
      <c r="N442" s="12">
        <v>143</v>
      </c>
      <c r="O442" s="12" t="str">
        <f>VLOOKUP(G442,calculate_field!$B$2:$C$5,2,FALSE)</f>
        <v xml:space="preserve">Mist / cloudy </v>
      </c>
      <c r="P442" s="12" t="str">
        <f t="shared" si="44"/>
        <v>Thursday</v>
      </c>
      <c r="Q442" s="12" t="str">
        <f t="shared" si="45"/>
        <v>Weekday</v>
      </c>
      <c r="R442" s="12" t="str">
        <f t="shared" si="46"/>
        <v>Morning</v>
      </c>
      <c r="S442" s="28" t="str">
        <f>INDEX(calculate_field!$F$2:$F$4, MATCH(H442, calculate_field!$E$2:$E$4, 1))</f>
        <v>Mild</v>
      </c>
      <c r="T442" s="33">
        <f t="shared" si="47"/>
        <v>77.583333333333329</v>
      </c>
      <c r="U442" s="33">
        <f t="shared" si="48"/>
        <v>65.93469540364174</v>
      </c>
      <c r="V442" s="33">
        <f t="shared" si="49"/>
        <v>2.7081366400772087</v>
      </c>
      <c r="W442" s="12" t="b">
        <f t="shared" si="50"/>
        <v>0</v>
      </c>
    </row>
    <row r="443" spans="1:23">
      <c r="A443" s="26">
        <v>442</v>
      </c>
      <c r="B443" s="27">
        <v>40563</v>
      </c>
      <c r="C443" s="12">
        <v>1</v>
      </c>
      <c r="D443" s="12">
        <v>10</v>
      </c>
      <c r="E443" s="12" t="b">
        <v>0</v>
      </c>
      <c r="F443" s="12">
        <v>4</v>
      </c>
      <c r="G443" s="12">
        <v>1</v>
      </c>
      <c r="H443" s="12">
        <v>0.26</v>
      </c>
      <c r="I443" s="12">
        <v>0.2273</v>
      </c>
      <c r="J443" s="12">
        <v>0.48</v>
      </c>
      <c r="K443" s="12">
        <v>0.29849999999999999</v>
      </c>
      <c r="L443" s="12">
        <v>1</v>
      </c>
      <c r="M443" s="12">
        <v>56</v>
      </c>
      <c r="N443" s="12">
        <v>57</v>
      </c>
      <c r="O443" s="12" t="str">
        <f>VLOOKUP(G443,calculate_field!$B$2:$C$5,2,FALSE)</f>
        <v>Clear/Partly Cloudy</v>
      </c>
      <c r="P443" s="12" t="str">
        <f t="shared" si="44"/>
        <v>Thursday</v>
      </c>
      <c r="Q443" s="12" t="str">
        <f t="shared" si="45"/>
        <v>Weekday</v>
      </c>
      <c r="R443" s="12" t="str">
        <f t="shared" si="46"/>
        <v>Morning</v>
      </c>
      <c r="S443" s="28" t="str">
        <f>INDEX(calculate_field!$F$2:$F$4, MATCH(H443, calculate_field!$E$2:$E$4, 1))</f>
        <v>Mild</v>
      </c>
      <c r="T443" s="33">
        <f t="shared" si="47"/>
        <v>78.541666666666671</v>
      </c>
      <c r="U443" s="33">
        <f t="shared" si="48"/>
        <v>67.083970201315722</v>
      </c>
      <c r="V443" s="33">
        <f t="shared" si="49"/>
        <v>2.3749356966217872</v>
      </c>
      <c r="W443" s="12" t="b">
        <f t="shared" si="50"/>
        <v>0</v>
      </c>
    </row>
    <row r="444" spans="1:23">
      <c r="A444" s="26">
        <v>443</v>
      </c>
      <c r="B444" s="27">
        <v>40563</v>
      </c>
      <c r="C444" s="12">
        <v>1</v>
      </c>
      <c r="D444" s="12">
        <v>11</v>
      </c>
      <c r="E444" s="12" t="b">
        <v>0</v>
      </c>
      <c r="F444" s="12">
        <v>4</v>
      </c>
      <c r="G444" s="12">
        <v>2</v>
      </c>
      <c r="H444" s="12">
        <v>0.28000000000000003</v>
      </c>
      <c r="I444" s="12">
        <v>0.2727</v>
      </c>
      <c r="J444" s="12">
        <v>0.45</v>
      </c>
      <c r="K444" s="12">
        <v>0.16420000000000001</v>
      </c>
      <c r="L444" s="12">
        <v>5</v>
      </c>
      <c r="M444" s="12">
        <v>63</v>
      </c>
      <c r="N444" s="12">
        <v>68</v>
      </c>
      <c r="O444" s="12" t="str">
        <f>VLOOKUP(G444,calculate_field!$B$2:$C$5,2,FALSE)</f>
        <v xml:space="preserve">Mist / cloudy </v>
      </c>
      <c r="P444" s="12" t="str">
        <f t="shared" si="44"/>
        <v>Thursday</v>
      </c>
      <c r="Q444" s="12" t="str">
        <f t="shared" si="45"/>
        <v>Weekday</v>
      </c>
      <c r="R444" s="12" t="str">
        <f t="shared" si="46"/>
        <v>Morning</v>
      </c>
      <c r="S444" s="28" t="str">
        <f>INDEX(calculate_field!$F$2:$F$4, MATCH(H444, calculate_field!$E$2:$E$4, 1))</f>
        <v>Mild</v>
      </c>
      <c r="T444" s="33">
        <f t="shared" si="47"/>
        <v>78.791666666666671</v>
      </c>
      <c r="U444" s="33">
        <f t="shared" si="48"/>
        <v>67.011341782837263</v>
      </c>
      <c r="V444" s="33">
        <f t="shared" si="49"/>
        <v>0.31700446723782588</v>
      </c>
      <c r="W444" s="12" t="b">
        <f t="shared" si="50"/>
        <v>0</v>
      </c>
    </row>
    <row r="445" spans="1:23">
      <c r="A445" s="26">
        <v>444</v>
      </c>
      <c r="B445" s="27">
        <v>40563</v>
      </c>
      <c r="C445" s="12">
        <v>1</v>
      </c>
      <c r="D445" s="12">
        <v>12</v>
      </c>
      <c r="E445" s="12" t="b">
        <v>0</v>
      </c>
      <c r="F445" s="12">
        <v>4</v>
      </c>
      <c r="G445" s="12">
        <v>2</v>
      </c>
      <c r="H445" s="12">
        <v>0.3</v>
      </c>
      <c r="I445" s="12">
        <v>0.33329999999999999</v>
      </c>
      <c r="J445" s="12">
        <v>0.42</v>
      </c>
      <c r="K445" s="12">
        <v>0</v>
      </c>
      <c r="L445" s="12">
        <v>7</v>
      </c>
      <c r="M445" s="12">
        <v>77</v>
      </c>
      <c r="N445" s="12">
        <v>84</v>
      </c>
      <c r="O445" s="12" t="str">
        <f>VLOOKUP(G445,calculate_field!$B$2:$C$5,2,FALSE)</f>
        <v xml:space="preserve">Mist / cloudy </v>
      </c>
      <c r="P445" s="12" t="str">
        <f t="shared" si="44"/>
        <v>Thursday</v>
      </c>
      <c r="Q445" s="12" t="str">
        <f t="shared" si="45"/>
        <v>Weekday</v>
      </c>
      <c r="R445" s="12" t="str">
        <f t="shared" si="46"/>
        <v>Afternoon</v>
      </c>
      <c r="S445" s="28" t="str">
        <f>INDEX(calculate_field!$F$2:$F$4, MATCH(H445, calculate_field!$E$2:$E$4, 1))</f>
        <v>Warm</v>
      </c>
      <c r="T445" s="33">
        <f t="shared" si="47"/>
        <v>78.416666666666671</v>
      </c>
      <c r="U445" s="33">
        <f t="shared" si="48"/>
        <v>67.09948270821576</v>
      </c>
      <c r="V445" s="33">
        <f t="shared" si="49"/>
        <v>0.21787603448593243</v>
      </c>
      <c r="W445" s="12" t="b">
        <f t="shared" si="50"/>
        <v>0</v>
      </c>
    </row>
    <row r="446" spans="1:23">
      <c r="A446" s="26">
        <v>445</v>
      </c>
      <c r="B446" s="27">
        <v>40563</v>
      </c>
      <c r="C446" s="12">
        <v>1</v>
      </c>
      <c r="D446" s="12">
        <v>13</v>
      </c>
      <c r="E446" s="12" t="b">
        <v>0</v>
      </c>
      <c r="F446" s="12">
        <v>4</v>
      </c>
      <c r="G446" s="12">
        <v>2</v>
      </c>
      <c r="H446" s="12">
        <v>0.28000000000000003</v>
      </c>
      <c r="I446" s="12">
        <v>0.28789999999999999</v>
      </c>
      <c r="J446" s="12">
        <v>0.45</v>
      </c>
      <c r="K446" s="12">
        <v>0.1045</v>
      </c>
      <c r="L446" s="12">
        <v>12</v>
      </c>
      <c r="M446" s="12">
        <v>86</v>
      </c>
      <c r="N446" s="12">
        <v>98</v>
      </c>
      <c r="O446" s="12" t="str">
        <f>VLOOKUP(G446,calculate_field!$B$2:$C$5,2,FALSE)</f>
        <v xml:space="preserve">Mist / cloudy </v>
      </c>
      <c r="P446" s="12" t="str">
        <f t="shared" si="44"/>
        <v>Thursday</v>
      </c>
      <c r="Q446" s="12" t="str">
        <f t="shared" si="45"/>
        <v>Weekday</v>
      </c>
      <c r="R446" s="12" t="str">
        <f t="shared" si="46"/>
        <v>Afternoon</v>
      </c>
      <c r="S446" s="28" t="str">
        <f>INDEX(calculate_field!$F$2:$F$4, MATCH(H446, calculate_field!$E$2:$E$4, 1))</f>
        <v>Mild</v>
      </c>
      <c r="T446" s="33">
        <f t="shared" si="47"/>
        <v>78.166666666666671</v>
      </c>
      <c r="U446" s="33">
        <f t="shared" si="48"/>
        <v>67.088952415668899</v>
      </c>
      <c r="V446" s="33">
        <f t="shared" si="49"/>
        <v>0.67459692420010697</v>
      </c>
      <c r="W446" s="12" t="b">
        <f t="shared" si="50"/>
        <v>0</v>
      </c>
    </row>
    <row r="447" spans="1:23">
      <c r="A447" s="26">
        <v>446</v>
      </c>
      <c r="B447" s="27">
        <v>40563</v>
      </c>
      <c r="C447" s="12">
        <v>1</v>
      </c>
      <c r="D447" s="12">
        <v>14</v>
      </c>
      <c r="E447" s="12" t="b">
        <v>0</v>
      </c>
      <c r="F447" s="12">
        <v>4</v>
      </c>
      <c r="G447" s="12">
        <v>2</v>
      </c>
      <c r="H447" s="12">
        <v>0.3</v>
      </c>
      <c r="I447" s="12">
        <v>0.30299999999999999</v>
      </c>
      <c r="J447" s="12">
        <v>0.45</v>
      </c>
      <c r="K447" s="12">
        <v>0.1343</v>
      </c>
      <c r="L447" s="12">
        <v>6</v>
      </c>
      <c r="M447" s="12">
        <v>75</v>
      </c>
      <c r="N447" s="12">
        <v>81</v>
      </c>
      <c r="O447" s="12" t="str">
        <f>VLOOKUP(G447,calculate_field!$B$2:$C$5,2,FALSE)</f>
        <v xml:space="preserve">Mist / cloudy </v>
      </c>
      <c r="P447" s="12" t="str">
        <f t="shared" si="44"/>
        <v>Thursday</v>
      </c>
      <c r="Q447" s="12" t="str">
        <f t="shared" si="45"/>
        <v>Weekday</v>
      </c>
      <c r="R447" s="12" t="str">
        <f t="shared" si="46"/>
        <v>Afternoon</v>
      </c>
      <c r="S447" s="28" t="str">
        <f>INDEX(calculate_field!$F$2:$F$4, MATCH(H447, calculate_field!$E$2:$E$4, 1))</f>
        <v>Warm</v>
      </c>
      <c r="T447" s="33">
        <f t="shared" si="47"/>
        <v>77.125</v>
      </c>
      <c r="U447" s="33">
        <f t="shared" si="48"/>
        <v>66.961580483659176</v>
      </c>
      <c r="V447" s="33">
        <f t="shared" si="49"/>
        <v>0.54242744686306621</v>
      </c>
      <c r="W447" s="12" t="b">
        <f t="shared" si="50"/>
        <v>0</v>
      </c>
    </row>
    <row r="448" spans="1:23">
      <c r="A448" s="26">
        <v>447</v>
      </c>
      <c r="B448" s="27">
        <v>40563</v>
      </c>
      <c r="C448" s="12">
        <v>1</v>
      </c>
      <c r="D448" s="12">
        <v>15</v>
      </c>
      <c r="E448" s="12" t="b">
        <v>0</v>
      </c>
      <c r="F448" s="12">
        <v>4</v>
      </c>
      <c r="G448" s="12">
        <v>2</v>
      </c>
      <c r="H448" s="12">
        <v>0.32</v>
      </c>
      <c r="I448" s="12">
        <v>0.31819999999999998</v>
      </c>
      <c r="J448" s="12">
        <v>0.45</v>
      </c>
      <c r="K448" s="12">
        <v>0.19400000000000001</v>
      </c>
      <c r="L448" s="12">
        <v>8</v>
      </c>
      <c r="M448" s="12">
        <v>62</v>
      </c>
      <c r="N448" s="12">
        <v>70</v>
      </c>
      <c r="O448" s="12" t="str">
        <f>VLOOKUP(G448,calculate_field!$B$2:$C$5,2,FALSE)</f>
        <v xml:space="preserve">Mist / cloudy </v>
      </c>
      <c r="P448" s="12" t="str">
        <f t="shared" si="44"/>
        <v>Thursday</v>
      </c>
      <c r="Q448" s="12" t="str">
        <f t="shared" si="45"/>
        <v>Weekday</v>
      </c>
      <c r="R448" s="12" t="str">
        <f t="shared" si="46"/>
        <v>Afternoon</v>
      </c>
      <c r="S448" s="28" t="str">
        <f>INDEX(calculate_field!$F$2:$F$4, MATCH(H448, calculate_field!$E$2:$E$4, 1))</f>
        <v>Warm</v>
      </c>
      <c r="T448" s="33">
        <f t="shared" si="47"/>
        <v>76.333333333333329</v>
      </c>
      <c r="U448" s="33">
        <f t="shared" si="48"/>
        <v>67.026060257359518</v>
      </c>
      <c r="V448" s="33">
        <f t="shared" si="49"/>
        <v>0.26986424869383085</v>
      </c>
      <c r="W448" s="12" t="b">
        <f t="shared" si="50"/>
        <v>0</v>
      </c>
    </row>
    <row r="449" spans="1:23">
      <c r="A449" s="26">
        <v>448</v>
      </c>
      <c r="B449" s="27">
        <v>40563</v>
      </c>
      <c r="C449" s="12">
        <v>1</v>
      </c>
      <c r="D449" s="12">
        <v>16</v>
      </c>
      <c r="E449" s="12" t="b">
        <v>0</v>
      </c>
      <c r="F449" s="12">
        <v>4</v>
      </c>
      <c r="G449" s="12">
        <v>2</v>
      </c>
      <c r="H449" s="12">
        <v>0.3</v>
      </c>
      <c r="I449" s="12">
        <v>0.30299999999999999</v>
      </c>
      <c r="J449" s="12">
        <v>0.49</v>
      </c>
      <c r="K449" s="12">
        <v>0.1343</v>
      </c>
      <c r="L449" s="12">
        <v>8</v>
      </c>
      <c r="M449" s="12">
        <v>83</v>
      </c>
      <c r="N449" s="12">
        <v>91</v>
      </c>
      <c r="O449" s="12" t="str">
        <f>VLOOKUP(G449,calculate_field!$B$2:$C$5,2,FALSE)</f>
        <v xml:space="preserve">Mist / cloudy </v>
      </c>
      <c r="P449" s="12" t="str">
        <f t="shared" si="44"/>
        <v>Thursday</v>
      </c>
      <c r="Q449" s="12" t="str">
        <f t="shared" si="45"/>
        <v>Weekday</v>
      </c>
      <c r="R449" s="12" t="str">
        <f t="shared" si="46"/>
        <v>Afternoon</v>
      </c>
      <c r="S449" s="28" t="str">
        <f>INDEX(calculate_field!$F$2:$F$4, MATCH(H449, calculate_field!$E$2:$E$4, 1))</f>
        <v>Warm</v>
      </c>
      <c r="T449" s="33">
        <f t="shared" si="47"/>
        <v>76.125</v>
      </c>
      <c r="U449" s="33">
        <f t="shared" si="48"/>
        <v>67.054366326722231</v>
      </c>
      <c r="V449" s="33">
        <f t="shared" si="49"/>
        <v>0.2921014441481421</v>
      </c>
      <c r="W449" s="12" t="b">
        <f t="shared" si="50"/>
        <v>0</v>
      </c>
    </row>
    <row r="450" spans="1:23">
      <c r="A450" s="26">
        <v>449</v>
      </c>
      <c r="B450" s="27">
        <v>40563</v>
      </c>
      <c r="C450" s="12">
        <v>1</v>
      </c>
      <c r="D450" s="12">
        <v>17</v>
      </c>
      <c r="E450" s="12" t="b">
        <v>0</v>
      </c>
      <c r="F450" s="12">
        <v>4</v>
      </c>
      <c r="G450" s="12">
        <v>2</v>
      </c>
      <c r="H450" s="12">
        <v>0.3</v>
      </c>
      <c r="I450" s="12">
        <v>0.31819999999999998</v>
      </c>
      <c r="J450" s="12">
        <v>0.49</v>
      </c>
      <c r="K450" s="12">
        <v>0.1045</v>
      </c>
      <c r="L450" s="12">
        <v>8</v>
      </c>
      <c r="M450" s="12">
        <v>207</v>
      </c>
      <c r="N450" s="12">
        <v>215</v>
      </c>
      <c r="O450" s="12" t="str">
        <f>VLOOKUP(G450,calculate_field!$B$2:$C$5,2,FALSE)</f>
        <v xml:space="preserve">Mist / cloudy </v>
      </c>
      <c r="P450" s="12" t="str">
        <f t="shared" ref="P450:P513" si="51">CHOOSE(F450+1,"Sunday","Monday","Tuesday","Wednesday","Thursday","Friday","Saturday")</f>
        <v>Thursday</v>
      </c>
      <c r="Q450" s="12" t="str">
        <f t="shared" ref="Q450:Q513" si="52">IF(OR(F450=0,F450=6),"Weekend","Weekday")</f>
        <v>Weekday</v>
      </c>
      <c r="R450" s="12" t="str">
        <f t="shared" ref="R450:R513" si="53">IF(D450&lt;6,"Night",IF(D450&lt;12,"Morning",IF(D450&lt;17,"Afternoon",IF(D450&lt;21,"Evening","Night"))))</f>
        <v>Evening</v>
      </c>
      <c r="S450" s="28" t="str">
        <f>INDEX(calculate_field!$F$2:$F$4, MATCH(H450, calculate_field!$E$2:$E$4, 1))</f>
        <v>Warm</v>
      </c>
      <c r="T450" s="33">
        <f t="shared" ref="T450:T513" si="54">AVERAGE(N450:N473)</f>
        <v>76.375</v>
      </c>
      <c r="U450" s="33">
        <f t="shared" ref="U450:U513" si="55">_xlfn.STDEV.S(N450:N473)</f>
        <v>67.123385738827849</v>
      </c>
      <c r="V450" s="33">
        <f t="shared" ref="V450:V513" si="56">(N473-T473)/U473</f>
        <v>1.0252972936219307</v>
      </c>
      <c r="W450" s="12" t="b">
        <f t="shared" ref="W450:W513" si="57">IFERROR(ABS(V466)&gt;1.5,FALSE)</f>
        <v>0</v>
      </c>
    </row>
    <row r="451" spans="1:23">
      <c r="A451" s="26">
        <v>450</v>
      </c>
      <c r="B451" s="27">
        <v>40563</v>
      </c>
      <c r="C451" s="12">
        <v>1</v>
      </c>
      <c r="D451" s="12">
        <v>18</v>
      </c>
      <c r="E451" s="12" t="b">
        <v>0</v>
      </c>
      <c r="F451" s="12">
        <v>4</v>
      </c>
      <c r="G451" s="12">
        <v>2</v>
      </c>
      <c r="H451" s="12">
        <v>0.26</v>
      </c>
      <c r="I451" s="12">
        <v>0.2576</v>
      </c>
      <c r="J451" s="12">
        <v>0.56000000000000005</v>
      </c>
      <c r="K451" s="12">
        <v>0.19400000000000001</v>
      </c>
      <c r="L451" s="12">
        <v>1</v>
      </c>
      <c r="M451" s="12">
        <v>184</v>
      </c>
      <c r="N451" s="12">
        <v>185</v>
      </c>
      <c r="O451" s="12" t="str">
        <f>VLOOKUP(G451,calculate_field!$B$2:$C$5,2,FALSE)</f>
        <v xml:space="preserve">Mist / cloudy </v>
      </c>
      <c r="P451" s="12" t="str">
        <f t="shared" si="51"/>
        <v>Thursday</v>
      </c>
      <c r="Q451" s="12" t="str">
        <f t="shared" si="52"/>
        <v>Weekday</v>
      </c>
      <c r="R451" s="12" t="str">
        <f t="shared" si="53"/>
        <v>Evening</v>
      </c>
      <c r="S451" s="28" t="str">
        <f>INDEX(calculate_field!$F$2:$F$4, MATCH(H451, calculate_field!$E$2:$E$4, 1))</f>
        <v>Mild</v>
      </c>
      <c r="T451" s="33">
        <f t="shared" si="54"/>
        <v>74.125</v>
      </c>
      <c r="U451" s="33">
        <f t="shared" si="55"/>
        <v>63.056436074636999</v>
      </c>
      <c r="V451" s="33">
        <f t="shared" si="56"/>
        <v>2.6175831920733703</v>
      </c>
      <c r="W451" s="12" t="b">
        <f t="shared" si="57"/>
        <v>0</v>
      </c>
    </row>
    <row r="452" spans="1:23">
      <c r="A452" s="26">
        <v>451</v>
      </c>
      <c r="B452" s="27">
        <v>40563</v>
      </c>
      <c r="C452" s="12">
        <v>1</v>
      </c>
      <c r="D452" s="12">
        <v>19</v>
      </c>
      <c r="E452" s="12" t="b">
        <v>0</v>
      </c>
      <c r="F452" s="12">
        <v>4</v>
      </c>
      <c r="G452" s="12">
        <v>1</v>
      </c>
      <c r="H452" s="12">
        <v>0.26</v>
      </c>
      <c r="I452" s="12">
        <v>0.2273</v>
      </c>
      <c r="J452" s="12">
        <v>0.56000000000000005</v>
      </c>
      <c r="K452" s="12">
        <v>0.32840000000000003</v>
      </c>
      <c r="L452" s="12">
        <v>6</v>
      </c>
      <c r="M452" s="12">
        <v>146</v>
      </c>
      <c r="N452" s="12">
        <v>152</v>
      </c>
      <c r="O452" s="12" t="str">
        <f>VLOOKUP(G452,calculate_field!$B$2:$C$5,2,FALSE)</f>
        <v>Clear/Partly Cloudy</v>
      </c>
      <c r="P452" s="12" t="str">
        <f t="shared" si="51"/>
        <v>Thursday</v>
      </c>
      <c r="Q452" s="12" t="str">
        <f t="shared" si="52"/>
        <v>Weekday</v>
      </c>
      <c r="R452" s="12" t="str">
        <f t="shared" si="53"/>
        <v>Evening</v>
      </c>
      <c r="S452" s="28" t="str">
        <f>INDEX(calculate_field!$F$2:$F$4, MATCH(H452, calculate_field!$E$2:$E$4, 1))</f>
        <v>Mild</v>
      </c>
      <c r="T452" s="33">
        <f t="shared" si="54"/>
        <v>71.416666666666671</v>
      </c>
      <c r="U452" s="33">
        <f t="shared" si="55"/>
        <v>59.375676960290342</v>
      </c>
      <c r="V452" s="33">
        <f t="shared" si="56"/>
        <v>2.0924933409810236</v>
      </c>
      <c r="W452" s="12" t="b">
        <f t="shared" si="57"/>
        <v>0</v>
      </c>
    </row>
    <row r="453" spans="1:23">
      <c r="A453" s="26">
        <v>452</v>
      </c>
      <c r="B453" s="27">
        <v>40563</v>
      </c>
      <c r="C453" s="12">
        <v>1</v>
      </c>
      <c r="D453" s="12">
        <v>20</v>
      </c>
      <c r="E453" s="12" t="b">
        <v>0</v>
      </c>
      <c r="F453" s="12">
        <v>4</v>
      </c>
      <c r="G453" s="12">
        <v>2</v>
      </c>
      <c r="H453" s="12">
        <v>0.26</v>
      </c>
      <c r="I453" s="12">
        <v>0.2424</v>
      </c>
      <c r="J453" s="12">
        <v>0.6</v>
      </c>
      <c r="K453" s="12">
        <v>0.28360000000000002</v>
      </c>
      <c r="L453" s="12">
        <v>2</v>
      </c>
      <c r="M453" s="12">
        <v>124</v>
      </c>
      <c r="N453" s="12">
        <v>126</v>
      </c>
      <c r="O453" s="12" t="str">
        <f>VLOOKUP(G453,calculate_field!$B$2:$C$5,2,FALSE)</f>
        <v xml:space="preserve">Mist / cloudy </v>
      </c>
      <c r="P453" s="12" t="str">
        <f t="shared" si="51"/>
        <v>Thursday</v>
      </c>
      <c r="Q453" s="12" t="str">
        <f t="shared" si="52"/>
        <v>Weekday</v>
      </c>
      <c r="R453" s="12" t="str">
        <f t="shared" si="53"/>
        <v>Evening</v>
      </c>
      <c r="S453" s="28" t="str">
        <f>INDEX(calculate_field!$F$2:$F$4, MATCH(H453, calculate_field!$E$2:$E$4, 1))</f>
        <v>Mild</v>
      </c>
      <c r="T453" s="33">
        <f t="shared" si="54"/>
        <v>69.083333333333329</v>
      </c>
      <c r="U453" s="33">
        <f t="shared" si="55"/>
        <v>57.12908089631734</v>
      </c>
      <c r="V453" s="33">
        <f t="shared" si="56"/>
        <v>1.6358909695861776</v>
      </c>
      <c r="W453" s="12" t="b">
        <f t="shared" si="57"/>
        <v>0</v>
      </c>
    </row>
    <row r="454" spans="1:23">
      <c r="A454" s="26">
        <v>453</v>
      </c>
      <c r="B454" s="27">
        <v>40563</v>
      </c>
      <c r="C454" s="12">
        <v>1</v>
      </c>
      <c r="D454" s="12">
        <v>21</v>
      </c>
      <c r="E454" s="12" t="b">
        <v>0</v>
      </c>
      <c r="F454" s="12">
        <v>4</v>
      </c>
      <c r="G454" s="12">
        <v>2</v>
      </c>
      <c r="H454" s="12">
        <v>0.24</v>
      </c>
      <c r="I454" s="12">
        <v>0.2273</v>
      </c>
      <c r="J454" s="12">
        <v>0.6</v>
      </c>
      <c r="K454" s="12">
        <v>0.25369999999999998</v>
      </c>
      <c r="L454" s="12">
        <v>3</v>
      </c>
      <c r="M454" s="12">
        <v>54</v>
      </c>
      <c r="N454" s="12">
        <v>57</v>
      </c>
      <c r="O454" s="12" t="str">
        <f>VLOOKUP(G454,calculate_field!$B$2:$C$5,2,FALSE)</f>
        <v xml:space="preserve">Mist / cloudy </v>
      </c>
      <c r="P454" s="12" t="str">
        <f t="shared" si="51"/>
        <v>Thursday</v>
      </c>
      <c r="Q454" s="12" t="str">
        <f t="shared" si="52"/>
        <v>Weekday</v>
      </c>
      <c r="R454" s="12" t="str">
        <f t="shared" si="53"/>
        <v>Night</v>
      </c>
      <c r="S454" s="28" t="str">
        <f>INDEX(calculate_field!$F$2:$F$4, MATCH(H454, calculate_field!$E$2:$E$4, 1))</f>
        <v>Mild</v>
      </c>
      <c r="T454" s="33">
        <f t="shared" si="54"/>
        <v>66.041666666666671</v>
      </c>
      <c r="U454" s="33">
        <f t="shared" si="55"/>
        <v>55.897016461304638</v>
      </c>
      <c r="V454" s="33">
        <f t="shared" si="56"/>
        <v>0.34071592304518544</v>
      </c>
      <c r="W454" s="12" t="b">
        <f t="shared" si="57"/>
        <v>0</v>
      </c>
    </row>
    <row r="455" spans="1:23">
      <c r="A455" s="26">
        <v>454</v>
      </c>
      <c r="B455" s="27">
        <v>40563</v>
      </c>
      <c r="C455" s="12">
        <v>1</v>
      </c>
      <c r="D455" s="12">
        <v>22</v>
      </c>
      <c r="E455" s="12" t="b">
        <v>0</v>
      </c>
      <c r="F455" s="12">
        <v>4</v>
      </c>
      <c r="G455" s="12">
        <v>2</v>
      </c>
      <c r="H455" s="12">
        <v>0.24</v>
      </c>
      <c r="I455" s="12">
        <v>0.21210000000000001</v>
      </c>
      <c r="J455" s="12">
        <v>0.65</v>
      </c>
      <c r="K455" s="12">
        <v>0.28360000000000002</v>
      </c>
      <c r="L455" s="12">
        <v>0</v>
      </c>
      <c r="M455" s="12">
        <v>56</v>
      </c>
      <c r="N455" s="12">
        <v>56</v>
      </c>
      <c r="O455" s="12" t="str">
        <f>VLOOKUP(G455,calculate_field!$B$2:$C$5,2,FALSE)</f>
        <v xml:space="preserve">Mist / cloudy </v>
      </c>
      <c r="P455" s="12" t="str">
        <f t="shared" si="51"/>
        <v>Thursday</v>
      </c>
      <c r="Q455" s="12" t="str">
        <f t="shared" si="52"/>
        <v>Weekday</v>
      </c>
      <c r="R455" s="12" t="str">
        <f t="shared" si="53"/>
        <v>Night</v>
      </c>
      <c r="S455" s="28" t="str">
        <f>INDEX(calculate_field!$F$2:$F$4, MATCH(H455, calculate_field!$E$2:$E$4, 1))</f>
        <v>Mild</v>
      </c>
      <c r="T455" s="33">
        <f t="shared" si="54"/>
        <v>65.375</v>
      </c>
      <c r="U455" s="33">
        <f t="shared" si="55"/>
        <v>56.104570456309141</v>
      </c>
      <c r="V455" s="33">
        <f t="shared" si="56"/>
        <v>-5.165608421476614E-2</v>
      </c>
      <c r="W455" s="12" t="b">
        <f t="shared" si="57"/>
        <v>0</v>
      </c>
    </row>
    <row r="456" spans="1:23">
      <c r="A456" s="26">
        <v>455</v>
      </c>
      <c r="B456" s="27">
        <v>40563</v>
      </c>
      <c r="C456" s="12">
        <v>1</v>
      </c>
      <c r="D456" s="12">
        <v>23</v>
      </c>
      <c r="E456" s="12" t="b">
        <v>0</v>
      </c>
      <c r="F456" s="12">
        <v>4</v>
      </c>
      <c r="G456" s="12">
        <v>2</v>
      </c>
      <c r="H456" s="12">
        <v>0.24</v>
      </c>
      <c r="I456" s="12">
        <v>0.21210000000000001</v>
      </c>
      <c r="J456" s="12">
        <v>0.65</v>
      </c>
      <c r="K456" s="12">
        <v>0.32840000000000003</v>
      </c>
      <c r="L456" s="12">
        <v>3</v>
      </c>
      <c r="M456" s="12">
        <v>28</v>
      </c>
      <c r="N456" s="12">
        <v>31</v>
      </c>
      <c r="O456" s="12" t="str">
        <f>VLOOKUP(G456,calculate_field!$B$2:$C$5,2,FALSE)</f>
        <v xml:space="preserve">Mist / cloudy </v>
      </c>
      <c r="P456" s="12" t="str">
        <f t="shared" si="51"/>
        <v>Thursday</v>
      </c>
      <c r="Q456" s="12" t="str">
        <f t="shared" si="52"/>
        <v>Weekday</v>
      </c>
      <c r="R456" s="12" t="str">
        <f t="shared" si="53"/>
        <v>Night</v>
      </c>
      <c r="S456" s="28" t="str">
        <f>INDEX(calculate_field!$F$2:$F$4, MATCH(H456, calculate_field!$E$2:$E$4, 1))</f>
        <v>Mild</v>
      </c>
      <c r="T456" s="33">
        <f t="shared" si="54"/>
        <v>64.458333333333329</v>
      </c>
      <c r="U456" s="33">
        <f t="shared" si="55"/>
        <v>56.44310653536283</v>
      </c>
      <c r="V456" s="33">
        <f t="shared" si="56"/>
        <v>-0.27587657923390707</v>
      </c>
      <c r="W456" s="12" t="b">
        <f t="shared" si="57"/>
        <v>0</v>
      </c>
    </row>
    <row r="457" spans="1:23">
      <c r="A457" s="26">
        <v>456</v>
      </c>
      <c r="B457" s="27">
        <v>40564</v>
      </c>
      <c r="C457" s="12">
        <v>1</v>
      </c>
      <c r="D457" s="12">
        <v>0</v>
      </c>
      <c r="E457" s="12" t="b">
        <v>0</v>
      </c>
      <c r="F457" s="12">
        <v>5</v>
      </c>
      <c r="G457" s="12">
        <v>2</v>
      </c>
      <c r="H457" s="12">
        <v>0.24</v>
      </c>
      <c r="I457" s="12">
        <v>0.2273</v>
      </c>
      <c r="J457" s="12">
        <v>0.7</v>
      </c>
      <c r="K457" s="12">
        <v>0.25369999999999998</v>
      </c>
      <c r="L457" s="12">
        <v>1</v>
      </c>
      <c r="M457" s="12">
        <v>20</v>
      </c>
      <c r="N457" s="12">
        <v>21</v>
      </c>
      <c r="O457" s="12" t="str">
        <f>VLOOKUP(G457,calculate_field!$B$2:$C$5,2,FALSE)</f>
        <v xml:space="preserve">Mist / cloudy </v>
      </c>
      <c r="P457" s="12" t="str">
        <f t="shared" si="51"/>
        <v>Friday</v>
      </c>
      <c r="Q457" s="12" t="str">
        <f t="shared" si="52"/>
        <v>Weekday</v>
      </c>
      <c r="R457" s="12" t="str">
        <f t="shared" si="53"/>
        <v>Night</v>
      </c>
      <c r="S457" s="28" t="str">
        <f>INDEX(calculate_field!$F$2:$F$4, MATCH(H457, calculate_field!$E$2:$E$4, 1))</f>
        <v>Mild</v>
      </c>
      <c r="T457" s="33">
        <f t="shared" si="54"/>
        <v>64.291666666666671</v>
      </c>
      <c r="U457" s="33">
        <f t="shared" si="55"/>
        <v>56.551999285510725</v>
      </c>
      <c r="V457" s="33">
        <f t="shared" si="56"/>
        <v>-0.51436422129386028</v>
      </c>
      <c r="W457" s="12" t="b">
        <f t="shared" si="57"/>
        <v>0</v>
      </c>
    </row>
    <row r="458" spans="1:23">
      <c r="A458" s="26">
        <v>457</v>
      </c>
      <c r="B458" s="27">
        <v>40564</v>
      </c>
      <c r="C458" s="12">
        <v>1</v>
      </c>
      <c r="D458" s="12">
        <v>1</v>
      </c>
      <c r="E458" s="12" t="b">
        <v>0</v>
      </c>
      <c r="F458" s="12">
        <v>5</v>
      </c>
      <c r="G458" s="12">
        <v>2</v>
      </c>
      <c r="H458" s="12">
        <v>0.24</v>
      </c>
      <c r="I458" s="12">
        <v>0.2273</v>
      </c>
      <c r="J458" s="12">
        <v>0.7</v>
      </c>
      <c r="K458" s="12">
        <v>0.25369999999999998</v>
      </c>
      <c r="L458" s="12">
        <v>0</v>
      </c>
      <c r="M458" s="12">
        <v>6</v>
      </c>
      <c r="N458" s="12">
        <v>6</v>
      </c>
      <c r="O458" s="12" t="str">
        <f>VLOOKUP(G458,calculate_field!$B$2:$C$5,2,FALSE)</f>
        <v xml:space="preserve">Mist / cloudy </v>
      </c>
      <c r="P458" s="12" t="str">
        <f t="shared" si="51"/>
        <v>Friday</v>
      </c>
      <c r="Q458" s="12" t="str">
        <f t="shared" si="52"/>
        <v>Weekday</v>
      </c>
      <c r="R458" s="12" t="str">
        <f t="shared" si="53"/>
        <v>Night</v>
      </c>
      <c r="S458" s="28" t="str">
        <f>INDEX(calculate_field!$F$2:$F$4, MATCH(H458, calculate_field!$E$2:$E$4, 1))</f>
        <v>Mild</v>
      </c>
      <c r="T458" s="33">
        <f t="shared" si="54"/>
        <v>63.958333333333336</v>
      </c>
      <c r="U458" s="33">
        <f t="shared" si="55"/>
        <v>56.841105125464068</v>
      </c>
      <c r="V458" s="33">
        <f t="shared" si="56"/>
        <v>-0.98293233085893439</v>
      </c>
      <c r="W458" s="12" t="b">
        <f t="shared" si="57"/>
        <v>0</v>
      </c>
    </row>
    <row r="459" spans="1:23">
      <c r="A459" s="26">
        <v>458</v>
      </c>
      <c r="B459" s="27">
        <v>40564</v>
      </c>
      <c r="C459" s="12">
        <v>1</v>
      </c>
      <c r="D459" s="12">
        <v>2</v>
      </c>
      <c r="E459" s="12" t="b">
        <v>0</v>
      </c>
      <c r="F459" s="12">
        <v>5</v>
      </c>
      <c r="G459" s="12">
        <v>3</v>
      </c>
      <c r="H459" s="12">
        <v>0.24</v>
      </c>
      <c r="I459" s="12">
        <v>0.2424</v>
      </c>
      <c r="J459" s="12">
        <v>0.75</v>
      </c>
      <c r="K459" s="12">
        <v>0.16420000000000001</v>
      </c>
      <c r="L459" s="12">
        <v>0</v>
      </c>
      <c r="M459" s="12">
        <v>2</v>
      </c>
      <c r="N459" s="12">
        <v>2</v>
      </c>
      <c r="O459" s="12" t="str">
        <f>VLOOKUP(G459,calculate_field!$B$2:$C$5,2,FALSE)</f>
        <v xml:space="preserve">Light Snow / Rain </v>
      </c>
      <c r="P459" s="12" t="str">
        <f t="shared" si="51"/>
        <v>Friday</v>
      </c>
      <c r="Q459" s="12" t="str">
        <f t="shared" si="52"/>
        <v>Weekday</v>
      </c>
      <c r="R459" s="12" t="str">
        <f t="shared" si="53"/>
        <v>Night</v>
      </c>
      <c r="S459" s="28" t="str">
        <f>INDEX(calculate_field!$F$2:$F$4, MATCH(H459, calculate_field!$E$2:$E$4, 1))</f>
        <v>Mild</v>
      </c>
      <c r="T459" s="33">
        <f t="shared" si="54"/>
        <v>64.208333333333329</v>
      </c>
      <c r="U459" s="33">
        <f t="shared" si="55"/>
        <v>56.587738083875337</v>
      </c>
      <c r="V459" s="33">
        <f t="shared" si="56"/>
        <v>-1.0170718040001998</v>
      </c>
      <c r="W459" s="12" t="b">
        <f t="shared" si="57"/>
        <v>0</v>
      </c>
    </row>
    <row r="460" spans="1:23">
      <c r="A460" s="26">
        <v>459</v>
      </c>
      <c r="B460" s="27">
        <v>40564</v>
      </c>
      <c r="C460" s="12">
        <v>1</v>
      </c>
      <c r="D460" s="12">
        <v>3</v>
      </c>
      <c r="E460" s="12" t="b">
        <v>0</v>
      </c>
      <c r="F460" s="12">
        <v>5</v>
      </c>
      <c r="G460" s="12">
        <v>3</v>
      </c>
      <c r="H460" s="12">
        <v>0.22</v>
      </c>
      <c r="I460" s="12">
        <v>0.21210000000000001</v>
      </c>
      <c r="J460" s="12">
        <v>0.8</v>
      </c>
      <c r="K460" s="12">
        <v>0.29849999999999999</v>
      </c>
      <c r="L460" s="12">
        <v>0</v>
      </c>
      <c r="M460" s="12">
        <v>1</v>
      </c>
      <c r="N460" s="12">
        <v>1</v>
      </c>
      <c r="O460" s="12" t="str">
        <f>VLOOKUP(G460,calculate_field!$B$2:$C$5,2,FALSE)</f>
        <v xml:space="preserve">Light Snow / Rain </v>
      </c>
      <c r="P460" s="12" t="str">
        <f t="shared" si="51"/>
        <v>Friday</v>
      </c>
      <c r="Q460" s="12" t="str">
        <f t="shared" si="52"/>
        <v>Weekday</v>
      </c>
      <c r="R460" s="12" t="str">
        <f t="shared" si="53"/>
        <v>Night</v>
      </c>
      <c r="S460" s="28" t="str">
        <f>INDEX(calculate_field!$F$2:$F$4, MATCH(H460, calculate_field!$E$2:$E$4, 1))</f>
        <v>Mild</v>
      </c>
      <c r="T460" s="33">
        <f t="shared" si="54"/>
        <v>64.583333333333329</v>
      </c>
      <c r="U460" s="33">
        <f t="shared" si="55"/>
        <v>56.185961937485594</v>
      </c>
      <c r="V460" s="33">
        <f t="shared" si="56"/>
        <v>-1.068526901064879</v>
      </c>
      <c r="W460" s="12" t="b">
        <f t="shared" si="57"/>
        <v>0</v>
      </c>
    </row>
    <row r="461" spans="1:23">
      <c r="A461" s="26">
        <v>460</v>
      </c>
      <c r="B461" s="27">
        <v>40564</v>
      </c>
      <c r="C461" s="12">
        <v>1</v>
      </c>
      <c r="D461" s="12">
        <v>4</v>
      </c>
      <c r="E461" s="12" t="b">
        <v>0</v>
      </c>
      <c r="F461" s="12">
        <v>5</v>
      </c>
      <c r="G461" s="12">
        <v>2</v>
      </c>
      <c r="H461" s="12">
        <v>0.22</v>
      </c>
      <c r="I461" s="12">
        <v>0.2576</v>
      </c>
      <c r="J461" s="12">
        <v>0.87</v>
      </c>
      <c r="K461" s="12">
        <v>8.9599999999999999E-2</v>
      </c>
      <c r="L461" s="12">
        <v>0</v>
      </c>
      <c r="M461" s="12">
        <v>1</v>
      </c>
      <c r="N461" s="12">
        <v>1</v>
      </c>
      <c r="O461" s="12" t="str">
        <f>VLOOKUP(G461,calculate_field!$B$2:$C$5,2,FALSE)</f>
        <v xml:space="preserve">Mist / cloudy </v>
      </c>
      <c r="P461" s="12" t="str">
        <f t="shared" si="51"/>
        <v>Friday</v>
      </c>
      <c r="Q461" s="12" t="str">
        <f t="shared" si="52"/>
        <v>Weekday</v>
      </c>
      <c r="R461" s="12" t="str">
        <f t="shared" si="53"/>
        <v>Night</v>
      </c>
      <c r="S461" s="28" t="str">
        <f>INDEX(calculate_field!$F$2:$F$4, MATCH(H461, calculate_field!$E$2:$E$4, 1))</f>
        <v>Mild</v>
      </c>
      <c r="T461" s="33">
        <f t="shared" si="54"/>
        <v>64.833333333333329</v>
      </c>
      <c r="U461" s="33">
        <f t="shared" si="55"/>
        <v>55.903384564774797</v>
      </c>
      <c r="V461" s="33">
        <f t="shared" si="56"/>
        <v>-1.1852492694025989</v>
      </c>
      <c r="W461" s="12" t="b">
        <f t="shared" si="57"/>
        <v>0</v>
      </c>
    </row>
    <row r="462" spans="1:23">
      <c r="A462" s="26">
        <v>461</v>
      </c>
      <c r="B462" s="27">
        <v>40564</v>
      </c>
      <c r="C462" s="12">
        <v>1</v>
      </c>
      <c r="D462" s="12">
        <v>5</v>
      </c>
      <c r="E462" s="12" t="b">
        <v>0</v>
      </c>
      <c r="F462" s="12">
        <v>5</v>
      </c>
      <c r="G462" s="12">
        <v>1</v>
      </c>
      <c r="H462" s="12">
        <v>0.24</v>
      </c>
      <c r="I462" s="12">
        <v>0.19700000000000001</v>
      </c>
      <c r="J462" s="12">
        <v>0.6</v>
      </c>
      <c r="K462" s="12">
        <v>0.41789999999999999</v>
      </c>
      <c r="L462" s="12">
        <v>1</v>
      </c>
      <c r="M462" s="12">
        <v>4</v>
      </c>
      <c r="N462" s="12">
        <v>5</v>
      </c>
      <c r="O462" s="12" t="str">
        <f>VLOOKUP(G462,calculate_field!$B$2:$C$5,2,FALSE)</f>
        <v>Clear/Partly Cloudy</v>
      </c>
      <c r="P462" s="12" t="str">
        <f t="shared" si="51"/>
        <v>Friday</v>
      </c>
      <c r="Q462" s="12" t="str">
        <f t="shared" si="52"/>
        <v>Weekday</v>
      </c>
      <c r="R462" s="12" t="str">
        <f t="shared" si="53"/>
        <v>Night</v>
      </c>
      <c r="S462" s="28" t="str">
        <f>INDEX(calculate_field!$F$2:$F$4, MATCH(H462, calculate_field!$E$2:$E$4, 1))</f>
        <v>Mild</v>
      </c>
      <c r="T462" s="33">
        <f t="shared" si="54"/>
        <v>64.916666666666671</v>
      </c>
      <c r="U462" s="33">
        <f t="shared" si="55"/>
        <v>55.805498144792196</v>
      </c>
      <c r="V462" s="33">
        <f t="shared" si="56"/>
        <v>-1.3061974426723246</v>
      </c>
      <c r="W462" s="12" t="b">
        <f t="shared" si="57"/>
        <v>0</v>
      </c>
    </row>
    <row r="463" spans="1:23">
      <c r="A463" s="26">
        <v>462</v>
      </c>
      <c r="B463" s="27">
        <v>40564</v>
      </c>
      <c r="C463" s="12">
        <v>1</v>
      </c>
      <c r="D463" s="12">
        <v>6</v>
      </c>
      <c r="E463" s="12" t="b">
        <v>0</v>
      </c>
      <c r="F463" s="12">
        <v>5</v>
      </c>
      <c r="G463" s="12">
        <v>1</v>
      </c>
      <c r="H463" s="12">
        <v>0.22</v>
      </c>
      <c r="I463" s="12">
        <v>0.21210000000000001</v>
      </c>
      <c r="J463" s="12">
        <v>0.55000000000000004</v>
      </c>
      <c r="K463" s="12">
        <v>0.25369999999999998</v>
      </c>
      <c r="L463" s="12">
        <v>0</v>
      </c>
      <c r="M463" s="12">
        <v>27</v>
      </c>
      <c r="N463" s="12">
        <v>27</v>
      </c>
      <c r="O463" s="12" t="str">
        <f>VLOOKUP(G463,calculate_field!$B$2:$C$5,2,FALSE)</f>
        <v>Clear/Partly Cloudy</v>
      </c>
      <c r="P463" s="12" t="str">
        <f t="shared" si="51"/>
        <v>Friday</v>
      </c>
      <c r="Q463" s="12" t="str">
        <f t="shared" si="52"/>
        <v>Weekday</v>
      </c>
      <c r="R463" s="12" t="str">
        <f t="shared" si="53"/>
        <v>Morning</v>
      </c>
      <c r="S463" s="28" t="str">
        <f>INDEX(calculate_field!$F$2:$F$4, MATCH(H463, calculate_field!$E$2:$E$4, 1))</f>
        <v>Mild</v>
      </c>
      <c r="T463" s="33">
        <f t="shared" si="54"/>
        <v>64.791666666666671</v>
      </c>
      <c r="U463" s="33">
        <f t="shared" si="55"/>
        <v>55.948718108380412</v>
      </c>
      <c r="V463" s="33">
        <f t="shared" si="56"/>
        <v>-1.3319639195096022</v>
      </c>
      <c r="W463" s="12" t="b">
        <f t="shared" si="57"/>
        <v>0</v>
      </c>
    </row>
    <row r="464" spans="1:23">
      <c r="A464" s="26">
        <v>463</v>
      </c>
      <c r="B464" s="27">
        <v>40564</v>
      </c>
      <c r="C464" s="12">
        <v>1</v>
      </c>
      <c r="D464" s="12">
        <v>7</v>
      </c>
      <c r="E464" s="12" t="b">
        <v>0</v>
      </c>
      <c r="F464" s="12">
        <v>5</v>
      </c>
      <c r="G464" s="12">
        <v>1</v>
      </c>
      <c r="H464" s="12">
        <v>0.2</v>
      </c>
      <c r="I464" s="12">
        <v>0.18179999999999999</v>
      </c>
      <c r="J464" s="12">
        <v>0.51</v>
      </c>
      <c r="K464" s="12">
        <v>0.28360000000000002</v>
      </c>
      <c r="L464" s="12">
        <v>2</v>
      </c>
      <c r="M464" s="12">
        <v>66</v>
      </c>
      <c r="N464" s="12">
        <v>68</v>
      </c>
      <c r="O464" s="12" t="str">
        <f>VLOOKUP(G464,calculate_field!$B$2:$C$5,2,FALSE)</f>
        <v>Clear/Partly Cloudy</v>
      </c>
      <c r="P464" s="12" t="str">
        <f t="shared" si="51"/>
        <v>Friday</v>
      </c>
      <c r="Q464" s="12" t="str">
        <f t="shared" si="52"/>
        <v>Weekday</v>
      </c>
      <c r="R464" s="12" t="str">
        <f t="shared" si="53"/>
        <v>Morning</v>
      </c>
      <c r="S464" s="28" t="str">
        <f>INDEX(calculate_field!$F$2:$F$4, MATCH(H464, calculate_field!$E$2:$E$4, 1))</f>
        <v>Mild</v>
      </c>
      <c r="T464" s="33">
        <f t="shared" si="54"/>
        <v>64</v>
      </c>
      <c r="U464" s="33">
        <f t="shared" si="55"/>
        <v>56.636906081059749</v>
      </c>
      <c r="V464" s="33">
        <f t="shared" si="56"/>
        <v>-1.1298534828295361</v>
      </c>
      <c r="W464" s="12" t="b">
        <f t="shared" si="57"/>
        <v>0</v>
      </c>
    </row>
    <row r="465" spans="1:23">
      <c r="A465" s="26">
        <v>464</v>
      </c>
      <c r="B465" s="27">
        <v>40564</v>
      </c>
      <c r="C465" s="12">
        <v>1</v>
      </c>
      <c r="D465" s="12">
        <v>8</v>
      </c>
      <c r="E465" s="12" t="b">
        <v>0</v>
      </c>
      <c r="F465" s="12">
        <v>5</v>
      </c>
      <c r="G465" s="12">
        <v>1</v>
      </c>
      <c r="H465" s="12">
        <v>0.2</v>
      </c>
      <c r="I465" s="12">
        <v>0.18179999999999999</v>
      </c>
      <c r="J465" s="12">
        <v>0.47</v>
      </c>
      <c r="K465" s="12">
        <v>0.32840000000000003</v>
      </c>
      <c r="L465" s="12">
        <v>7</v>
      </c>
      <c r="M465" s="12">
        <v>210</v>
      </c>
      <c r="N465" s="12">
        <v>217</v>
      </c>
      <c r="O465" s="12" t="str">
        <f>VLOOKUP(G465,calculate_field!$B$2:$C$5,2,FALSE)</f>
        <v>Clear/Partly Cloudy</v>
      </c>
      <c r="P465" s="12" t="str">
        <f t="shared" si="51"/>
        <v>Friday</v>
      </c>
      <c r="Q465" s="12" t="str">
        <f t="shared" si="52"/>
        <v>Weekday</v>
      </c>
      <c r="R465" s="12" t="str">
        <f t="shared" si="53"/>
        <v>Morning</v>
      </c>
      <c r="S465" s="28" t="str">
        <f>INDEX(calculate_field!$F$2:$F$4, MATCH(H465, calculate_field!$E$2:$E$4, 1))</f>
        <v>Mild</v>
      </c>
      <c r="T465" s="33">
        <f t="shared" si="54"/>
        <v>62.291666666666664</v>
      </c>
      <c r="U465" s="33">
        <f t="shared" si="55"/>
        <v>57.127225799405238</v>
      </c>
      <c r="V465" s="33">
        <f t="shared" si="56"/>
        <v>-0.51321105436186609</v>
      </c>
      <c r="W465" s="12" t="b">
        <f t="shared" si="57"/>
        <v>0</v>
      </c>
    </row>
    <row r="466" spans="1:23">
      <c r="A466" s="26">
        <v>465</v>
      </c>
      <c r="B466" s="27">
        <v>40564</v>
      </c>
      <c r="C466" s="12">
        <v>1</v>
      </c>
      <c r="D466" s="12">
        <v>9</v>
      </c>
      <c r="E466" s="12" t="b">
        <v>0</v>
      </c>
      <c r="F466" s="12">
        <v>5</v>
      </c>
      <c r="G466" s="12">
        <v>1</v>
      </c>
      <c r="H466" s="12">
        <v>0.2</v>
      </c>
      <c r="I466" s="12">
        <v>0.18179999999999999</v>
      </c>
      <c r="J466" s="12">
        <v>0.51</v>
      </c>
      <c r="K466" s="12">
        <v>0.35820000000000002</v>
      </c>
      <c r="L466" s="12">
        <v>7</v>
      </c>
      <c r="M466" s="12">
        <v>159</v>
      </c>
      <c r="N466" s="12">
        <v>166</v>
      </c>
      <c r="O466" s="12" t="str">
        <f>VLOOKUP(G466,calculate_field!$B$2:$C$5,2,FALSE)</f>
        <v>Clear/Partly Cloudy</v>
      </c>
      <c r="P466" s="12" t="str">
        <f t="shared" si="51"/>
        <v>Friday</v>
      </c>
      <c r="Q466" s="12" t="str">
        <f t="shared" si="52"/>
        <v>Weekday</v>
      </c>
      <c r="R466" s="12" t="str">
        <f t="shared" si="53"/>
        <v>Morning</v>
      </c>
      <c r="S466" s="28" t="str">
        <f>INDEX(calculate_field!$F$2:$F$4, MATCH(H466, calculate_field!$E$2:$E$4, 1))</f>
        <v>Mild</v>
      </c>
      <c r="T466" s="33">
        <f t="shared" si="54"/>
        <v>54.916666666666664</v>
      </c>
      <c r="U466" s="33">
        <f t="shared" si="55"/>
        <v>46.773196213835668</v>
      </c>
      <c r="V466" s="33">
        <f t="shared" si="56"/>
        <v>-6.9905409466667762E-2</v>
      </c>
      <c r="W466" s="12" t="b">
        <f t="shared" si="57"/>
        <v>0</v>
      </c>
    </row>
    <row r="467" spans="1:23">
      <c r="A467" s="26">
        <v>466</v>
      </c>
      <c r="B467" s="27">
        <v>40564</v>
      </c>
      <c r="C467" s="12">
        <v>1</v>
      </c>
      <c r="D467" s="12">
        <v>10</v>
      </c>
      <c r="E467" s="12" t="b">
        <v>0</v>
      </c>
      <c r="F467" s="12">
        <v>5</v>
      </c>
      <c r="G467" s="12">
        <v>1</v>
      </c>
      <c r="H467" s="12">
        <v>0.2</v>
      </c>
      <c r="I467" s="12">
        <v>0.16669999999999999</v>
      </c>
      <c r="J467" s="12">
        <v>0.47</v>
      </c>
      <c r="K467" s="12">
        <v>0.4627</v>
      </c>
      <c r="L467" s="12">
        <v>6</v>
      </c>
      <c r="M467" s="12">
        <v>57</v>
      </c>
      <c r="N467" s="12">
        <v>63</v>
      </c>
      <c r="O467" s="12" t="str">
        <f>VLOOKUP(G467,calculate_field!$B$2:$C$5,2,FALSE)</f>
        <v>Clear/Partly Cloudy</v>
      </c>
      <c r="P467" s="12" t="str">
        <f t="shared" si="51"/>
        <v>Friday</v>
      </c>
      <c r="Q467" s="12" t="str">
        <f t="shared" si="52"/>
        <v>Weekday</v>
      </c>
      <c r="R467" s="12" t="str">
        <f t="shared" si="53"/>
        <v>Morning</v>
      </c>
      <c r="S467" s="28" t="str">
        <f>INDEX(calculate_field!$F$2:$F$4, MATCH(H467, calculate_field!$E$2:$E$4, 1))</f>
        <v>Mild</v>
      </c>
      <c r="T467" s="33">
        <f t="shared" si="54"/>
        <v>50.208333333333336</v>
      </c>
      <c r="U467" s="33">
        <f t="shared" si="55"/>
        <v>40.351692132685272</v>
      </c>
      <c r="V467" s="33">
        <f t="shared" si="56"/>
        <v>0.34743481429410489</v>
      </c>
      <c r="W467" s="12" t="b">
        <f t="shared" si="57"/>
        <v>0</v>
      </c>
    </row>
    <row r="468" spans="1:23">
      <c r="A468" s="26">
        <v>467</v>
      </c>
      <c r="B468" s="27">
        <v>40564</v>
      </c>
      <c r="C468" s="12">
        <v>1</v>
      </c>
      <c r="D468" s="12">
        <v>11</v>
      </c>
      <c r="E468" s="12" t="b">
        <v>0</v>
      </c>
      <c r="F468" s="12">
        <v>5</v>
      </c>
      <c r="G468" s="12">
        <v>1</v>
      </c>
      <c r="H468" s="12">
        <v>0.22</v>
      </c>
      <c r="I468" s="12">
        <v>0.18179999999999999</v>
      </c>
      <c r="J468" s="12">
        <v>0.41</v>
      </c>
      <c r="K468" s="12">
        <v>0.4627</v>
      </c>
      <c r="L468" s="12">
        <v>6</v>
      </c>
      <c r="M468" s="12">
        <v>53</v>
      </c>
      <c r="N468" s="12">
        <v>59</v>
      </c>
      <c r="O468" s="12" t="str">
        <f>VLOOKUP(G468,calculate_field!$B$2:$C$5,2,FALSE)</f>
        <v>Clear/Partly Cloudy</v>
      </c>
      <c r="P468" s="12" t="str">
        <f t="shared" si="51"/>
        <v>Friday</v>
      </c>
      <c r="Q468" s="12" t="str">
        <f t="shared" si="52"/>
        <v>Weekday</v>
      </c>
      <c r="R468" s="12" t="str">
        <f t="shared" si="53"/>
        <v>Morning</v>
      </c>
      <c r="S468" s="28" t="str">
        <f>INDEX(calculate_field!$F$2:$F$4, MATCH(H468, calculate_field!$E$2:$E$4, 1))</f>
        <v>Mild</v>
      </c>
      <c r="T468" s="33">
        <f t="shared" si="54"/>
        <v>50.208333333333336</v>
      </c>
      <c r="U468" s="33">
        <f t="shared" si="55"/>
        <v>40.351692132685272</v>
      </c>
      <c r="V468" s="33">
        <f t="shared" si="56"/>
        <v>0.58067245858445848</v>
      </c>
      <c r="W468" s="12" t="b">
        <f t="shared" si="57"/>
        <v>0</v>
      </c>
    </row>
    <row r="469" spans="1:23">
      <c r="A469" s="26">
        <v>468</v>
      </c>
      <c r="B469" s="27">
        <v>40564</v>
      </c>
      <c r="C469" s="12">
        <v>1</v>
      </c>
      <c r="D469" s="12">
        <v>12</v>
      </c>
      <c r="E469" s="12" t="b">
        <v>0</v>
      </c>
      <c r="F469" s="12">
        <v>5</v>
      </c>
      <c r="G469" s="12">
        <v>1</v>
      </c>
      <c r="H469" s="12">
        <v>0.22</v>
      </c>
      <c r="I469" s="12">
        <v>0.18179999999999999</v>
      </c>
      <c r="J469" s="12">
        <v>0.27</v>
      </c>
      <c r="K469" s="12">
        <v>0.58209999999999995</v>
      </c>
      <c r="L469" s="12">
        <v>11</v>
      </c>
      <c r="M469" s="12">
        <v>67</v>
      </c>
      <c r="N469" s="12">
        <v>78</v>
      </c>
      <c r="O469" s="12" t="str">
        <f>VLOOKUP(G469,calculate_field!$B$2:$C$5,2,FALSE)</f>
        <v>Clear/Partly Cloudy</v>
      </c>
      <c r="P469" s="12" t="str">
        <f t="shared" si="51"/>
        <v>Friday</v>
      </c>
      <c r="Q469" s="12" t="str">
        <f t="shared" si="52"/>
        <v>Weekday</v>
      </c>
      <c r="R469" s="12" t="str">
        <f t="shared" si="53"/>
        <v>Afternoon</v>
      </c>
      <c r="S469" s="28" t="str">
        <f>INDEX(calculate_field!$F$2:$F$4, MATCH(H469, calculate_field!$E$2:$E$4, 1))</f>
        <v>Mild</v>
      </c>
      <c r="T469" s="33">
        <f t="shared" si="54"/>
        <v>50.666666666666664</v>
      </c>
      <c r="U469" s="33">
        <f t="shared" si="55"/>
        <v>40.518022470593706</v>
      </c>
      <c r="V469" s="33">
        <f t="shared" si="56"/>
        <v>0.66812995687153331</v>
      </c>
      <c r="W469" s="12" t="b">
        <f t="shared" si="57"/>
        <v>0</v>
      </c>
    </row>
    <row r="470" spans="1:23">
      <c r="A470" s="26">
        <v>469</v>
      </c>
      <c r="B470" s="27">
        <v>40564</v>
      </c>
      <c r="C470" s="12">
        <v>1</v>
      </c>
      <c r="D470" s="12">
        <v>13</v>
      </c>
      <c r="E470" s="12" t="b">
        <v>0</v>
      </c>
      <c r="F470" s="12">
        <v>5</v>
      </c>
      <c r="G470" s="12">
        <v>1</v>
      </c>
      <c r="H470" s="12">
        <v>0.2</v>
      </c>
      <c r="I470" s="12">
        <v>0.1515</v>
      </c>
      <c r="J470" s="12">
        <v>0.21</v>
      </c>
      <c r="K470" s="12">
        <v>0.58209999999999995</v>
      </c>
      <c r="L470" s="12">
        <v>8</v>
      </c>
      <c r="M470" s="12">
        <v>65</v>
      </c>
      <c r="N470" s="12">
        <v>73</v>
      </c>
      <c r="O470" s="12" t="str">
        <f>VLOOKUP(G470,calculate_field!$B$2:$C$5,2,FALSE)</f>
        <v>Clear/Partly Cloudy</v>
      </c>
      <c r="P470" s="12" t="str">
        <f t="shared" si="51"/>
        <v>Friday</v>
      </c>
      <c r="Q470" s="12" t="str">
        <f t="shared" si="52"/>
        <v>Weekday</v>
      </c>
      <c r="R470" s="12" t="str">
        <f t="shared" si="53"/>
        <v>Afternoon</v>
      </c>
      <c r="S470" s="28" t="str">
        <f>INDEX(calculate_field!$F$2:$F$4, MATCH(H470, calculate_field!$E$2:$E$4, 1))</f>
        <v>Mild</v>
      </c>
      <c r="T470" s="33">
        <f t="shared" si="54"/>
        <v>50.916666666666664</v>
      </c>
      <c r="U470" s="33">
        <f t="shared" si="55"/>
        <v>40.712049991283337</v>
      </c>
      <c r="V470" s="33">
        <f t="shared" si="56"/>
        <v>1.0330598253439758</v>
      </c>
      <c r="W470" s="12" t="b">
        <f t="shared" si="57"/>
        <v>0</v>
      </c>
    </row>
    <row r="471" spans="1:23">
      <c r="A471" s="26">
        <v>470</v>
      </c>
      <c r="B471" s="27">
        <v>40564</v>
      </c>
      <c r="C471" s="12">
        <v>1</v>
      </c>
      <c r="D471" s="12">
        <v>14</v>
      </c>
      <c r="E471" s="12" t="b">
        <v>0</v>
      </c>
      <c r="F471" s="12">
        <v>5</v>
      </c>
      <c r="G471" s="12">
        <v>1</v>
      </c>
      <c r="H471" s="12">
        <v>0.2</v>
      </c>
      <c r="I471" s="12">
        <v>0.1515</v>
      </c>
      <c r="J471" s="12">
        <v>0.25</v>
      </c>
      <c r="K471" s="12">
        <v>0.52239999999999998</v>
      </c>
      <c r="L471" s="12">
        <v>6</v>
      </c>
      <c r="M471" s="12">
        <v>56</v>
      </c>
      <c r="N471" s="12">
        <v>62</v>
      </c>
      <c r="O471" s="12" t="str">
        <f>VLOOKUP(G471,calculate_field!$B$2:$C$5,2,FALSE)</f>
        <v>Clear/Partly Cloudy</v>
      </c>
      <c r="P471" s="12" t="str">
        <f t="shared" si="51"/>
        <v>Friday</v>
      </c>
      <c r="Q471" s="12" t="str">
        <f t="shared" si="52"/>
        <v>Weekday</v>
      </c>
      <c r="R471" s="12" t="str">
        <f t="shared" si="53"/>
        <v>Afternoon</v>
      </c>
      <c r="S471" s="28" t="str">
        <f>INDEX(calculate_field!$F$2:$F$4, MATCH(H471, calculate_field!$E$2:$E$4, 1))</f>
        <v>Mild</v>
      </c>
      <c r="T471" s="33">
        <f t="shared" si="54"/>
        <v>51</v>
      </c>
      <c r="U471" s="33">
        <f t="shared" si="55"/>
        <v>40.761234780972536</v>
      </c>
      <c r="V471" s="33">
        <f t="shared" si="56"/>
        <v>0.71551140408763902</v>
      </c>
      <c r="W471" s="12" t="b">
        <f t="shared" si="57"/>
        <v>0</v>
      </c>
    </row>
    <row r="472" spans="1:23">
      <c r="A472" s="26">
        <v>471</v>
      </c>
      <c r="B472" s="27">
        <v>40564</v>
      </c>
      <c r="C472" s="12">
        <v>1</v>
      </c>
      <c r="D472" s="12">
        <v>15</v>
      </c>
      <c r="E472" s="12" t="b">
        <v>0</v>
      </c>
      <c r="F472" s="12">
        <v>5</v>
      </c>
      <c r="G472" s="12">
        <v>1</v>
      </c>
      <c r="H472" s="12">
        <v>0.16</v>
      </c>
      <c r="I472" s="12">
        <v>0.1212</v>
      </c>
      <c r="J472" s="12">
        <v>0.26</v>
      </c>
      <c r="K472" s="12">
        <v>0.44779999999999998</v>
      </c>
      <c r="L472" s="12">
        <v>4</v>
      </c>
      <c r="M472" s="12">
        <v>61</v>
      </c>
      <c r="N472" s="12">
        <v>65</v>
      </c>
      <c r="O472" s="12" t="str">
        <f>VLOOKUP(G472,calculate_field!$B$2:$C$5,2,FALSE)</f>
        <v>Clear/Partly Cloudy</v>
      </c>
      <c r="P472" s="12" t="str">
        <f t="shared" si="51"/>
        <v>Friday</v>
      </c>
      <c r="Q472" s="12" t="str">
        <f t="shared" si="52"/>
        <v>Weekday</v>
      </c>
      <c r="R472" s="12" t="str">
        <f t="shared" si="53"/>
        <v>Afternoon</v>
      </c>
      <c r="S472" s="28" t="str">
        <f>INDEX(calculate_field!$F$2:$F$4, MATCH(H472, calculate_field!$E$2:$E$4, 1))</f>
        <v>Cold</v>
      </c>
      <c r="T472" s="33">
        <f t="shared" si="54"/>
        <v>52.708333333333336</v>
      </c>
      <c r="U472" s="33">
        <f t="shared" si="55"/>
        <v>42.080129738875328</v>
      </c>
      <c r="V472" s="33">
        <f t="shared" si="56"/>
        <v>1.4726639828530854</v>
      </c>
      <c r="W472" s="12" t="b">
        <f t="shared" si="57"/>
        <v>0</v>
      </c>
    </row>
    <row r="473" spans="1:23">
      <c r="A473" s="26">
        <v>472</v>
      </c>
      <c r="B473" s="27">
        <v>40564</v>
      </c>
      <c r="C473" s="12">
        <v>1</v>
      </c>
      <c r="D473" s="12">
        <v>16</v>
      </c>
      <c r="E473" s="12" t="b">
        <v>0</v>
      </c>
      <c r="F473" s="12">
        <v>5</v>
      </c>
      <c r="G473" s="12">
        <v>1</v>
      </c>
      <c r="H473" s="12">
        <v>0.16</v>
      </c>
      <c r="I473" s="12">
        <v>0.13639999999999999</v>
      </c>
      <c r="J473" s="12">
        <v>0.26</v>
      </c>
      <c r="K473" s="12">
        <v>0.35820000000000002</v>
      </c>
      <c r="L473" s="12">
        <v>0</v>
      </c>
      <c r="M473" s="12">
        <v>97</v>
      </c>
      <c r="N473" s="12">
        <v>97</v>
      </c>
      <c r="O473" s="12" t="str">
        <f>VLOOKUP(G473,calculate_field!$B$2:$C$5,2,FALSE)</f>
        <v>Clear/Partly Cloudy</v>
      </c>
      <c r="P473" s="12" t="str">
        <f t="shared" si="51"/>
        <v>Friday</v>
      </c>
      <c r="Q473" s="12" t="str">
        <f t="shared" si="52"/>
        <v>Weekday</v>
      </c>
      <c r="R473" s="12" t="str">
        <f t="shared" si="53"/>
        <v>Afternoon</v>
      </c>
      <c r="S473" s="28" t="str">
        <f>INDEX(calculate_field!$F$2:$F$4, MATCH(H473, calculate_field!$E$2:$E$4, 1))</f>
        <v>Cold</v>
      </c>
      <c r="T473" s="33">
        <f t="shared" si="54"/>
        <v>53.458333333333336</v>
      </c>
      <c r="U473" s="33">
        <f t="shared" si="55"/>
        <v>42.467357455760798</v>
      </c>
      <c r="V473" s="33">
        <f t="shared" si="56"/>
        <v>1.0180591346349339</v>
      </c>
      <c r="W473" s="12" t="b">
        <f t="shared" si="57"/>
        <v>0</v>
      </c>
    </row>
    <row r="474" spans="1:23">
      <c r="A474" s="26">
        <v>473</v>
      </c>
      <c r="B474" s="27">
        <v>40564</v>
      </c>
      <c r="C474" s="12">
        <v>1</v>
      </c>
      <c r="D474" s="12">
        <v>17</v>
      </c>
      <c r="E474" s="12" t="b">
        <v>0</v>
      </c>
      <c r="F474" s="12">
        <v>5</v>
      </c>
      <c r="G474" s="12">
        <v>1</v>
      </c>
      <c r="H474" s="12">
        <v>0.14000000000000001</v>
      </c>
      <c r="I474" s="12">
        <v>0.1212</v>
      </c>
      <c r="J474" s="12">
        <v>0.28000000000000003</v>
      </c>
      <c r="K474" s="12">
        <v>0.35820000000000002</v>
      </c>
      <c r="L474" s="12">
        <v>10</v>
      </c>
      <c r="M474" s="12">
        <v>151</v>
      </c>
      <c r="N474" s="12">
        <v>161</v>
      </c>
      <c r="O474" s="12" t="str">
        <f>VLOOKUP(G474,calculate_field!$B$2:$C$5,2,FALSE)</f>
        <v>Clear/Partly Cloudy</v>
      </c>
      <c r="P474" s="12" t="str">
        <f t="shared" si="51"/>
        <v>Friday</v>
      </c>
      <c r="Q474" s="12" t="str">
        <f t="shared" si="52"/>
        <v>Weekday</v>
      </c>
      <c r="R474" s="12" t="str">
        <f t="shared" si="53"/>
        <v>Evening</v>
      </c>
      <c r="S474" s="28" t="str">
        <f>INDEX(calculate_field!$F$2:$F$4, MATCH(H474, calculate_field!$E$2:$E$4, 1))</f>
        <v>Cold</v>
      </c>
      <c r="T474" s="33">
        <f t="shared" si="54"/>
        <v>52.208333333333336</v>
      </c>
      <c r="U474" s="33">
        <f t="shared" si="55"/>
        <v>41.561875472043162</v>
      </c>
      <c r="V474" s="33">
        <f t="shared" si="56"/>
        <v>0.60972811051691422</v>
      </c>
      <c r="W474" s="12" t="b">
        <f t="shared" si="57"/>
        <v>0</v>
      </c>
    </row>
    <row r="475" spans="1:23">
      <c r="A475" s="26">
        <v>474</v>
      </c>
      <c r="B475" s="27">
        <v>40564</v>
      </c>
      <c r="C475" s="12">
        <v>1</v>
      </c>
      <c r="D475" s="12">
        <v>18</v>
      </c>
      <c r="E475" s="12" t="b">
        <v>0</v>
      </c>
      <c r="F475" s="12">
        <v>5</v>
      </c>
      <c r="G475" s="12">
        <v>1</v>
      </c>
      <c r="H475" s="12">
        <v>0.12</v>
      </c>
      <c r="I475" s="12">
        <v>0.1212</v>
      </c>
      <c r="J475" s="12">
        <v>0.3</v>
      </c>
      <c r="K475" s="12">
        <v>0.25369999999999998</v>
      </c>
      <c r="L475" s="12">
        <v>1</v>
      </c>
      <c r="M475" s="12">
        <v>119</v>
      </c>
      <c r="N475" s="12">
        <v>120</v>
      </c>
      <c r="O475" s="12" t="str">
        <f>VLOOKUP(G475,calculate_field!$B$2:$C$5,2,FALSE)</f>
        <v>Clear/Partly Cloudy</v>
      </c>
      <c r="P475" s="12" t="str">
        <f t="shared" si="51"/>
        <v>Friday</v>
      </c>
      <c r="Q475" s="12" t="str">
        <f t="shared" si="52"/>
        <v>Weekday</v>
      </c>
      <c r="R475" s="12" t="str">
        <f t="shared" si="53"/>
        <v>Evening</v>
      </c>
      <c r="S475" s="28" t="str">
        <f>INDEX(calculate_field!$F$2:$F$4, MATCH(H475, calculate_field!$E$2:$E$4, 1))</f>
        <v>Cold</v>
      </c>
      <c r="T475" s="33">
        <f t="shared" si="54"/>
        <v>47.75</v>
      </c>
      <c r="U475" s="33">
        <f t="shared" si="55"/>
        <v>34.528186343535523</v>
      </c>
      <c r="V475" s="33">
        <f t="shared" si="56"/>
        <v>0.25544164241719092</v>
      </c>
      <c r="W475" s="12" t="b">
        <f t="shared" si="57"/>
        <v>0</v>
      </c>
    </row>
    <row r="476" spans="1:23">
      <c r="A476" s="26">
        <v>475</v>
      </c>
      <c r="B476" s="27">
        <v>40564</v>
      </c>
      <c r="C476" s="12">
        <v>1</v>
      </c>
      <c r="D476" s="12">
        <v>19</v>
      </c>
      <c r="E476" s="12" t="b">
        <v>0</v>
      </c>
      <c r="F476" s="12">
        <v>5</v>
      </c>
      <c r="G476" s="12">
        <v>1</v>
      </c>
      <c r="H476" s="12">
        <v>0.12</v>
      </c>
      <c r="I476" s="12">
        <v>0.1061</v>
      </c>
      <c r="J476" s="12">
        <v>0.3</v>
      </c>
      <c r="K476" s="12">
        <v>0.32840000000000003</v>
      </c>
      <c r="L476" s="12">
        <v>3</v>
      </c>
      <c r="M476" s="12">
        <v>93</v>
      </c>
      <c r="N476" s="12">
        <v>96</v>
      </c>
      <c r="O476" s="12" t="str">
        <f>VLOOKUP(G476,calculate_field!$B$2:$C$5,2,FALSE)</f>
        <v>Clear/Partly Cloudy</v>
      </c>
      <c r="P476" s="12" t="str">
        <f t="shared" si="51"/>
        <v>Friday</v>
      </c>
      <c r="Q476" s="12" t="str">
        <f t="shared" si="52"/>
        <v>Weekday</v>
      </c>
      <c r="R476" s="12" t="str">
        <f t="shared" si="53"/>
        <v>Evening</v>
      </c>
      <c r="S476" s="28" t="str">
        <f>INDEX(calculate_field!$F$2:$F$4, MATCH(H476, calculate_field!$E$2:$E$4, 1))</f>
        <v>Cold</v>
      </c>
      <c r="T476" s="33">
        <f t="shared" si="54"/>
        <v>45.208333333333336</v>
      </c>
      <c r="U476" s="33">
        <f t="shared" si="55"/>
        <v>31.048320218746088</v>
      </c>
      <c r="V476" s="33">
        <f t="shared" si="56"/>
        <v>0.40740979662023552</v>
      </c>
      <c r="W476" s="12" t="b">
        <f t="shared" si="57"/>
        <v>0</v>
      </c>
    </row>
    <row r="477" spans="1:23">
      <c r="A477" s="26">
        <v>476</v>
      </c>
      <c r="B477" s="27">
        <v>40564</v>
      </c>
      <c r="C477" s="12">
        <v>1</v>
      </c>
      <c r="D477" s="12">
        <v>20</v>
      </c>
      <c r="E477" s="12" t="b">
        <v>0</v>
      </c>
      <c r="F477" s="12">
        <v>5</v>
      </c>
      <c r="G477" s="12">
        <v>1</v>
      </c>
      <c r="H477" s="12">
        <v>0.1</v>
      </c>
      <c r="I477" s="12">
        <v>7.5800000000000006E-2</v>
      </c>
      <c r="J477" s="12">
        <v>0.33</v>
      </c>
      <c r="K477" s="12">
        <v>0.41789999999999999</v>
      </c>
      <c r="L477" s="12">
        <v>1</v>
      </c>
      <c r="M477" s="12">
        <v>52</v>
      </c>
      <c r="N477" s="12">
        <v>53</v>
      </c>
      <c r="O477" s="12" t="str">
        <f>VLOOKUP(G477,calculate_field!$B$2:$C$5,2,FALSE)</f>
        <v>Clear/Partly Cloudy</v>
      </c>
      <c r="P477" s="12" t="str">
        <f t="shared" si="51"/>
        <v>Friday</v>
      </c>
      <c r="Q477" s="12" t="str">
        <f t="shared" si="52"/>
        <v>Weekday</v>
      </c>
      <c r="R477" s="12" t="str">
        <f t="shared" si="53"/>
        <v>Evening</v>
      </c>
      <c r="S477" s="28" t="str">
        <f>INDEX(calculate_field!$F$2:$F$4, MATCH(H477, calculate_field!$E$2:$E$4, 1))</f>
        <v>Cold</v>
      </c>
      <c r="T477" s="33">
        <f t="shared" si="54"/>
        <v>43.083333333333336</v>
      </c>
      <c r="U477" s="33">
        <f t="shared" si="55"/>
        <v>29.105380746621357</v>
      </c>
      <c r="V477" s="33">
        <f t="shared" si="56"/>
        <v>2.5747583513061688E-2</v>
      </c>
      <c r="W477" s="12" t="b">
        <f t="shared" si="57"/>
        <v>0</v>
      </c>
    </row>
    <row r="478" spans="1:23">
      <c r="A478" s="26">
        <v>477</v>
      </c>
      <c r="B478" s="27">
        <v>40564</v>
      </c>
      <c r="C478" s="12">
        <v>1</v>
      </c>
      <c r="D478" s="12">
        <v>21</v>
      </c>
      <c r="E478" s="12" t="b">
        <v>0</v>
      </c>
      <c r="F478" s="12">
        <v>5</v>
      </c>
      <c r="G478" s="12">
        <v>1</v>
      </c>
      <c r="H478" s="12">
        <v>0.08</v>
      </c>
      <c r="I478" s="12">
        <v>7.5800000000000006E-2</v>
      </c>
      <c r="J478" s="12">
        <v>0.38</v>
      </c>
      <c r="K478" s="12">
        <v>0.28360000000000002</v>
      </c>
      <c r="L478" s="12">
        <v>0</v>
      </c>
      <c r="M478" s="12">
        <v>41</v>
      </c>
      <c r="N478" s="12">
        <v>41</v>
      </c>
      <c r="O478" s="12" t="str">
        <f>VLOOKUP(G478,calculate_field!$B$2:$C$5,2,FALSE)</f>
        <v>Clear/Partly Cloudy</v>
      </c>
      <c r="P478" s="12" t="str">
        <f t="shared" si="51"/>
        <v>Friday</v>
      </c>
      <c r="Q478" s="12" t="str">
        <f t="shared" si="52"/>
        <v>Weekday</v>
      </c>
      <c r="R478" s="12" t="str">
        <f t="shared" si="53"/>
        <v>Night</v>
      </c>
      <c r="S478" s="28" t="str">
        <f>INDEX(calculate_field!$F$2:$F$4, MATCH(H478, calculate_field!$E$2:$E$4, 1))</f>
        <v>Cold</v>
      </c>
      <c r="T478" s="33">
        <f t="shared" si="54"/>
        <v>42.5</v>
      </c>
      <c r="U478" s="33">
        <f t="shared" si="55"/>
        <v>29.038205717715201</v>
      </c>
      <c r="V478" s="33">
        <f t="shared" si="56"/>
        <v>-0.12546578814888781</v>
      </c>
      <c r="W478" s="12" t="b">
        <f t="shared" si="57"/>
        <v>0</v>
      </c>
    </row>
    <row r="479" spans="1:23">
      <c r="A479" s="26">
        <v>478</v>
      </c>
      <c r="B479" s="27">
        <v>40564</v>
      </c>
      <c r="C479" s="12">
        <v>1</v>
      </c>
      <c r="D479" s="12">
        <v>22</v>
      </c>
      <c r="E479" s="12" t="b">
        <v>0</v>
      </c>
      <c r="F479" s="12">
        <v>5</v>
      </c>
      <c r="G479" s="12">
        <v>1</v>
      </c>
      <c r="H479" s="12">
        <v>0.06</v>
      </c>
      <c r="I479" s="12">
        <v>3.0300000000000001E-2</v>
      </c>
      <c r="J479" s="12">
        <v>0.41</v>
      </c>
      <c r="K479" s="12">
        <v>0.3881</v>
      </c>
      <c r="L479" s="12">
        <v>1</v>
      </c>
      <c r="M479" s="12">
        <v>33</v>
      </c>
      <c r="N479" s="12">
        <v>34</v>
      </c>
      <c r="O479" s="12" t="str">
        <f>VLOOKUP(G479,calculate_field!$B$2:$C$5,2,FALSE)</f>
        <v>Clear/Partly Cloudy</v>
      </c>
      <c r="P479" s="12" t="str">
        <f t="shared" si="51"/>
        <v>Friday</v>
      </c>
      <c r="Q479" s="12" t="str">
        <f t="shared" si="52"/>
        <v>Weekday</v>
      </c>
      <c r="R479" s="12" t="str">
        <f t="shared" si="53"/>
        <v>Night</v>
      </c>
      <c r="S479" s="28" t="str">
        <f>INDEX(calculate_field!$F$2:$F$4, MATCH(H479, calculate_field!$E$2:$E$4, 1))</f>
        <v>Cold</v>
      </c>
      <c r="T479" s="33">
        <f t="shared" si="54"/>
        <v>42.041666666666664</v>
      </c>
      <c r="U479" s="33">
        <f t="shared" si="55"/>
        <v>29.149508410601204</v>
      </c>
      <c r="V479" s="33">
        <f t="shared" si="56"/>
        <v>-0.37372132040010786</v>
      </c>
      <c r="W479" s="12" t="b">
        <f t="shared" si="57"/>
        <v>0</v>
      </c>
    </row>
    <row r="480" spans="1:23">
      <c r="A480" s="26">
        <v>479</v>
      </c>
      <c r="B480" s="27">
        <v>40564</v>
      </c>
      <c r="C480" s="12">
        <v>1</v>
      </c>
      <c r="D480" s="12">
        <v>23</v>
      </c>
      <c r="E480" s="12" t="b">
        <v>0</v>
      </c>
      <c r="F480" s="12">
        <v>5</v>
      </c>
      <c r="G480" s="12">
        <v>1</v>
      </c>
      <c r="H480" s="12">
        <v>0.06</v>
      </c>
      <c r="I480" s="12">
        <v>4.5499999999999999E-2</v>
      </c>
      <c r="J480" s="12">
        <v>0.38</v>
      </c>
      <c r="K480" s="12">
        <v>0.32840000000000003</v>
      </c>
      <c r="L480" s="12">
        <v>0</v>
      </c>
      <c r="M480" s="12">
        <v>27</v>
      </c>
      <c r="N480" s="12">
        <v>27</v>
      </c>
      <c r="O480" s="12" t="str">
        <f>VLOOKUP(G480,calculate_field!$B$2:$C$5,2,FALSE)</f>
        <v>Clear/Partly Cloudy</v>
      </c>
      <c r="P480" s="12" t="str">
        <f t="shared" si="51"/>
        <v>Friday</v>
      </c>
      <c r="Q480" s="12" t="str">
        <f t="shared" si="52"/>
        <v>Weekday</v>
      </c>
      <c r="R480" s="12" t="str">
        <f t="shared" si="53"/>
        <v>Night</v>
      </c>
      <c r="S480" s="28" t="str">
        <f>INDEX(calculate_field!$F$2:$F$4, MATCH(H480, calculate_field!$E$2:$E$4, 1))</f>
        <v>Cold</v>
      </c>
      <c r="T480" s="33">
        <f t="shared" si="54"/>
        <v>42</v>
      </c>
      <c r="U480" s="33">
        <f t="shared" si="55"/>
        <v>29.162214981182338</v>
      </c>
      <c r="V480" s="33">
        <f t="shared" si="56"/>
        <v>-0.27388355700429834</v>
      </c>
      <c r="W480" s="12" t="b">
        <f t="shared" si="57"/>
        <v>0</v>
      </c>
    </row>
    <row r="481" spans="1:23">
      <c r="A481" s="26">
        <v>480</v>
      </c>
      <c r="B481" s="27">
        <v>40565</v>
      </c>
      <c r="C481" s="12">
        <v>1</v>
      </c>
      <c r="D481" s="12">
        <v>0</v>
      </c>
      <c r="E481" s="12" t="b">
        <v>0</v>
      </c>
      <c r="F481" s="12">
        <v>6</v>
      </c>
      <c r="G481" s="12">
        <v>1</v>
      </c>
      <c r="H481" s="12">
        <v>0.04</v>
      </c>
      <c r="I481" s="12">
        <v>3.0300000000000001E-2</v>
      </c>
      <c r="J481" s="12">
        <v>0.45</v>
      </c>
      <c r="K481" s="12">
        <v>0.25369999999999998</v>
      </c>
      <c r="L481" s="12">
        <v>0</v>
      </c>
      <c r="M481" s="12">
        <v>13</v>
      </c>
      <c r="N481" s="12">
        <v>13</v>
      </c>
      <c r="O481" s="12" t="str">
        <f>VLOOKUP(G481,calculate_field!$B$2:$C$5,2,FALSE)</f>
        <v>Clear/Partly Cloudy</v>
      </c>
      <c r="P481" s="12" t="str">
        <f t="shared" si="51"/>
        <v>Saturday</v>
      </c>
      <c r="Q481" s="12" t="str">
        <f t="shared" si="52"/>
        <v>Weekend</v>
      </c>
      <c r="R481" s="12" t="str">
        <f t="shared" si="53"/>
        <v>Night</v>
      </c>
      <c r="S481" s="28" t="str">
        <f>INDEX(calculate_field!$F$2:$F$4, MATCH(H481, calculate_field!$E$2:$E$4, 1))</f>
        <v>Cold</v>
      </c>
      <c r="T481" s="33">
        <f t="shared" si="54"/>
        <v>41.791666666666664</v>
      </c>
      <c r="U481" s="33">
        <f t="shared" si="55"/>
        <v>29.291606108334129</v>
      </c>
      <c r="V481" s="33">
        <f t="shared" si="56"/>
        <v>-0.5497349634491685</v>
      </c>
      <c r="W481" s="12" t="b">
        <f t="shared" si="57"/>
        <v>0</v>
      </c>
    </row>
    <row r="482" spans="1:23">
      <c r="A482" s="26">
        <v>481</v>
      </c>
      <c r="B482" s="27">
        <v>40565</v>
      </c>
      <c r="C482" s="12">
        <v>1</v>
      </c>
      <c r="D482" s="12">
        <v>1</v>
      </c>
      <c r="E482" s="12" t="b">
        <v>0</v>
      </c>
      <c r="F482" s="12">
        <v>6</v>
      </c>
      <c r="G482" s="12">
        <v>2</v>
      </c>
      <c r="H482" s="12">
        <v>0.04</v>
      </c>
      <c r="I482" s="12">
        <v>0</v>
      </c>
      <c r="J482" s="12">
        <v>0.41</v>
      </c>
      <c r="K482" s="12">
        <v>0.3881</v>
      </c>
      <c r="L482" s="12">
        <v>3</v>
      </c>
      <c r="M482" s="12">
        <v>9</v>
      </c>
      <c r="N482" s="12">
        <v>12</v>
      </c>
      <c r="O482" s="12" t="str">
        <f>VLOOKUP(G482,calculate_field!$B$2:$C$5,2,FALSE)</f>
        <v xml:space="preserve">Mist / cloudy </v>
      </c>
      <c r="P482" s="12" t="str">
        <f t="shared" si="51"/>
        <v>Saturday</v>
      </c>
      <c r="Q482" s="12" t="str">
        <f t="shared" si="52"/>
        <v>Weekend</v>
      </c>
      <c r="R482" s="12" t="str">
        <f t="shared" si="53"/>
        <v>Night</v>
      </c>
      <c r="S482" s="28" t="str">
        <f>INDEX(calculate_field!$F$2:$F$4, MATCH(H482, calculate_field!$E$2:$E$4, 1))</f>
        <v>Cold</v>
      </c>
      <c r="T482" s="33">
        <f t="shared" si="54"/>
        <v>41.791666666666664</v>
      </c>
      <c r="U482" s="33">
        <f t="shared" si="55"/>
        <v>29.291606108334129</v>
      </c>
      <c r="V482" s="33">
        <f t="shared" si="56"/>
        <v>-0.76391451715417014</v>
      </c>
      <c r="W482" s="12" t="b">
        <f t="shared" si="57"/>
        <v>0</v>
      </c>
    </row>
    <row r="483" spans="1:23">
      <c r="A483" s="26">
        <v>482</v>
      </c>
      <c r="B483" s="27">
        <v>40565</v>
      </c>
      <c r="C483" s="12">
        <v>1</v>
      </c>
      <c r="D483" s="12">
        <v>2</v>
      </c>
      <c r="E483" s="12" t="b">
        <v>0</v>
      </c>
      <c r="F483" s="12">
        <v>6</v>
      </c>
      <c r="G483" s="12">
        <v>2</v>
      </c>
      <c r="H483" s="12">
        <v>0.04</v>
      </c>
      <c r="I483" s="12">
        <v>3.0300000000000001E-2</v>
      </c>
      <c r="J483" s="12">
        <v>0.41</v>
      </c>
      <c r="K483" s="12">
        <v>0.25369999999999998</v>
      </c>
      <c r="L483" s="12">
        <v>0</v>
      </c>
      <c r="M483" s="12">
        <v>11</v>
      </c>
      <c r="N483" s="12">
        <v>11</v>
      </c>
      <c r="O483" s="12" t="str">
        <f>VLOOKUP(G483,calculate_field!$B$2:$C$5,2,FALSE)</f>
        <v xml:space="preserve">Mist / cloudy </v>
      </c>
      <c r="P483" s="12" t="str">
        <f t="shared" si="51"/>
        <v>Saturday</v>
      </c>
      <c r="Q483" s="12" t="str">
        <f t="shared" si="52"/>
        <v>Weekend</v>
      </c>
      <c r="R483" s="12" t="str">
        <f t="shared" si="53"/>
        <v>Night</v>
      </c>
      <c r="S483" s="28" t="str">
        <f>INDEX(calculate_field!$F$2:$F$4, MATCH(H483, calculate_field!$E$2:$E$4, 1))</f>
        <v>Cold</v>
      </c>
      <c r="T483" s="33">
        <f t="shared" si="54"/>
        <v>42.041666666666664</v>
      </c>
      <c r="U483" s="33">
        <f t="shared" si="55"/>
        <v>29.050898611659633</v>
      </c>
      <c r="V483" s="33">
        <f t="shared" si="56"/>
        <v>-0.60311135085422818</v>
      </c>
      <c r="W483" s="12" t="b">
        <f t="shared" si="57"/>
        <v>0</v>
      </c>
    </row>
    <row r="484" spans="1:23">
      <c r="A484" s="26">
        <v>483</v>
      </c>
      <c r="B484" s="27">
        <v>40565</v>
      </c>
      <c r="C484" s="12">
        <v>1</v>
      </c>
      <c r="D484" s="12">
        <v>3</v>
      </c>
      <c r="E484" s="12" t="b">
        <v>0</v>
      </c>
      <c r="F484" s="12">
        <v>6</v>
      </c>
      <c r="G484" s="12">
        <v>2</v>
      </c>
      <c r="H484" s="12">
        <v>0.04</v>
      </c>
      <c r="I484" s="12">
        <v>3.0300000000000001E-2</v>
      </c>
      <c r="J484" s="12">
        <v>0.41</v>
      </c>
      <c r="K484" s="12">
        <v>0.28360000000000002</v>
      </c>
      <c r="L484" s="12">
        <v>1</v>
      </c>
      <c r="M484" s="12">
        <v>6</v>
      </c>
      <c r="N484" s="12">
        <v>7</v>
      </c>
      <c r="O484" s="12" t="str">
        <f>VLOOKUP(G484,calculate_field!$B$2:$C$5,2,FALSE)</f>
        <v xml:space="preserve">Mist / cloudy </v>
      </c>
      <c r="P484" s="12" t="str">
        <f t="shared" si="51"/>
        <v>Saturday</v>
      </c>
      <c r="Q484" s="12" t="str">
        <f t="shared" si="52"/>
        <v>Weekend</v>
      </c>
      <c r="R484" s="12" t="str">
        <f t="shared" si="53"/>
        <v>Night</v>
      </c>
      <c r="S484" s="28" t="str">
        <f>INDEX(calculate_field!$F$2:$F$4, MATCH(H484, calculate_field!$E$2:$E$4, 1))</f>
        <v>Cold</v>
      </c>
      <c r="T484" s="33">
        <f t="shared" si="54"/>
        <v>41.791666666666664</v>
      </c>
      <c r="U484" s="33">
        <f t="shared" si="55"/>
        <v>29.353881554554938</v>
      </c>
      <c r="V484" s="33">
        <f t="shared" si="56"/>
        <v>-0.92471960870106551</v>
      </c>
      <c r="W484" s="12" t="b">
        <f t="shared" si="57"/>
        <v>0</v>
      </c>
    </row>
    <row r="485" spans="1:23">
      <c r="A485" s="26">
        <v>484</v>
      </c>
      <c r="B485" s="27">
        <v>40565</v>
      </c>
      <c r="C485" s="12">
        <v>1</v>
      </c>
      <c r="D485" s="12">
        <v>4</v>
      </c>
      <c r="E485" s="12" t="b">
        <v>0</v>
      </c>
      <c r="F485" s="12">
        <v>6</v>
      </c>
      <c r="G485" s="12">
        <v>2</v>
      </c>
      <c r="H485" s="12">
        <v>0.02</v>
      </c>
      <c r="I485" s="12">
        <v>1.52E-2</v>
      </c>
      <c r="J485" s="12">
        <v>0.48</v>
      </c>
      <c r="K485" s="12">
        <v>0.29849999999999999</v>
      </c>
      <c r="L485" s="12">
        <v>0</v>
      </c>
      <c r="M485" s="12">
        <v>3</v>
      </c>
      <c r="N485" s="12">
        <v>3</v>
      </c>
      <c r="O485" s="12" t="str">
        <f>VLOOKUP(G485,calculate_field!$B$2:$C$5,2,FALSE)</f>
        <v xml:space="preserve">Mist / cloudy </v>
      </c>
      <c r="P485" s="12" t="str">
        <f t="shared" si="51"/>
        <v>Saturday</v>
      </c>
      <c r="Q485" s="12" t="str">
        <f t="shared" si="52"/>
        <v>Weekend</v>
      </c>
      <c r="R485" s="12" t="str">
        <f t="shared" si="53"/>
        <v>Night</v>
      </c>
      <c r="S485" s="28" t="str">
        <f>INDEX(calculate_field!$F$2:$F$4, MATCH(H485, calculate_field!$E$2:$E$4, 1))</f>
        <v>Cold</v>
      </c>
      <c r="T485" s="33">
        <f t="shared" si="54"/>
        <v>41.625</v>
      </c>
      <c r="U485" s="33">
        <f t="shared" si="55"/>
        <v>29.570567770350127</v>
      </c>
      <c r="V485" s="33">
        <f t="shared" si="56"/>
        <v>-0.97865222257427464</v>
      </c>
      <c r="W485" s="12" t="b">
        <f t="shared" si="57"/>
        <v>0</v>
      </c>
    </row>
    <row r="486" spans="1:23">
      <c r="A486" s="26">
        <v>485</v>
      </c>
      <c r="B486" s="27">
        <v>40565</v>
      </c>
      <c r="C486" s="12">
        <v>1</v>
      </c>
      <c r="D486" s="12">
        <v>6</v>
      </c>
      <c r="E486" s="12" t="b">
        <v>0</v>
      </c>
      <c r="F486" s="12">
        <v>6</v>
      </c>
      <c r="G486" s="12">
        <v>2</v>
      </c>
      <c r="H486" s="12">
        <v>0.02</v>
      </c>
      <c r="I486" s="12">
        <v>3.0300000000000001E-2</v>
      </c>
      <c r="J486" s="12">
        <v>0.44</v>
      </c>
      <c r="K486" s="12">
        <v>0.22389999999999999</v>
      </c>
      <c r="L486" s="12">
        <v>0</v>
      </c>
      <c r="M486" s="12">
        <v>2</v>
      </c>
      <c r="N486" s="12">
        <v>2</v>
      </c>
      <c r="O486" s="12" t="str">
        <f>VLOOKUP(G486,calculate_field!$B$2:$C$5,2,FALSE)</f>
        <v xml:space="preserve">Mist / cloudy </v>
      </c>
      <c r="P486" s="12" t="str">
        <f t="shared" si="51"/>
        <v>Saturday</v>
      </c>
      <c r="Q486" s="12" t="str">
        <f t="shared" si="52"/>
        <v>Weekend</v>
      </c>
      <c r="R486" s="12" t="str">
        <f t="shared" si="53"/>
        <v>Morning</v>
      </c>
      <c r="S486" s="28" t="str">
        <f>INDEX(calculate_field!$F$2:$F$4, MATCH(H486, calculate_field!$E$2:$E$4, 1))</f>
        <v>Cold</v>
      </c>
      <c r="T486" s="33">
        <f t="shared" si="54"/>
        <v>41.541666666666664</v>
      </c>
      <c r="U486" s="33">
        <f t="shared" si="55"/>
        <v>29.686740074179315</v>
      </c>
      <c r="V486" s="33">
        <f t="shared" si="56"/>
        <v>-1.0584041204085315</v>
      </c>
      <c r="W486" s="12" t="b">
        <f t="shared" si="57"/>
        <v>0</v>
      </c>
    </row>
    <row r="487" spans="1:23">
      <c r="A487" s="26">
        <v>486</v>
      </c>
      <c r="B487" s="27">
        <v>40565</v>
      </c>
      <c r="C487" s="12">
        <v>1</v>
      </c>
      <c r="D487" s="12">
        <v>7</v>
      </c>
      <c r="E487" s="12" t="b">
        <v>0</v>
      </c>
      <c r="F487" s="12">
        <v>6</v>
      </c>
      <c r="G487" s="12">
        <v>1</v>
      </c>
      <c r="H487" s="12">
        <v>0.02</v>
      </c>
      <c r="I487" s="12">
        <v>1.52E-2</v>
      </c>
      <c r="J487" s="12">
        <v>0.44</v>
      </c>
      <c r="K487" s="12">
        <v>0.28360000000000002</v>
      </c>
      <c r="L487" s="12">
        <v>0</v>
      </c>
      <c r="M487" s="12">
        <v>8</v>
      </c>
      <c r="N487" s="12">
        <v>8</v>
      </c>
      <c r="O487" s="12" t="str">
        <f>VLOOKUP(G487,calculate_field!$B$2:$C$5,2,FALSE)</f>
        <v>Clear/Partly Cloudy</v>
      </c>
      <c r="P487" s="12" t="str">
        <f t="shared" si="51"/>
        <v>Saturday</v>
      </c>
      <c r="Q487" s="12" t="str">
        <f t="shared" si="52"/>
        <v>Weekend</v>
      </c>
      <c r="R487" s="12" t="str">
        <f t="shared" si="53"/>
        <v>Morning</v>
      </c>
      <c r="S487" s="28" t="str">
        <f>INDEX(calculate_field!$F$2:$F$4, MATCH(H487, calculate_field!$E$2:$E$4, 1))</f>
        <v>Cold</v>
      </c>
      <c r="T487" s="33">
        <f t="shared" si="54"/>
        <v>41.541666666666664</v>
      </c>
      <c r="U487" s="33">
        <f t="shared" si="55"/>
        <v>29.686740074179315</v>
      </c>
      <c r="V487" s="33">
        <f t="shared" si="56"/>
        <v>-1.1225291619806936</v>
      </c>
      <c r="W487" s="12" t="b">
        <f t="shared" si="57"/>
        <v>0</v>
      </c>
    </row>
    <row r="488" spans="1:23">
      <c r="A488" s="26">
        <v>487</v>
      </c>
      <c r="B488" s="27">
        <v>40565</v>
      </c>
      <c r="C488" s="12">
        <v>1</v>
      </c>
      <c r="D488" s="12">
        <v>8</v>
      </c>
      <c r="E488" s="12" t="b">
        <v>0</v>
      </c>
      <c r="F488" s="12">
        <v>6</v>
      </c>
      <c r="G488" s="12">
        <v>1</v>
      </c>
      <c r="H488" s="12">
        <v>0.02</v>
      </c>
      <c r="I488" s="12">
        <v>0</v>
      </c>
      <c r="J488" s="12">
        <v>0.44</v>
      </c>
      <c r="K488" s="12">
        <v>0.32840000000000003</v>
      </c>
      <c r="L488" s="12">
        <v>1</v>
      </c>
      <c r="M488" s="12">
        <v>26</v>
      </c>
      <c r="N488" s="12">
        <v>27</v>
      </c>
      <c r="O488" s="12" t="str">
        <f>VLOOKUP(G488,calculate_field!$B$2:$C$5,2,FALSE)</f>
        <v>Clear/Partly Cloudy</v>
      </c>
      <c r="P488" s="12" t="str">
        <f t="shared" si="51"/>
        <v>Saturday</v>
      </c>
      <c r="Q488" s="12" t="str">
        <f t="shared" si="52"/>
        <v>Weekend</v>
      </c>
      <c r="R488" s="12" t="str">
        <f t="shared" si="53"/>
        <v>Morning</v>
      </c>
      <c r="S488" s="28" t="str">
        <f>INDEX(calculate_field!$F$2:$F$4, MATCH(H488, calculate_field!$E$2:$E$4, 1))</f>
        <v>Cold</v>
      </c>
      <c r="T488" s="33">
        <f t="shared" si="54"/>
        <v>42</v>
      </c>
      <c r="U488" s="33">
        <f t="shared" si="55"/>
        <v>29.22774143797665</v>
      </c>
      <c r="V488" s="33">
        <f t="shared" si="56"/>
        <v>-0.70552352708000809</v>
      </c>
      <c r="W488" s="12" t="b">
        <f t="shared" si="57"/>
        <v>0</v>
      </c>
    </row>
    <row r="489" spans="1:23">
      <c r="A489" s="26">
        <v>488</v>
      </c>
      <c r="B489" s="27">
        <v>40565</v>
      </c>
      <c r="C489" s="12">
        <v>1</v>
      </c>
      <c r="D489" s="12">
        <v>9</v>
      </c>
      <c r="E489" s="12" t="b">
        <v>0</v>
      </c>
      <c r="F489" s="12">
        <v>6</v>
      </c>
      <c r="G489" s="12">
        <v>1</v>
      </c>
      <c r="H489" s="12">
        <v>0.04</v>
      </c>
      <c r="I489" s="12">
        <v>3.0300000000000001E-2</v>
      </c>
      <c r="J489" s="12">
        <v>0.41</v>
      </c>
      <c r="K489" s="12">
        <v>0.25369999999999998</v>
      </c>
      <c r="L489" s="12">
        <v>3</v>
      </c>
      <c r="M489" s="12">
        <v>37</v>
      </c>
      <c r="N489" s="12">
        <v>40</v>
      </c>
      <c r="O489" s="12" t="str">
        <f>VLOOKUP(G489,calculate_field!$B$2:$C$5,2,FALSE)</f>
        <v>Clear/Partly Cloudy</v>
      </c>
      <c r="P489" s="12" t="str">
        <f t="shared" si="51"/>
        <v>Saturday</v>
      </c>
      <c r="Q489" s="12" t="str">
        <f t="shared" si="52"/>
        <v>Weekend</v>
      </c>
      <c r="R489" s="12" t="str">
        <f t="shared" si="53"/>
        <v>Morning</v>
      </c>
      <c r="S489" s="28" t="str">
        <f>INDEX(calculate_field!$F$2:$F$4, MATCH(H489, calculate_field!$E$2:$E$4, 1))</f>
        <v>Cold</v>
      </c>
      <c r="T489" s="33">
        <f t="shared" si="54"/>
        <v>42.041666666666664</v>
      </c>
      <c r="U489" s="33">
        <f t="shared" si="55"/>
        <v>29.206132719101944</v>
      </c>
      <c r="V489" s="33">
        <f t="shared" si="56"/>
        <v>-0.57311462067369012</v>
      </c>
      <c r="W489" s="12" t="b">
        <f t="shared" si="57"/>
        <v>0</v>
      </c>
    </row>
    <row r="490" spans="1:23">
      <c r="A490" s="26">
        <v>489</v>
      </c>
      <c r="B490" s="27">
        <v>40565</v>
      </c>
      <c r="C490" s="12">
        <v>1</v>
      </c>
      <c r="D490" s="12">
        <v>10</v>
      </c>
      <c r="E490" s="12" t="b">
        <v>0</v>
      </c>
      <c r="F490" s="12">
        <v>6</v>
      </c>
      <c r="G490" s="12">
        <v>2</v>
      </c>
      <c r="H490" s="12">
        <v>0.04</v>
      </c>
      <c r="I490" s="12">
        <v>6.0600000000000001E-2</v>
      </c>
      <c r="J490" s="12">
        <v>0.41</v>
      </c>
      <c r="K490" s="12">
        <v>0.16420000000000001</v>
      </c>
      <c r="L490" s="12">
        <v>3</v>
      </c>
      <c r="M490" s="12">
        <v>50</v>
      </c>
      <c r="N490" s="12">
        <v>53</v>
      </c>
      <c r="O490" s="12" t="str">
        <f>VLOOKUP(G490,calculate_field!$B$2:$C$5,2,FALSE)</f>
        <v xml:space="preserve">Mist / cloudy </v>
      </c>
      <c r="P490" s="12" t="str">
        <f t="shared" si="51"/>
        <v>Saturday</v>
      </c>
      <c r="Q490" s="12" t="str">
        <f t="shared" si="52"/>
        <v>Weekend</v>
      </c>
      <c r="R490" s="12" t="str">
        <f t="shared" si="53"/>
        <v>Morning</v>
      </c>
      <c r="S490" s="28" t="str">
        <f>INDEX(calculate_field!$F$2:$F$4, MATCH(H490, calculate_field!$E$2:$E$4, 1))</f>
        <v>Cold</v>
      </c>
      <c r="T490" s="33">
        <f t="shared" si="54"/>
        <v>42.791666666666664</v>
      </c>
      <c r="U490" s="33">
        <f t="shared" si="55"/>
        <v>29.382010418483691</v>
      </c>
      <c r="V490" s="33">
        <f t="shared" si="56"/>
        <v>7.7549171924454638E-2</v>
      </c>
      <c r="W490" s="12" t="b">
        <f t="shared" si="57"/>
        <v>0</v>
      </c>
    </row>
    <row r="491" spans="1:23">
      <c r="A491" s="26">
        <v>490</v>
      </c>
      <c r="B491" s="27">
        <v>40565</v>
      </c>
      <c r="C491" s="12">
        <v>1</v>
      </c>
      <c r="D491" s="12">
        <v>11</v>
      </c>
      <c r="E491" s="12" t="b">
        <v>0</v>
      </c>
      <c r="F491" s="12">
        <v>6</v>
      </c>
      <c r="G491" s="12">
        <v>2</v>
      </c>
      <c r="H491" s="12">
        <v>0.06</v>
      </c>
      <c r="I491" s="12">
        <v>7.5800000000000006E-2</v>
      </c>
      <c r="J491" s="12">
        <v>0.38</v>
      </c>
      <c r="K491" s="12">
        <v>0.1343</v>
      </c>
      <c r="L491" s="12">
        <v>4</v>
      </c>
      <c r="M491" s="12">
        <v>59</v>
      </c>
      <c r="N491" s="12">
        <v>63</v>
      </c>
      <c r="O491" s="12" t="str">
        <f>VLOOKUP(G491,calculate_field!$B$2:$C$5,2,FALSE)</f>
        <v xml:space="preserve">Mist / cloudy </v>
      </c>
      <c r="P491" s="12" t="str">
        <f t="shared" si="51"/>
        <v>Saturday</v>
      </c>
      <c r="Q491" s="12" t="str">
        <f t="shared" si="52"/>
        <v>Weekend</v>
      </c>
      <c r="R491" s="12" t="str">
        <f t="shared" si="53"/>
        <v>Morning</v>
      </c>
      <c r="S491" s="28" t="str">
        <f>INDEX(calculate_field!$F$2:$F$4, MATCH(H491, calculate_field!$E$2:$E$4, 1))</f>
        <v>Cold</v>
      </c>
      <c r="T491" s="33">
        <f t="shared" si="54"/>
        <v>44.708333333333336</v>
      </c>
      <c r="U491" s="33">
        <f t="shared" si="55"/>
        <v>31.50083389740475</v>
      </c>
      <c r="V491" s="33">
        <f t="shared" si="56"/>
        <v>0.99648666466928792</v>
      </c>
      <c r="W491" s="12" t="b">
        <f t="shared" si="57"/>
        <v>0</v>
      </c>
    </row>
    <row r="492" spans="1:23">
      <c r="A492" s="26">
        <v>491</v>
      </c>
      <c r="B492" s="27">
        <v>40565</v>
      </c>
      <c r="C492" s="12">
        <v>1</v>
      </c>
      <c r="D492" s="12">
        <v>12</v>
      </c>
      <c r="E492" s="12" t="b">
        <v>0</v>
      </c>
      <c r="F492" s="12">
        <v>6</v>
      </c>
      <c r="G492" s="12">
        <v>2</v>
      </c>
      <c r="H492" s="12">
        <v>0.06</v>
      </c>
      <c r="I492" s="12">
        <v>0.1061</v>
      </c>
      <c r="J492" s="12">
        <v>0.38</v>
      </c>
      <c r="K492" s="12">
        <v>0.1045</v>
      </c>
      <c r="L492" s="12">
        <v>10</v>
      </c>
      <c r="M492" s="12">
        <v>60</v>
      </c>
      <c r="N492" s="12">
        <v>70</v>
      </c>
      <c r="O492" s="12" t="str">
        <f>VLOOKUP(G492,calculate_field!$B$2:$C$5,2,FALSE)</f>
        <v xml:space="preserve">Mist / cloudy </v>
      </c>
      <c r="P492" s="12" t="str">
        <f t="shared" si="51"/>
        <v>Saturday</v>
      </c>
      <c r="Q492" s="12" t="str">
        <f t="shared" si="52"/>
        <v>Weekend</v>
      </c>
      <c r="R492" s="12" t="str">
        <f t="shared" si="53"/>
        <v>Afternoon</v>
      </c>
      <c r="S492" s="28" t="str">
        <f>INDEX(calculate_field!$F$2:$F$4, MATCH(H492, calculate_field!$E$2:$E$4, 1))</f>
        <v>Cold</v>
      </c>
      <c r="T492" s="33">
        <f t="shared" si="54"/>
        <v>46.916666666666664</v>
      </c>
      <c r="U492" s="33">
        <f t="shared" si="55"/>
        <v>34.549166813922326</v>
      </c>
      <c r="V492" s="33">
        <f t="shared" si="56"/>
        <v>1.4370949302349876</v>
      </c>
      <c r="W492" s="12" t="b">
        <f t="shared" si="57"/>
        <v>0</v>
      </c>
    </row>
    <row r="493" spans="1:23">
      <c r="A493" s="26">
        <v>492</v>
      </c>
      <c r="B493" s="27">
        <v>40565</v>
      </c>
      <c r="C493" s="12">
        <v>1</v>
      </c>
      <c r="D493" s="12">
        <v>13</v>
      </c>
      <c r="E493" s="12" t="b">
        <v>0</v>
      </c>
      <c r="F493" s="12">
        <v>6</v>
      </c>
      <c r="G493" s="12">
        <v>1</v>
      </c>
      <c r="H493" s="12">
        <v>0.08</v>
      </c>
      <c r="I493" s="12">
        <v>0.16669999999999999</v>
      </c>
      <c r="J493" s="12">
        <v>0.35</v>
      </c>
      <c r="K493" s="12">
        <v>0</v>
      </c>
      <c r="L493" s="12">
        <v>12</v>
      </c>
      <c r="M493" s="12">
        <v>72</v>
      </c>
      <c r="N493" s="12">
        <v>84</v>
      </c>
      <c r="O493" s="12" t="str">
        <f>VLOOKUP(G493,calculate_field!$B$2:$C$5,2,FALSE)</f>
        <v>Clear/Partly Cloudy</v>
      </c>
      <c r="P493" s="12" t="str">
        <f t="shared" si="51"/>
        <v>Saturday</v>
      </c>
      <c r="Q493" s="12" t="str">
        <f t="shared" si="52"/>
        <v>Weekend</v>
      </c>
      <c r="R493" s="12" t="str">
        <f t="shared" si="53"/>
        <v>Afternoon</v>
      </c>
      <c r="S493" s="28" t="str">
        <f>INDEX(calculate_field!$F$2:$F$4, MATCH(H493, calculate_field!$E$2:$E$4, 1))</f>
        <v>Cold</v>
      </c>
      <c r="T493" s="33">
        <f t="shared" si="54"/>
        <v>47.625</v>
      </c>
      <c r="U493" s="33">
        <f t="shared" si="55"/>
        <v>35.21093271426782</v>
      </c>
      <c r="V493" s="33">
        <f t="shared" si="56"/>
        <v>0.87453744215437645</v>
      </c>
      <c r="W493" s="12" t="b">
        <f t="shared" si="57"/>
        <v>0</v>
      </c>
    </row>
    <row r="494" spans="1:23">
      <c r="A494" s="26">
        <v>493</v>
      </c>
      <c r="B494" s="27">
        <v>40565</v>
      </c>
      <c r="C494" s="12">
        <v>1</v>
      </c>
      <c r="D494" s="12">
        <v>14</v>
      </c>
      <c r="E494" s="12" t="b">
        <v>0</v>
      </c>
      <c r="F494" s="12">
        <v>6</v>
      </c>
      <c r="G494" s="12">
        <v>1</v>
      </c>
      <c r="H494" s="12">
        <v>0.1</v>
      </c>
      <c r="I494" s="12">
        <v>0.13639999999999999</v>
      </c>
      <c r="J494" s="12">
        <v>0.33</v>
      </c>
      <c r="K494" s="12">
        <v>0.1045</v>
      </c>
      <c r="L494" s="12">
        <v>11</v>
      </c>
      <c r="M494" s="12">
        <v>64</v>
      </c>
      <c r="N494" s="12">
        <v>75</v>
      </c>
      <c r="O494" s="12" t="str">
        <f>VLOOKUP(G494,calculate_field!$B$2:$C$5,2,FALSE)</f>
        <v>Clear/Partly Cloudy</v>
      </c>
      <c r="P494" s="12" t="str">
        <f t="shared" si="51"/>
        <v>Saturday</v>
      </c>
      <c r="Q494" s="12" t="str">
        <f t="shared" si="52"/>
        <v>Weekend</v>
      </c>
      <c r="R494" s="12" t="str">
        <f t="shared" si="53"/>
        <v>Afternoon</v>
      </c>
      <c r="S494" s="28" t="str">
        <f>INDEX(calculate_field!$F$2:$F$4, MATCH(H494, calculate_field!$E$2:$E$4, 1))</f>
        <v>Cold</v>
      </c>
      <c r="T494" s="33">
        <f t="shared" si="54"/>
        <v>48.708333333333336</v>
      </c>
      <c r="U494" s="33">
        <f t="shared" si="55"/>
        <v>36.74527969290947</v>
      </c>
      <c r="V494" s="33">
        <f t="shared" si="56"/>
        <v>1.4879966882328017</v>
      </c>
      <c r="W494" s="12" t="b">
        <f t="shared" si="57"/>
        <v>0</v>
      </c>
    </row>
    <row r="495" spans="1:23">
      <c r="A495" s="26">
        <v>494</v>
      </c>
      <c r="B495" s="27">
        <v>40565</v>
      </c>
      <c r="C495" s="12">
        <v>1</v>
      </c>
      <c r="D495" s="12">
        <v>15</v>
      </c>
      <c r="E495" s="12" t="b">
        <v>0</v>
      </c>
      <c r="F495" s="12">
        <v>6</v>
      </c>
      <c r="G495" s="12">
        <v>1</v>
      </c>
      <c r="H495" s="12">
        <v>0.12</v>
      </c>
      <c r="I495" s="12">
        <v>0.1515</v>
      </c>
      <c r="J495" s="12">
        <v>0.28000000000000003</v>
      </c>
      <c r="K495" s="12">
        <v>0</v>
      </c>
      <c r="L495" s="12">
        <v>10</v>
      </c>
      <c r="M495" s="12">
        <v>93</v>
      </c>
      <c r="N495" s="12">
        <v>103</v>
      </c>
      <c r="O495" s="12" t="str">
        <f>VLOOKUP(G495,calculate_field!$B$2:$C$5,2,FALSE)</f>
        <v>Clear/Partly Cloudy</v>
      </c>
      <c r="P495" s="12" t="str">
        <f t="shared" si="51"/>
        <v>Saturday</v>
      </c>
      <c r="Q495" s="12" t="str">
        <f t="shared" si="52"/>
        <v>Weekend</v>
      </c>
      <c r="R495" s="12" t="str">
        <f t="shared" si="53"/>
        <v>Afternoon</v>
      </c>
      <c r="S495" s="28" t="str">
        <f>INDEX(calculate_field!$F$2:$F$4, MATCH(H495, calculate_field!$E$2:$E$4, 1))</f>
        <v>Cold</v>
      </c>
      <c r="T495" s="33">
        <f t="shared" si="54"/>
        <v>48.791666666666664</v>
      </c>
      <c r="U495" s="33">
        <f t="shared" si="55"/>
        <v>36.809709454774669</v>
      </c>
      <c r="V495" s="33">
        <f t="shared" si="56"/>
        <v>0.78309868191911292</v>
      </c>
      <c r="W495" s="12" t="b">
        <f t="shared" si="57"/>
        <v>1</v>
      </c>
    </row>
    <row r="496" spans="1:23">
      <c r="A496" s="26">
        <v>495</v>
      </c>
      <c r="B496" s="27">
        <v>40565</v>
      </c>
      <c r="C496" s="12">
        <v>1</v>
      </c>
      <c r="D496" s="12">
        <v>16</v>
      </c>
      <c r="E496" s="12" t="b">
        <v>0</v>
      </c>
      <c r="F496" s="12">
        <v>6</v>
      </c>
      <c r="G496" s="12">
        <v>1</v>
      </c>
      <c r="H496" s="12">
        <v>0.12</v>
      </c>
      <c r="I496" s="12">
        <v>0.13639999999999999</v>
      </c>
      <c r="J496" s="12">
        <v>0.28000000000000003</v>
      </c>
      <c r="K496" s="12">
        <v>0.19400000000000001</v>
      </c>
      <c r="L496" s="12">
        <v>11</v>
      </c>
      <c r="M496" s="12">
        <v>72</v>
      </c>
      <c r="N496" s="12">
        <v>83</v>
      </c>
      <c r="O496" s="12" t="str">
        <f>VLOOKUP(G496,calculate_field!$B$2:$C$5,2,FALSE)</f>
        <v>Clear/Partly Cloudy</v>
      </c>
      <c r="P496" s="12" t="str">
        <f t="shared" si="51"/>
        <v>Saturday</v>
      </c>
      <c r="Q496" s="12" t="str">
        <f t="shared" si="52"/>
        <v>Weekend</v>
      </c>
      <c r="R496" s="12" t="str">
        <f t="shared" si="53"/>
        <v>Afternoon</v>
      </c>
      <c r="S496" s="28" t="str">
        <f>INDEX(calculate_field!$F$2:$F$4, MATCH(H496, calculate_field!$E$2:$E$4, 1))</f>
        <v>Cold</v>
      </c>
      <c r="T496" s="33">
        <f t="shared" si="54"/>
        <v>47.208333333333336</v>
      </c>
      <c r="U496" s="33">
        <f t="shared" si="55"/>
        <v>35.156765897986084</v>
      </c>
      <c r="V496" s="33">
        <f t="shared" si="56"/>
        <v>0.48797318439238596</v>
      </c>
      <c r="W496" s="12" t="b">
        <f t="shared" si="57"/>
        <v>0</v>
      </c>
    </row>
    <row r="497" spans="1:23">
      <c r="A497" s="26">
        <v>496</v>
      </c>
      <c r="B497" s="27">
        <v>40565</v>
      </c>
      <c r="C497" s="12">
        <v>1</v>
      </c>
      <c r="D497" s="12">
        <v>17</v>
      </c>
      <c r="E497" s="12" t="b">
        <v>0</v>
      </c>
      <c r="F497" s="12">
        <v>6</v>
      </c>
      <c r="G497" s="12">
        <v>1</v>
      </c>
      <c r="H497" s="12">
        <v>0.12</v>
      </c>
      <c r="I497" s="12">
        <v>0.19700000000000001</v>
      </c>
      <c r="J497" s="12">
        <v>0.28000000000000003</v>
      </c>
      <c r="K497" s="12">
        <v>0</v>
      </c>
      <c r="L497" s="12">
        <v>8</v>
      </c>
      <c r="M497" s="12">
        <v>59</v>
      </c>
      <c r="N497" s="12">
        <v>67</v>
      </c>
      <c r="O497" s="12" t="str">
        <f>VLOOKUP(G497,calculate_field!$B$2:$C$5,2,FALSE)</f>
        <v>Clear/Partly Cloudy</v>
      </c>
      <c r="P497" s="12" t="str">
        <f t="shared" si="51"/>
        <v>Saturday</v>
      </c>
      <c r="Q497" s="12" t="str">
        <f t="shared" si="52"/>
        <v>Weekend</v>
      </c>
      <c r="R497" s="12" t="str">
        <f t="shared" si="53"/>
        <v>Evening</v>
      </c>
      <c r="S497" s="28" t="str">
        <f>INDEX(calculate_field!$F$2:$F$4, MATCH(H497, calculate_field!$E$2:$E$4, 1))</f>
        <v>Cold</v>
      </c>
      <c r="T497" s="33">
        <f t="shared" si="54"/>
        <v>46.041666666666664</v>
      </c>
      <c r="U497" s="33">
        <f t="shared" si="55"/>
        <v>34.37324435569375</v>
      </c>
      <c r="V497" s="33">
        <f t="shared" si="56"/>
        <v>8.5697985624417675E-2</v>
      </c>
      <c r="W497" s="12" t="b">
        <f t="shared" si="57"/>
        <v>0</v>
      </c>
    </row>
    <row r="498" spans="1:23">
      <c r="A498" s="26">
        <v>497</v>
      </c>
      <c r="B498" s="27">
        <v>40565</v>
      </c>
      <c r="C498" s="12">
        <v>1</v>
      </c>
      <c r="D498" s="12">
        <v>18</v>
      </c>
      <c r="E498" s="12" t="b">
        <v>0</v>
      </c>
      <c r="F498" s="12">
        <v>6</v>
      </c>
      <c r="G498" s="12">
        <v>1</v>
      </c>
      <c r="H498" s="12">
        <v>0.08</v>
      </c>
      <c r="I498" s="12">
        <v>9.0899999999999995E-2</v>
      </c>
      <c r="J498" s="12">
        <v>0.35</v>
      </c>
      <c r="K498" s="12">
        <v>0.19400000000000001</v>
      </c>
      <c r="L498" s="12">
        <v>0</v>
      </c>
      <c r="M498" s="12">
        <v>54</v>
      </c>
      <c r="N498" s="12">
        <v>54</v>
      </c>
      <c r="O498" s="12" t="str">
        <f>VLOOKUP(G498,calculate_field!$B$2:$C$5,2,FALSE)</f>
        <v>Clear/Partly Cloudy</v>
      </c>
      <c r="P498" s="12" t="str">
        <f t="shared" si="51"/>
        <v>Saturday</v>
      </c>
      <c r="Q498" s="12" t="str">
        <f t="shared" si="52"/>
        <v>Weekend</v>
      </c>
      <c r="R498" s="12" t="str">
        <f t="shared" si="53"/>
        <v>Evening</v>
      </c>
      <c r="S498" s="28" t="str">
        <f>INDEX(calculate_field!$F$2:$F$4, MATCH(H498, calculate_field!$E$2:$E$4, 1))</f>
        <v>Cold</v>
      </c>
      <c r="T498" s="33">
        <f t="shared" si="54"/>
        <v>45.291666666666664</v>
      </c>
      <c r="U498" s="33">
        <f t="shared" si="55"/>
        <v>34.091283045818983</v>
      </c>
      <c r="V498" s="33">
        <f t="shared" si="56"/>
        <v>-0.11357521595520946</v>
      </c>
      <c r="W498" s="12" t="b">
        <f t="shared" si="57"/>
        <v>0</v>
      </c>
    </row>
    <row r="499" spans="1:23">
      <c r="A499" s="26">
        <v>498</v>
      </c>
      <c r="B499" s="27">
        <v>40565</v>
      </c>
      <c r="C499" s="12">
        <v>1</v>
      </c>
      <c r="D499" s="12">
        <v>19</v>
      </c>
      <c r="E499" s="12" t="b">
        <v>0</v>
      </c>
      <c r="F499" s="12">
        <v>6</v>
      </c>
      <c r="G499" s="12">
        <v>1</v>
      </c>
      <c r="H499" s="12">
        <v>0.08</v>
      </c>
      <c r="I499" s="12">
        <v>0.1061</v>
      </c>
      <c r="J499" s="12">
        <v>0.35</v>
      </c>
      <c r="K499" s="12">
        <v>0.1343</v>
      </c>
      <c r="L499" s="12">
        <v>6</v>
      </c>
      <c r="M499" s="12">
        <v>53</v>
      </c>
      <c r="N499" s="12">
        <v>59</v>
      </c>
      <c r="O499" s="12" t="str">
        <f>VLOOKUP(G499,calculate_field!$B$2:$C$5,2,FALSE)</f>
        <v>Clear/Partly Cloudy</v>
      </c>
      <c r="P499" s="12" t="str">
        <f t="shared" si="51"/>
        <v>Saturday</v>
      </c>
      <c r="Q499" s="12" t="str">
        <f t="shared" si="52"/>
        <v>Weekend</v>
      </c>
      <c r="R499" s="12" t="str">
        <f t="shared" si="53"/>
        <v>Evening</v>
      </c>
      <c r="S499" s="28" t="str">
        <f>INDEX(calculate_field!$F$2:$F$4, MATCH(H499, calculate_field!$E$2:$E$4, 1))</f>
        <v>Cold</v>
      </c>
      <c r="T499" s="33">
        <f t="shared" si="54"/>
        <v>45.125</v>
      </c>
      <c r="U499" s="33">
        <f t="shared" si="55"/>
        <v>34.056618459112542</v>
      </c>
      <c r="V499" s="33">
        <f t="shared" si="56"/>
        <v>-0.13717213851823223</v>
      </c>
      <c r="W499" s="12" t="b">
        <f t="shared" si="57"/>
        <v>0</v>
      </c>
    </row>
    <row r="500" spans="1:23">
      <c r="A500" s="26">
        <v>499</v>
      </c>
      <c r="B500" s="27">
        <v>40565</v>
      </c>
      <c r="C500" s="12">
        <v>1</v>
      </c>
      <c r="D500" s="12">
        <v>20</v>
      </c>
      <c r="E500" s="12" t="b">
        <v>0</v>
      </c>
      <c r="F500" s="12">
        <v>6</v>
      </c>
      <c r="G500" s="12">
        <v>1</v>
      </c>
      <c r="H500" s="12">
        <v>0.06</v>
      </c>
      <c r="I500" s="12">
        <v>7.5800000000000006E-2</v>
      </c>
      <c r="J500" s="12">
        <v>0.45</v>
      </c>
      <c r="K500" s="12">
        <v>0.16420000000000001</v>
      </c>
      <c r="L500" s="12">
        <v>1</v>
      </c>
      <c r="M500" s="12">
        <v>44</v>
      </c>
      <c r="N500" s="12">
        <v>45</v>
      </c>
      <c r="O500" s="12" t="str">
        <f>VLOOKUP(G500,calculate_field!$B$2:$C$5,2,FALSE)</f>
        <v>Clear/Partly Cloudy</v>
      </c>
      <c r="P500" s="12" t="str">
        <f t="shared" si="51"/>
        <v>Saturday</v>
      </c>
      <c r="Q500" s="12" t="str">
        <f t="shared" si="52"/>
        <v>Weekend</v>
      </c>
      <c r="R500" s="12" t="str">
        <f t="shared" si="53"/>
        <v>Evening</v>
      </c>
      <c r="S500" s="28" t="str">
        <f>INDEX(calculate_field!$F$2:$F$4, MATCH(H500, calculate_field!$E$2:$E$4, 1))</f>
        <v>Cold</v>
      </c>
      <c r="T500" s="33">
        <f t="shared" si="54"/>
        <v>44.125</v>
      </c>
      <c r="U500" s="33">
        <f t="shared" si="55"/>
        <v>33.983771702541119</v>
      </c>
      <c r="V500" s="33">
        <f t="shared" si="56"/>
        <v>-0.44035345713503221</v>
      </c>
      <c r="W500" s="12" t="b">
        <f t="shared" si="57"/>
        <v>0</v>
      </c>
    </row>
    <row r="501" spans="1:23">
      <c r="A501" s="26">
        <v>500</v>
      </c>
      <c r="B501" s="27">
        <v>40565</v>
      </c>
      <c r="C501" s="12">
        <v>1</v>
      </c>
      <c r="D501" s="12">
        <v>21</v>
      </c>
      <c r="E501" s="12" t="b">
        <v>0</v>
      </c>
      <c r="F501" s="12">
        <v>6</v>
      </c>
      <c r="G501" s="12">
        <v>1</v>
      </c>
      <c r="H501" s="12">
        <v>0.06</v>
      </c>
      <c r="I501" s="12">
        <v>0.1061</v>
      </c>
      <c r="J501" s="12">
        <v>0.41</v>
      </c>
      <c r="K501" s="12">
        <v>8.9599999999999999E-2</v>
      </c>
      <c r="L501" s="12">
        <v>0</v>
      </c>
      <c r="M501" s="12">
        <v>39</v>
      </c>
      <c r="N501" s="12">
        <v>39</v>
      </c>
      <c r="O501" s="12" t="str">
        <f>VLOOKUP(G501,calculate_field!$B$2:$C$5,2,FALSE)</f>
        <v>Clear/Partly Cloudy</v>
      </c>
      <c r="P501" s="12" t="str">
        <f t="shared" si="51"/>
        <v>Saturday</v>
      </c>
      <c r="Q501" s="12" t="str">
        <f t="shared" si="52"/>
        <v>Weekend</v>
      </c>
      <c r="R501" s="12" t="str">
        <f t="shared" si="53"/>
        <v>Night</v>
      </c>
      <c r="S501" s="28" t="str">
        <f>INDEX(calculate_field!$F$2:$F$4, MATCH(H501, calculate_field!$E$2:$E$4, 1))</f>
        <v>Cold</v>
      </c>
      <c r="T501" s="33">
        <f t="shared" si="54"/>
        <v>43.291666666666664</v>
      </c>
      <c r="U501" s="33">
        <f t="shared" si="55"/>
        <v>34.205871815620583</v>
      </c>
      <c r="V501" s="33">
        <f t="shared" si="56"/>
        <v>-0.6482414957590793</v>
      </c>
      <c r="W501" s="12" t="b">
        <f t="shared" si="57"/>
        <v>0</v>
      </c>
    </row>
    <row r="502" spans="1:23">
      <c r="A502" s="26">
        <v>501</v>
      </c>
      <c r="B502" s="27">
        <v>40565</v>
      </c>
      <c r="C502" s="12">
        <v>1</v>
      </c>
      <c r="D502" s="12">
        <v>22</v>
      </c>
      <c r="E502" s="12" t="b">
        <v>0</v>
      </c>
      <c r="F502" s="12">
        <v>6</v>
      </c>
      <c r="G502" s="12">
        <v>1</v>
      </c>
      <c r="H502" s="12">
        <v>0.06</v>
      </c>
      <c r="I502" s="12">
        <v>0.1515</v>
      </c>
      <c r="J502" s="12">
        <v>0.49</v>
      </c>
      <c r="K502" s="12">
        <v>0</v>
      </c>
      <c r="L502" s="12">
        <v>7</v>
      </c>
      <c r="M502" s="12">
        <v>23</v>
      </c>
      <c r="N502" s="12">
        <v>30</v>
      </c>
      <c r="O502" s="12" t="str">
        <f>VLOOKUP(G502,calculate_field!$B$2:$C$5,2,FALSE)</f>
        <v>Clear/Partly Cloudy</v>
      </c>
      <c r="P502" s="12" t="str">
        <f t="shared" si="51"/>
        <v>Saturday</v>
      </c>
      <c r="Q502" s="12" t="str">
        <f t="shared" si="52"/>
        <v>Weekend</v>
      </c>
      <c r="R502" s="12" t="str">
        <f t="shared" si="53"/>
        <v>Night</v>
      </c>
      <c r="S502" s="28" t="str">
        <f>INDEX(calculate_field!$F$2:$F$4, MATCH(H502, calculate_field!$E$2:$E$4, 1))</f>
        <v>Cold</v>
      </c>
      <c r="T502" s="33">
        <f t="shared" si="54"/>
        <v>42.833333333333336</v>
      </c>
      <c r="U502" s="33">
        <f t="shared" si="55"/>
        <v>34.339312832336958</v>
      </c>
      <c r="V502" s="33">
        <f t="shared" si="56"/>
        <v>-0.60262293152744117</v>
      </c>
      <c r="W502" s="12" t="b">
        <f t="shared" si="57"/>
        <v>0</v>
      </c>
    </row>
    <row r="503" spans="1:23">
      <c r="A503" s="26">
        <v>502</v>
      </c>
      <c r="B503" s="27">
        <v>40565</v>
      </c>
      <c r="C503" s="12">
        <v>1</v>
      </c>
      <c r="D503" s="12">
        <v>23</v>
      </c>
      <c r="E503" s="12" t="b">
        <v>0</v>
      </c>
      <c r="F503" s="12">
        <v>6</v>
      </c>
      <c r="G503" s="12">
        <v>1</v>
      </c>
      <c r="H503" s="12">
        <v>0.04</v>
      </c>
      <c r="I503" s="12">
        <v>7.5800000000000006E-2</v>
      </c>
      <c r="J503" s="12">
        <v>0.56999999999999995</v>
      </c>
      <c r="K503" s="12">
        <v>0.1045</v>
      </c>
      <c r="L503" s="12">
        <v>2</v>
      </c>
      <c r="M503" s="12">
        <v>31</v>
      </c>
      <c r="N503" s="12">
        <v>33</v>
      </c>
      <c r="O503" s="12" t="str">
        <f>VLOOKUP(G503,calculate_field!$B$2:$C$5,2,FALSE)</f>
        <v>Clear/Partly Cloudy</v>
      </c>
      <c r="P503" s="12" t="str">
        <f t="shared" si="51"/>
        <v>Saturday</v>
      </c>
      <c r="Q503" s="12" t="str">
        <f t="shared" si="52"/>
        <v>Weekend</v>
      </c>
      <c r="R503" s="12" t="str">
        <f t="shared" si="53"/>
        <v>Night</v>
      </c>
      <c r="S503" s="28" t="str">
        <f>INDEX(calculate_field!$F$2:$F$4, MATCH(H503, calculate_field!$E$2:$E$4, 1))</f>
        <v>Cold</v>
      </c>
      <c r="T503" s="33">
        <f t="shared" si="54"/>
        <v>42.458333333333336</v>
      </c>
      <c r="U503" s="33">
        <f t="shared" si="55"/>
        <v>34.534140847253916</v>
      </c>
      <c r="V503" s="33">
        <f t="shared" si="56"/>
        <v>-0.72961810813048333</v>
      </c>
      <c r="W503" s="12" t="b">
        <f t="shared" si="57"/>
        <v>0</v>
      </c>
    </row>
    <row r="504" spans="1:23">
      <c r="A504" s="26">
        <v>503</v>
      </c>
      <c r="B504" s="27">
        <v>40566</v>
      </c>
      <c r="C504" s="12">
        <v>1</v>
      </c>
      <c r="D504" s="12">
        <v>0</v>
      </c>
      <c r="E504" s="12" t="b">
        <v>0</v>
      </c>
      <c r="F504" s="12">
        <v>0</v>
      </c>
      <c r="G504" s="12">
        <v>1</v>
      </c>
      <c r="H504" s="12">
        <v>0.04</v>
      </c>
      <c r="I504" s="12">
        <v>7.5800000000000006E-2</v>
      </c>
      <c r="J504" s="12">
        <v>0.56999999999999995</v>
      </c>
      <c r="K504" s="12">
        <v>0.1045</v>
      </c>
      <c r="L504" s="12">
        <v>2</v>
      </c>
      <c r="M504" s="12">
        <v>20</v>
      </c>
      <c r="N504" s="12">
        <v>22</v>
      </c>
      <c r="O504" s="12" t="str">
        <f>VLOOKUP(G504,calculate_field!$B$2:$C$5,2,FALSE)</f>
        <v>Clear/Partly Cloudy</v>
      </c>
      <c r="P504" s="12" t="str">
        <f t="shared" si="51"/>
        <v>Sunday</v>
      </c>
      <c r="Q504" s="12" t="str">
        <f t="shared" si="52"/>
        <v>Weekend</v>
      </c>
      <c r="R504" s="12" t="str">
        <f t="shared" si="53"/>
        <v>Night</v>
      </c>
      <c r="S504" s="28" t="str">
        <f>INDEX(calculate_field!$F$2:$F$4, MATCH(H504, calculate_field!$E$2:$E$4, 1))</f>
        <v>Cold</v>
      </c>
      <c r="T504" s="33">
        <f t="shared" si="54"/>
        <v>41.375</v>
      </c>
      <c r="U504" s="33">
        <f t="shared" si="55"/>
        <v>35.244256393001855</v>
      </c>
      <c r="V504" s="33">
        <f t="shared" si="56"/>
        <v>-0.97502636569791956</v>
      </c>
      <c r="W504" s="12" t="b">
        <f t="shared" si="57"/>
        <v>0</v>
      </c>
    </row>
    <row r="505" spans="1:23">
      <c r="A505" s="26">
        <v>504</v>
      </c>
      <c r="B505" s="27">
        <v>40566</v>
      </c>
      <c r="C505" s="12">
        <v>1</v>
      </c>
      <c r="D505" s="12">
        <v>1</v>
      </c>
      <c r="E505" s="12" t="b">
        <v>0</v>
      </c>
      <c r="F505" s="12">
        <v>0</v>
      </c>
      <c r="G505" s="12">
        <v>1</v>
      </c>
      <c r="H505" s="12">
        <v>0.04</v>
      </c>
      <c r="I505" s="12">
        <v>7.5800000000000006E-2</v>
      </c>
      <c r="J505" s="12">
        <v>0.56999999999999995</v>
      </c>
      <c r="K505" s="12">
        <v>0.1045</v>
      </c>
      <c r="L505" s="12">
        <v>1</v>
      </c>
      <c r="M505" s="12">
        <v>12</v>
      </c>
      <c r="N505" s="12">
        <v>13</v>
      </c>
      <c r="O505" s="12" t="str">
        <f>VLOOKUP(G505,calculate_field!$B$2:$C$5,2,FALSE)</f>
        <v>Clear/Partly Cloudy</v>
      </c>
      <c r="P505" s="12" t="str">
        <f t="shared" si="51"/>
        <v>Sunday</v>
      </c>
      <c r="Q505" s="12" t="str">
        <f t="shared" si="52"/>
        <v>Weekend</v>
      </c>
      <c r="R505" s="12" t="str">
        <f t="shared" si="53"/>
        <v>Night</v>
      </c>
      <c r="S505" s="28" t="str">
        <f>INDEX(calculate_field!$F$2:$F$4, MATCH(H505, calculate_field!$E$2:$E$4, 1))</f>
        <v>Cold</v>
      </c>
      <c r="T505" s="33">
        <f t="shared" si="54"/>
        <v>40.5</v>
      </c>
      <c r="U505" s="33">
        <f t="shared" si="55"/>
        <v>35.998792250272238</v>
      </c>
      <c r="V505" s="33">
        <f t="shared" si="56"/>
        <v>-1.0834325839688195</v>
      </c>
      <c r="W505" s="12" t="b">
        <f t="shared" si="57"/>
        <v>0</v>
      </c>
    </row>
    <row r="506" spans="1:23">
      <c r="A506" s="26">
        <v>505</v>
      </c>
      <c r="B506" s="27">
        <v>40566</v>
      </c>
      <c r="C506" s="12">
        <v>1</v>
      </c>
      <c r="D506" s="12">
        <v>2</v>
      </c>
      <c r="E506" s="12" t="b">
        <v>0</v>
      </c>
      <c r="F506" s="12">
        <v>0</v>
      </c>
      <c r="G506" s="12">
        <v>1</v>
      </c>
      <c r="H506" s="12">
        <v>0.02</v>
      </c>
      <c r="I506" s="12">
        <v>6.0600000000000001E-2</v>
      </c>
      <c r="J506" s="12">
        <v>0.62</v>
      </c>
      <c r="K506" s="12">
        <v>0.1343</v>
      </c>
      <c r="L506" s="12">
        <v>3</v>
      </c>
      <c r="M506" s="12">
        <v>15</v>
      </c>
      <c r="N506" s="12">
        <v>18</v>
      </c>
      <c r="O506" s="12" t="str">
        <f>VLOOKUP(G506,calculate_field!$B$2:$C$5,2,FALSE)</f>
        <v>Clear/Partly Cloudy</v>
      </c>
      <c r="P506" s="12" t="str">
        <f t="shared" si="51"/>
        <v>Sunday</v>
      </c>
      <c r="Q506" s="12" t="str">
        <f t="shared" si="52"/>
        <v>Weekend</v>
      </c>
      <c r="R506" s="12" t="str">
        <f t="shared" si="53"/>
        <v>Night</v>
      </c>
      <c r="S506" s="28" t="str">
        <f>INDEX(calculate_field!$F$2:$F$4, MATCH(H506, calculate_field!$E$2:$E$4, 1))</f>
        <v>Cold</v>
      </c>
      <c r="T506" s="33">
        <f t="shared" si="54"/>
        <v>40</v>
      </c>
      <c r="U506" s="33">
        <f t="shared" si="55"/>
        <v>36.477509449689322</v>
      </c>
      <c r="V506" s="33">
        <f t="shared" si="56"/>
        <v>-1.0851496949304167</v>
      </c>
      <c r="W506" s="12" t="b">
        <f t="shared" si="57"/>
        <v>0</v>
      </c>
    </row>
    <row r="507" spans="1:23">
      <c r="A507" s="26">
        <v>506</v>
      </c>
      <c r="B507" s="27">
        <v>40566</v>
      </c>
      <c r="C507" s="12">
        <v>1</v>
      </c>
      <c r="D507" s="12">
        <v>3</v>
      </c>
      <c r="E507" s="12" t="b">
        <v>0</v>
      </c>
      <c r="F507" s="12">
        <v>0</v>
      </c>
      <c r="G507" s="12">
        <v>1</v>
      </c>
      <c r="H507" s="12">
        <v>0.02</v>
      </c>
      <c r="I507" s="12">
        <v>6.0600000000000001E-2</v>
      </c>
      <c r="J507" s="12">
        <v>0.62</v>
      </c>
      <c r="K507" s="12">
        <v>0.1343</v>
      </c>
      <c r="L507" s="12">
        <v>1</v>
      </c>
      <c r="M507" s="12">
        <v>4</v>
      </c>
      <c r="N507" s="12">
        <v>5</v>
      </c>
      <c r="O507" s="12" t="str">
        <f>VLOOKUP(G507,calculate_field!$B$2:$C$5,2,FALSE)</f>
        <v>Clear/Partly Cloudy</v>
      </c>
      <c r="P507" s="12" t="str">
        <f t="shared" si="51"/>
        <v>Sunday</v>
      </c>
      <c r="Q507" s="12" t="str">
        <f t="shared" si="52"/>
        <v>Weekend</v>
      </c>
      <c r="R507" s="12" t="str">
        <f t="shared" si="53"/>
        <v>Night</v>
      </c>
      <c r="S507" s="28" t="str">
        <f>INDEX(calculate_field!$F$2:$F$4, MATCH(H507, calculate_field!$E$2:$E$4, 1))</f>
        <v>Cold</v>
      </c>
      <c r="T507" s="33">
        <f t="shared" si="54"/>
        <v>39.291666666666664</v>
      </c>
      <c r="U507" s="33">
        <f t="shared" si="55"/>
        <v>37.083312978336707</v>
      </c>
      <c r="V507" s="33">
        <f t="shared" si="56"/>
        <v>-1.0851496949304167</v>
      </c>
      <c r="W507" s="12" t="b">
        <f t="shared" si="57"/>
        <v>0</v>
      </c>
    </row>
    <row r="508" spans="1:23">
      <c r="A508" s="26">
        <v>507</v>
      </c>
      <c r="B508" s="27">
        <v>40566</v>
      </c>
      <c r="C508" s="12">
        <v>1</v>
      </c>
      <c r="D508" s="12">
        <v>5</v>
      </c>
      <c r="E508" s="12" t="b">
        <v>0</v>
      </c>
      <c r="F508" s="12">
        <v>0</v>
      </c>
      <c r="G508" s="12">
        <v>2</v>
      </c>
      <c r="H508" s="12">
        <v>0.04</v>
      </c>
      <c r="I508" s="12">
        <v>7.5800000000000006E-2</v>
      </c>
      <c r="J508" s="12">
        <v>0.56999999999999995</v>
      </c>
      <c r="K508" s="12">
        <v>0.1045</v>
      </c>
      <c r="L508" s="12">
        <v>0</v>
      </c>
      <c r="M508" s="12">
        <v>3</v>
      </c>
      <c r="N508" s="12">
        <v>3</v>
      </c>
      <c r="O508" s="12" t="str">
        <f>VLOOKUP(G508,calculate_field!$B$2:$C$5,2,FALSE)</f>
        <v xml:space="preserve">Mist / cloudy </v>
      </c>
      <c r="P508" s="12" t="str">
        <f t="shared" si="51"/>
        <v>Sunday</v>
      </c>
      <c r="Q508" s="12" t="str">
        <f t="shared" si="52"/>
        <v>Weekend</v>
      </c>
      <c r="R508" s="12" t="str">
        <f t="shared" si="53"/>
        <v>Night</v>
      </c>
      <c r="S508" s="28" t="str">
        <f>INDEX(calculate_field!$F$2:$F$4, MATCH(H508, calculate_field!$E$2:$E$4, 1))</f>
        <v>Cold</v>
      </c>
      <c r="T508" s="33">
        <f t="shared" si="54"/>
        <v>39.291666666666664</v>
      </c>
      <c r="U508" s="33">
        <f t="shared" si="55"/>
        <v>37.083312978336707</v>
      </c>
      <c r="V508" s="33">
        <f t="shared" si="56"/>
        <v>-1.0236777920781999</v>
      </c>
      <c r="W508" s="12" t="b">
        <f t="shared" si="57"/>
        <v>0</v>
      </c>
    </row>
    <row r="509" spans="1:23">
      <c r="A509" s="26">
        <v>508</v>
      </c>
      <c r="B509" s="27">
        <v>40566</v>
      </c>
      <c r="C509" s="12">
        <v>1</v>
      </c>
      <c r="D509" s="12">
        <v>6</v>
      </c>
      <c r="E509" s="12" t="b">
        <v>0</v>
      </c>
      <c r="F509" s="12">
        <v>0</v>
      </c>
      <c r="G509" s="12">
        <v>2</v>
      </c>
      <c r="H509" s="12">
        <v>0.04</v>
      </c>
      <c r="I509" s="12">
        <v>7.5800000000000006E-2</v>
      </c>
      <c r="J509" s="12">
        <v>0.56999999999999995</v>
      </c>
      <c r="K509" s="12">
        <v>0.1045</v>
      </c>
      <c r="L509" s="12">
        <v>0</v>
      </c>
      <c r="M509" s="12">
        <v>1</v>
      </c>
      <c r="N509" s="12">
        <v>1</v>
      </c>
      <c r="O509" s="12" t="str">
        <f>VLOOKUP(G509,calculate_field!$B$2:$C$5,2,FALSE)</f>
        <v xml:space="preserve">Mist / cloudy </v>
      </c>
      <c r="P509" s="12" t="str">
        <f t="shared" si="51"/>
        <v>Sunday</v>
      </c>
      <c r="Q509" s="12" t="str">
        <f t="shared" si="52"/>
        <v>Weekend</v>
      </c>
      <c r="R509" s="12" t="str">
        <f t="shared" si="53"/>
        <v>Morning</v>
      </c>
      <c r="S509" s="28" t="str">
        <f>INDEX(calculate_field!$F$2:$F$4, MATCH(H509, calculate_field!$E$2:$E$4, 1))</f>
        <v>Cold</v>
      </c>
      <c r="T509" s="33">
        <f t="shared" si="54"/>
        <v>39.791666666666664</v>
      </c>
      <c r="U509" s="33">
        <f t="shared" si="55"/>
        <v>36.651091883215216</v>
      </c>
      <c r="V509" s="33">
        <f t="shared" si="56"/>
        <v>-0.87727250173248772</v>
      </c>
      <c r="W509" s="12" t="b">
        <f t="shared" si="57"/>
        <v>0</v>
      </c>
    </row>
    <row r="510" spans="1:23">
      <c r="A510" s="26">
        <v>509</v>
      </c>
      <c r="B510" s="27">
        <v>40566</v>
      </c>
      <c r="C510" s="12">
        <v>1</v>
      </c>
      <c r="D510" s="12">
        <v>7</v>
      </c>
      <c r="E510" s="12" t="b">
        <v>0</v>
      </c>
      <c r="F510" s="12">
        <v>0</v>
      </c>
      <c r="G510" s="12">
        <v>1</v>
      </c>
      <c r="H510" s="12">
        <v>0.08</v>
      </c>
      <c r="I510" s="12">
        <v>0.1061</v>
      </c>
      <c r="J510" s="12">
        <v>0.57999999999999996</v>
      </c>
      <c r="K510" s="12">
        <v>0.16420000000000001</v>
      </c>
      <c r="L510" s="12">
        <v>1</v>
      </c>
      <c r="M510" s="12">
        <v>1</v>
      </c>
      <c r="N510" s="12">
        <v>2</v>
      </c>
      <c r="O510" s="12" t="str">
        <f>VLOOKUP(G510,calculate_field!$B$2:$C$5,2,FALSE)</f>
        <v>Clear/Partly Cloudy</v>
      </c>
      <c r="P510" s="12" t="str">
        <f t="shared" si="51"/>
        <v>Sunday</v>
      </c>
      <c r="Q510" s="12" t="str">
        <f t="shared" si="52"/>
        <v>Weekend</v>
      </c>
      <c r="R510" s="12" t="str">
        <f t="shared" si="53"/>
        <v>Morning</v>
      </c>
      <c r="S510" s="28" t="str">
        <f>INDEX(calculate_field!$F$2:$F$4, MATCH(H510, calculate_field!$E$2:$E$4, 1))</f>
        <v>Cold</v>
      </c>
      <c r="T510" s="33">
        <f t="shared" si="54"/>
        <v>43.25</v>
      </c>
      <c r="U510" s="33">
        <f t="shared" si="55"/>
        <v>36.747374943217253</v>
      </c>
      <c r="V510" s="33">
        <f t="shared" si="56"/>
        <v>0.36661632955514689</v>
      </c>
      <c r="W510" s="12" t="b">
        <f t="shared" si="57"/>
        <v>0</v>
      </c>
    </row>
    <row r="511" spans="1:23">
      <c r="A511" s="26">
        <v>510</v>
      </c>
      <c r="B511" s="27">
        <v>40566</v>
      </c>
      <c r="C511" s="12">
        <v>1</v>
      </c>
      <c r="D511" s="12">
        <v>8</v>
      </c>
      <c r="E511" s="12" t="b">
        <v>0</v>
      </c>
      <c r="F511" s="12">
        <v>0</v>
      </c>
      <c r="G511" s="12">
        <v>1</v>
      </c>
      <c r="H511" s="12">
        <v>0.06</v>
      </c>
      <c r="I511" s="12">
        <v>7.5800000000000006E-2</v>
      </c>
      <c r="J511" s="12">
        <v>0.62</v>
      </c>
      <c r="K511" s="12">
        <v>0.16420000000000001</v>
      </c>
      <c r="L511" s="12">
        <v>2</v>
      </c>
      <c r="M511" s="12">
        <v>17</v>
      </c>
      <c r="N511" s="12">
        <v>19</v>
      </c>
      <c r="O511" s="12" t="str">
        <f>VLOOKUP(G511,calculate_field!$B$2:$C$5,2,FALSE)</f>
        <v>Clear/Partly Cloudy</v>
      </c>
      <c r="P511" s="12" t="str">
        <f t="shared" si="51"/>
        <v>Sunday</v>
      </c>
      <c r="Q511" s="12" t="str">
        <f t="shared" si="52"/>
        <v>Weekend</v>
      </c>
      <c r="R511" s="12" t="str">
        <f t="shared" si="53"/>
        <v>Morning</v>
      </c>
      <c r="S511" s="28" t="str">
        <f>INDEX(calculate_field!$F$2:$F$4, MATCH(H511, calculate_field!$E$2:$E$4, 1))</f>
        <v>Cold</v>
      </c>
      <c r="T511" s="33">
        <f t="shared" si="54"/>
        <v>50.541666666666664</v>
      </c>
      <c r="U511" s="33">
        <f t="shared" si="55"/>
        <v>44.706753858670062</v>
      </c>
      <c r="V511" s="33">
        <f t="shared" si="56"/>
        <v>1.6766669355432329</v>
      </c>
      <c r="W511" s="12" t="b">
        <f t="shared" si="57"/>
        <v>0</v>
      </c>
    </row>
    <row r="512" spans="1:23">
      <c r="A512" s="26">
        <v>511</v>
      </c>
      <c r="B512" s="27">
        <v>40566</v>
      </c>
      <c r="C512" s="12">
        <v>1</v>
      </c>
      <c r="D512" s="12">
        <v>9</v>
      </c>
      <c r="E512" s="12" t="b">
        <v>0</v>
      </c>
      <c r="F512" s="12">
        <v>0</v>
      </c>
      <c r="G512" s="12">
        <v>1</v>
      </c>
      <c r="H512" s="12">
        <v>0.1</v>
      </c>
      <c r="I512" s="12">
        <v>7.5800000000000006E-2</v>
      </c>
      <c r="J512" s="12">
        <v>0.54</v>
      </c>
      <c r="K512" s="12">
        <v>0.35820000000000002</v>
      </c>
      <c r="L512" s="12">
        <v>3</v>
      </c>
      <c r="M512" s="12">
        <v>25</v>
      </c>
      <c r="N512" s="12">
        <v>28</v>
      </c>
      <c r="O512" s="12" t="str">
        <f>VLOOKUP(G512,calculate_field!$B$2:$C$5,2,FALSE)</f>
        <v>Clear/Partly Cloudy</v>
      </c>
      <c r="P512" s="12" t="str">
        <f t="shared" si="51"/>
        <v>Sunday</v>
      </c>
      <c r="Q512" s="12" t="str">
        <f t="shared" si="52"/>
        <v>Weekend</v>
      </c>
      <c r="R512" s="12" t="str">
        <f t="shared" si="53"/>
        <v>Morning</v>
      </c>
      <c r="S512" s="28" t="str">
        <f>INDEX(calculate_field!$F$2:$F$4, MATCH(H512, calculate_field!$E$2:$E$4, 1))</f>
        <v>Cold</v>
      </c>
      <c r="T512" s="33">
        <f t="shared" si="54"/>
        <v>54</v>
      </c>
      <c r="U512" s="33">
        <f t="shared" si="55"/>
        <v>45.366143284631754</v>
      </c>
      <c r="V512" s="33">
        <f t="shared" si="56"/>
        <v>0.52671435668721178</v>
      </c>
      <c r="W512" s="12" t="b">
        <f t="shared" si="57"/>
        <v>0</v>
      </c>
    </row>
    <row r="513" spans="1:23">
      <c r="A513" s="26">
        <v>512</v>
      </c>
      <c r="B513" s="27">
        <v>40566</v>
      </c>
      <c r="C513" s="12">
        <v>1</v>
      </c>
      <c r="D513" s="12">
        <v>10</v>
      </c>
      <c r="E513" s="12" t="b">
        <v>0</v>
      </c>
      <c r="F513" s="12">
        <v>0</v>
      </c>
      <c r="G513" s="12">
        <v>1</v>
      </c>
      <c r="H513" s="12">
        <v>0.14000000000000001</v>
      </c>
      <c r="I513" s="12">
        <v>0.1061</v>
      </c>
      <c r="J513" s="12">
        <v>0.46</v>
      </c>
      <c r="K513" s="12">
        <v>0.3881</v>
      </c>
      <c r="L513" s="12">
        <v>7</v>
      </c>
      <c r="M513" s="12">
        <v>51</v>
      </c>
      <c r="N513" s="12">
        <v>58</v>
      </c>
      <c r="O513" s="12" t="str">
        <f>VLOOKUP(G513,calculate_field!$B$2:$C$5,2,FALSE)</f>
        <v>Clear/Partly Cloudy</v>
      </c>
      <c r="P513" s="12" t="str">
        <f t="shared" si="51"/>
        <v>Sunday</v>
      </c>
      <c r="Q513" s="12" t="str">
        <f t="shared" si="52"/>
        <v>Weekend</v>
      </c>
      <c r="R513" s="12" t="str">
        <f t="shared" si="53"/>
        <v>Morning</v>
      </c>
      <c r="S513" s="28" t="str">
        <f>INDEX(calculate_field!$F$2:$F$4, MATCH(H513, calculate_field!$E$2:$E$4, 1))</f>
        <v>Cold</v>
      </c>
      <c r="T513" s="33">
        <f t="shared" si="54"/>
        <v>54.5</v>
      </c>
      <c r="U513" s="33">
        <f t="shared" si="55"/>
        <v>45.132654716281984</v>
      </c>
      <c r="V513" s="33">
        <f t="shared" si="56"/>
        <v>-0.46014958471661127</v>
      </c>
      <c r="W513" s="12" t="b">
        <f t="shared" si="57"/>
        <v>0</v>
      </c>
    </row>
    <row r="514" spans="1:23">
      <c r="A514" s="26">
        <v>513</v>
      </c>
      <c r="B514" s="27">
        <v>40566</v>
      </c>
      <c r="C514" s="12">
        <v>1</v>
      </c>
      <c r="D514" s="12">
        <v>11</v>
      </c>
      <c r="E514" s="12" t="b">
        <v>0</v>
      </c>
      <c r="F514" s="12">
        <v>0</v>
      </c>
      <c r="G514" s="12">
        <v>1</v>
      </c>
      <c r="H514" s="12">
        <v>0.14000000000000001</v>
      </c>
      <c r="I514" s="12">
        <v>0.13639999999999999</v>
      </c>
      <c r="J514" s="12">
        <v>0.43</v>
      </c>
      <c r="K514" s="12">
        <v>0.22389999999999999</v>
      </c>
      <c r="L514" s="12">
        <v>22</v>
      </c>
      <c r="M514" s="12">
        <v>77</v>
      </c>
      <c r="N514" s="12">
        <v>99</v>
      </c>
      <c r="O514" s="12" t="str">
        <f>VLOOKUP(G514,calculate_field!$B$2:$C$5,2,FALSE)</f>
        <v>Clear/Partly Cloudy</v>
      </c>
      <c r="P514" s="12" t="str">
        <f t="shared" ref="P514:P577" si="58">CHOOSE(F514+1,"Sunday","Monday","Tuesday","Wednesday","Thursday","Friday","Saturday")</f>
        <v>Sunday</v>
      </c>
      <c r="Q514" s="12" t="str">
        <f t="shared" ref="Q514:Q577" si="59">IF(OR(F514=0,F514=6),"Weekend","Weekday")</f>
        <v>Weekend</v>
      </c>
      <c r="R514" s="12" t="str">
        <f t="shared" ref="R514:R577" si="60">IF(D514&lt;6,"Night",IF(D514&lt;12,"Morning",IF(D514&lt;17,"Afternoon",IF(D514&lt;21,"Evening","Night"))))</f>
        <v>Morning</v>
      </c>
      <c r="S514" s="28" t="str">
        <f>INDEX(calculate_field!$F$2:$F$4, MATCH(H514, calculate_field!$E$2:$E$4, 1))</f>
        <v>Cold</v>
      </c>
      <c r="T514" s="33">
        <f t="shared" ref="T514:T577" si="61">AVERAGE(N514:N537)</f>
        <v>54</v>
      </c>
      <c r="U514" s="33">
        <f t="shared" ref="U514:U577" si="62">_xlfn.STDEV.S(N514:N537)</f>
        <v>45.158657506906543</v>
      </c>
      <c r="V514" s="33">
        <f t="shared" ref="V514:V577" si="63">(N537-T537)/U537</f>
        <v>-0.37734934597041614</v>
      </c>
      <c r="W514" s="12" t="b">
        <f t="shared" ref="W514:W577" si="64">IFERROR(ABS(V530)&gt;1.5,FALSE)</f>
        <v>0</v>
      </c>
    </row>
    <row r="515" spans="1:23">
      <c r="A515" s="26">
        <v>514</v>
      </c>
      <c r="B515" s="27">
        <v>40566</v>
      </c>
      <c r="C515" s="12">
        <v>1</v>
      </c>
      <c r="D515" s="12">
        <v>12</v>
      </c>
      <c r="E515" s="12" t="b">
        <v>0</v>
      </c>
      <c r="F515" s="12">
        <v>0</v>
      </c>
      <c r="G515" s="12">
        <v>1</v>
      </c>
      <c r="H515" s="12">
        <v>0.16</v>
      </c>
      <c r="I515" s="12">
        <v>0.1212</v>
      </c>
      <c r="J515" s="12">
        <v>0.37</v>
      </c>
      <c r="K515" s="12">
        <v>0.4627</v>
      </c>
      <c r="L515" s="12">
        <v>24</v>
      </c>
      <c r="M515" s="12">
        <v>92</v>
      </c>
      <c r="N515" s="12">
        <v>116</v>
      </c>
      <c r="O515" s="12" t="str">
        <f>VLOOKUP(G515,calculate_field!$B$2:$C$5,2,FALSE)</f>
        <v>Clear/Partly Cloudy</v>
      </c>
      <c r="P515" s="12" t="str">
        <f t="shared" si="58"/>
        <v>Sunday</v>
      </c>
      <c r="Q515" s="12" t="str">
        <f t="shared" si="59"/>
        <v>Weekend</v>
      </c>
      <c r="R515" s="12" t="str">
        <f t="shared" si="60"/>
        <v>Afternoon</v>
      </c>
      <c r="S515" s="28" t="str">
        <f>INDEX(calculate_field!$F$2:$F$4, MATCH(H515, calculate_field!$E$2:$E$4, 1))</f>
        <v>Cold</v>
      </c>
      <c r="T515" s="33">
        <f t="shared" si="61"/>
        <v>52.5</v>
      </c>
      <c r="U515" s="33">
        <f t="shared" si="62"/>
        <v>44.186364215770183</v>
      </c>
      <c r="V515" s="33">
        <f t="shared" si="63"/>
        <v>-0.13669945496704142</v>
      </c>
      <c r="W515" s="12" t="b">
        <f t="shared" si="64"/>
        <v>0</v>
      </c>
    </row>
    <row r="516" spans="1:23">
      <c r="A516" s="26">
        <v>515</v>
      </c>
      <c r="B516" s="27">
        <v>40566</v>
      </c>
      <c r="C516" s="12">
        <v>1</v>
      </c>
      <c r="D516" s="12">
        <v>13</v>
      </c>
      <c r="E516" s="12" t="b">
        <v>0</v>
      </c>
      <c r="F516" s="12">
        <v>0</v>
      </c>
      <c r="G516" s="12">
        <v>1</v>
      </c>
      <c r="H516" s="12">
        <v>0.14000000000000001</v>
      </c>
      <c r="I516" s="12">
        <v>0.1061</v>
      </c>
      <c r="J516" s="12">
        <v>0.33</v>
      </c>
      <c r="K516" s="12">
        <v>0.3881</v>
      </c>
      <c r="L516" s="12">
        <v>12</v>
      </c>
      <c r="M516" s="12">
        <v>75</v>
      </c>
      <c r="N516" s="12">
        <v>87</v>
      </c>
      <c r="O516" s="12" t="str">
        <f>VLOOKUP(G516,calculate_field!$B$2:$C$5,2,FALSE)</f>
        <v>Clear/Partly Cloudy</v>
      </c>
      <c r="P516" s="12" t="str">
        <f t="shared" si="58"/>
        <v>Sunday</v>
      </c>
      <c r="Q516" s="12" t="str">
        <f t="shared" si="59"/>
        <v>Weekend</v>
      </c>
      <c r="R516" s="12" t="str">
        <f t="shared" si="60"/>
        <v>Afternoon</v>
      </c>
      <c r="S516" s="28" t="str">
        <f>INDEX(calculate_field!$F$2:$F$4, MATCH(H516, calculate_field!$E$2:$E$4, 1))</f>
        <v>Cold</v>
      </c>
      <c r="T516" s="33">
        <f t="shared" si="61"/>
        <v>50.166666666666664</v>
      </c>
      <c r="U516" s="33">
        <f t="shared" si="62"/>
        <v>42.117502988318464</v>
      </c>
      <c r="V516" s="33">
        <f t="shared" si="63"/>
        <v>-0.20632202130645977</v>
      </c>
      <c r="W516" s="12" t="b">
        <f t="shared" si="64"/>
        <v>0</v>
      </c>
    </row>
    <row r="517" spans="1:23">
      <c r="A517" s="26">
        <v>516</v>
      </c>
      <c r="B517" s="27">
        <v>40566</v>
      </c>
      <c r="C517" s="12">
        <v>1</v>
      </c>
      <c r="D517" s="12">
        <v>14</v>
      </c>
      <c r="E517" s="12" t="b">
        <v>0</v>
      </c>
      <c r="F517" s="12">
        <v>0</v>
      </c>
      <c r="G517" s="12">
        <v>1</v>
      </c>
      <c r="H517" s="12">
        <v>0.16</v>
      </c>
      <c r="I517" s="12">
        <v>0.13639999999999999</v>
      </c>
      <c r="J517" s="12">
        <v>0.28000000000000003</v>
      </c>
      <c r="K517" s="12">
        <v>0.35820000000000002</v>
      </c>
      <c r="L517" s="12">
        <v>17</v>
      </c>
      <c r="M517" s="12">
        <v>93</v>
      </c>
      <c r="N517" s="12">
        <v>110</v>
      </c>
      <c r="O517" s="12" t="str">
        <f>VLOOKUP(G517,calculate_field!$B$2:$C$5,2,FALSE)</f>
        <v>Clear/Partly Cloudy</v>
      </c>
      <c r="P517" s="12" t="str">
        <f t="shared" si="58"/>
        <v>Sunday</v>
      </c>
      <c r="Q517" s="12" t="str">
        <f t="shared" si="59"/>
        <v>Weekend</v>
      </c>
      <c r="R517" s="12" t="str">
        <f t="shared" si="60"/>
        <v>Afternoon</v>
      </c>
      <c r="S517" s="28" t="str">
        <f>INDEX(calculate_field!$F$2:$F$4, MATCH(H517, calculate_field!$E$2:$E$4, 1))</f>
        <v>Cold</v>
      </c>
      <c r="T517" s="33">
        <f t="shared" si="61"/>
        <v>48.416666666666664</v>
      </c>
      <c r="U517" s="33">
        <f t="shared" si="62"/>
        <v>41.386740857919456</v>
      </c>
      <c r="V517" s="33">
        <f t="shared" si="63"/>
        <v>-0.45894591452053668</v>
      </c>
      <c r="W517" s="12" t="b">
        <f t="shared" si="64"/>
        <v>0</v>
      </c>
    </row>
    <row r="518" spans="1:23">
      <c r="A518" s="26">
        <v>517</v>
      </c>
      <c r="B518" s="27">
        <v>40566</v>
      </c>
      <c r="C518" s="12">
        <v>1</v>
      </c>
      <c r="D518" s="12">
        <v>15</v>
      </c>
      <c r="E518" s="12" t="b">
        <v>0</v>
      </c>
      <c r="F518" s="12">
        <v>0</v>
      </c>
      <c r="G518" s="12">
        <v>1</v>
      </c>
      <c r="H518" s="12">
        <v>0.16</v>
      </c>
      <c r="I518" s="12">
        <v>0.13639999999999999</v>
      </c>
      <c r="J518" s="12">
        <v>0.28000000000000003</v>
      </c>
      <c r="K518" s="12">
        <v>0.35820000000000002</v>
      </c>
      <c r="L518" s="12">
        <v>13</v>
      </c>
      <c r="M518" s="12">
        <v>64</v>
      </c>
      <c r="N518" s="12">
        <v>77</v>
      </c>
      <c r="O518" s="12" t="str">
        <f>VLOOKUP(G518,calculate_field!$B$2:$C$5,2,FALSE)</f>
        <v>Clear/Partly Cloudy</v>
      </c>
      <c r="P518" s="12" t="str">
        <f t="shared" si="58"/>
        <v>Sunday</v>
      </c>
      <c r="Q518" s="12" t="str">
        <f t="shared" si="59"/>
        <v>Weekend</v>
      </c>
      <c r="R518" s="12" t="str">
        <f t="shared" si="60"/>
        <v>Afternoon</v>
      </c>
      <c r="S518" s="28" t="str">
        <f>INDEX(calculate_field!$F$2:$F$4, MATCH(H518, calculate_field!$E$2:$E$4, 1))</f>
        <v>Cold</v>
      </c>
      <c r="T518" s="33">
        <f t="shared" si="61"/>
        <v>46.208333333333336</v>
      </c>
      <c r="U518" s="33">
        <f t="shared" si="62"/>
        <v>39.320289227414598</v>
      </c>
      <c r="V518" s="33">
        <f t="shared" si="63"/>
        <v>-0.28935202244317032</v>
      </c>
      <c r="W518" s="12" t="b">
        <f t="shared" si="64"/>
        <v>1</v>
      </c>
    </row>
    <row r="519" spans="1:23">
      <c r="A519" s="26">
        <v>518</v>
      </c>
      <c r="B519" s="27">
        <v>40566</v>
      </c>
      <c r="C519" s="12">
        <v>1</v>
      </c>
      <c r="D519" s="12">
        <v>16</v>
      </c>
      <c r="E519" s="12" t="b">
        <v>0</v>
      </c>
      <c r="F519" s="12">
        <v>0</v>
      </c>
      <c r="G519" s="12">
        <v>1</v>
      </c>
      <c r="H519" s="12">
        <v>0.16</v>
      </c>
      <c r="I519" s="12">
        <v>0.13639999999999999</v>
      </c>
      <c r="J519" s="12">
        <v>0.26</v>
      </c>
      <c r="K519" s="12">
        <v>0.32840000000000003</v>
      </c>
      <c r="L519" s="12">
        <v>9</v>
      </c>
      <c r="M519" s="12">
        <v>56</v>
      </c>
      <c r="N519" s="12">
        <v>65</v>
      </c>
      <c r="O519" s="12" t="str">
        <f>VLOOKUP(G519,calculate_field!$B$2:$C$5,2,FALSE)</f>
        <v>Clear/Partly Cloudy</v>
      </c>
      <c r="P519" s="12" t="str">
        <f t="shared" si="58"/>
        <v>Sunday</v>
      </c>
      <c r="Q519" s="12" t="str">
        <f t="shared" si="59"/>
        <v>Weekend</v>
      </c>
      <c r="R519" s="12" t="str">
        <f t="shared" si="60"/>
        <v>Afternoon</v>
      </c>
      <c r="S519" s="28" t="str">
        <f>INDEX(calculate_field!$F$2:$F$4, MATCH(H519, calculate_field!$E$2:$E$4, 1))</f>
        <v>Cold</v>
      </c>
      <c r="T519" s="33">
        <f t="shared" si="61"/>
        <v>45.916666666666664</v>
      </c>
      <c r="U519" s="33">
        <f t="shared" si="62"/>
        <v>39.107340205785086</v>
      </c>
      <c r="V519" s="33">
        <f t="shared" si="63"/>
        <v>-0.1141925511009501</v>
      </c>
      <c r="W519" s="12" t="b">
        <f t="shared" si="64"/>
        <v>0</v>
      </c>
    </row>
    <row r="520" spans="1:23">
      <c r="A520" s="26">
        <v>519</v>
      </c>
      <c r="B520" s="27">
        <v>40566</v>
      </c>
      <c r="C520" s="12">
        <v>1</v>
      </c>
      <c r="D520" s="12">
        <v>17</v>
      </c>
      <c r="E520" s="12" t="b">
        <v>0</v>
      </c>
      <c r="F520" s="12">
        <v>0</v>
      </c>
      <c r="G520" s="12">
        <v>1</v>
      </c>
      <c r="H520" s="12">
        <v>0.14000000000000001</v>
      </c>
      <c r="I520" s="12">
        <v>0.1061</v>
      </c>
      <c r="J520" s="12">
        <v>0.26</v>
      </c>
      <c r="K520" s="12">
        <v>0.3881</v>
      </c>
      <c r="L520" s="12">
        <v>5</v>
      </c>
      <c r="M520" s="12">
        <v>50</v>
      </c>
      <c r="N520" s="12">
        <v>55</v>
      </c>
      <c r="O520" s="12" t="str">
        <f>VLOOKUP(G520,calculate_field!$B$2:$C$5,2,FALSE)</f>
        <v>Clear/Partly Cloudy</v>
      </c>
      <c r="P520" s="12" t="str">
        <f t="shared" si="58"/>
        <v>Sunday</v>
      </c>
      <c r="Q520" s="12" t="str">
        <f t="shared" si="59"/>
        <v>Weekend</v>
      </c>
      <c r="R520" s="12" t="str">
        <f t="shared" si="60"/>
        <v>Evening</v>
      </c>
      <c r="S520" s="28" t="str">
        <f>INDEX(calculate_field!$F$2:$F$4, MATCH(H520, calculate_field!$E$2:$E$4, 1))</f>
        <v>Cold</v>
      </c>
      <c r="T520" s="33">
        <f t="shared" si="61"/>
        <v>50.875</v>
      </c>
      <c r="U520" s="33">
        <f t="shared" si="62"/>
        <v>48.134153562002467</v>
      </c>
      <c r="V520" s="33">
        <f t="shared" si="63"/>
        <v>1.4874880596742142</v>
      </c>
      <c r="W520" s="12" t="b">
        <f t="shared" si="64"/>
        <v>0</v>
      </c>
    </row>
    <row r="521" spans="1:23">
      <c r="A521" s="26">
        <v>520</v>
      </c>
      <c r="B521" s="27">
        <v>40566</v>
      </c>
      <c r="C521" s="12">
        <v>1</v>
      </c>
      <c r="D521" s="12">
        <v>18</v>
      </c>
      <c r="E521" s="12" t="b">
        <v>0</v>
      </c>
      <c r="F521" s="12">
        <v>0</v>
      </c>
      <c r="G521" s="12">
        <v>1</v>
      </c>
      <c r="H521" s="12">
        <v>0.12</v>
      </c>
      <c r="I521" s="12">
        <v>0.1212</v>
      </c>
      <c r="J521" s="12">
        <v>0.3</v>
      </c>
      <c r="K521" s="12">
        <v>0.25369999999999998</v>
      </c>
      <c r="L521" s="12">
        <v>5</v>
      </c>
      <c r="M521" s="12">
        <v>44</v>
      </c>
      <c r="N521" s="12">
        <v>49</v>
      </c>
      <c r="O521" s="12" t="str">
        <f>VLOOKUP(G521,calculate_field!$B$2:$C$5,2,FALSE)</f>
        <v>Clear/Partly Cloudy</v>
      </c>
      <c r="P521" s="12" t="str">
        <f t="shared" si="58"/>
        <v>Sunday</v>
      </c>
      <c r="Q521" s="12" t="str">
        <f t="shared" si="59"/>
        <v>Weekend</v>
      </c>
      <c r="R521" s="12" t="str">
        <f t="shared" si="60"/>
        <v>Evening</v>
      </c>
      <c r="S521" s="28" t="str">
        <f>INDEX(calculate_field!$F$2:$F$4, MATCH(H521, calculate_field!$E$2:$E$4, 1))</f>
        <v>Cold</v>
      </c>
      <c r="T521" s="33">
        <f t="shared" si="61"/>
        <v>54.958333333333336</v>
      </c>
      <c r="U521" s="33">
        <f t="shared" si="62"/>
        <v>52.46156287902739</v>
      </c>
      <c r="V521" s="33">
        <f t="shared" si="63"/>
        <v>0.9604299851182192</v>
      </c>
      <c r="W521" s="12" t="b">
        <f t="shared" si="64"/>
        <v>0</v>
      </c>
    </row>
    <row r="522" spans="1:23">
      <c r="A522" s="26">
        <v>521</v>
      </c>
      <c r="B522" s="27">
        <v>40566</v>
      </c>
      <c r="C522" s="12">
        <v>1</v>
      </c>
      <c r="D522" s="12">
        <v>19</v>
      </c>
      <c r="E522" s="12" t="b">
        <v>0</v>
      </c>
      <c r="F522" s="12">
        <v>0</v>
      </c>
      <c r="G522" s="12">
        <v>1</v>
      </c>
      <c r="H522" s="12">
        <v>0.12</v>
      </c>
      <c r="I522" s="12">
        <v>0.1212</v>
      </c>
      <c r="J522" s="12">
        <v>0.3</v>
      </c>
      <c r="K522" s="12">
        <v>0.28360000000000002</v>
      </c>
      <c r="L522" s="12">
        <v>5</v>
      </c>
      <c r="M522" s="12">
        <v>45</v>
      </c>
      <c r="N522" s="12">
        <v>50</v>
      </c>
      <c r="O522" s="12" t="str">
        <f>VLOOKUP(G522,calculate_field!$B$2:$C$5,2,FALSE)</f>
        <v>Clear/Partly Cloudy</v>
      </c>
      <c r="P522" s="12" t="str">
        <f t="shared" si="58"/>
        <v>Sunday</v>
      </c>
      <c r="Q522" s="12" t="str">
        <f t="shared" si="59"/>
        <v>Weekend</v>
      </c>
      <c r="R522" s="12" t="str">
        <f t="shared" si="60"/>
        <v>Evening</v>
      </c>
      <c r="S522" s="28" t="str">
        <f>INDEX(calculate_field!$F$2:$F$4, MATCH(H522, calculate_field!$E$2:$E$4, 1))</f>
        <v>Cold</v>
      </c>
      <c r="T522" s="33">
        <f t="shared" si="61"/>
        <v>57.333333333333336</v>
      </c>
      <c r="U522" s="33">
        <f t="shared" si="62"/>
        <v>53.460807803609669</v>
      </c>
      <c r="V522" s="33">
        <f t="shared" si="63"/>
        <v>0.3019101592452243</v>
      </c>
      <c r="W522" s="12" t="b">
        <f t="shared" si="64"/>
        <v>0</v>
      </c>
    </row>
    <row r="523" spans="1:23">
      <c r="A523" s="26">
        <v>522</v>
      </c>
      <c r="B523" s="27">
        <v>40566</v>
      </c>
      <c r="C523" s="12">
        <v>1</v>
      </c>
      <c r="D523" s="12">
        <v>20</v>
      </c>
      <c r="E523" s="12" t="b">
        <v>0</v>
      </c>
      <c r="F523" s="12">
        <v>0</v>
      </c>
      <c r="G523" s="12">
        <v>1</v>
      </c>
      <c r="H523" s="12">
        <v>0.1</v>
      </c>
      <c r="I523" s="12">
        <v>0.1061</v>
      </c>
      <c r="J523" s="12">
        <v>0.36</v>
      </c>
      <c r="K523" s="12">
        <v>0.25369999999999998</v>
      </c>
      <c r="L523" s="12">
        <v>4</v>
      </c>
      <c r="M523" s="12">
        <v>31</v>
      </c>
      <c r="N523" s="12">
        <v>35</v>
      </c>
      <c r="O523" s="12" t="str">
        <f>VLOOKUP(G523,calculate_field!$B$2:$C$5,2,FALSE)</f>
        <v>Clear/Partly Cloudy</v>
      </c>
      <c r="P523" s="12" t="str">
        <f t="shared" si="58"/>
        <v>Sunday</v>
      </c>
      <c r="Q523" s="12" t="str">
        <f t="shared" si="59"/>
        <v>Weekend</v>
      </c>
      <c r="R523" s="12" t="str">
        <f t="shared" si="60"/>
        <v>Evening</v>
      </c>
      <c r="S523" s="28" t="str">
        <f>INDEX(calculate_field!$F$2:$F$4, MATCH(H523, calculate_field!$E$2:$E$4, 1))</f>
        <v>Cold</v>
      </c>
      <c r="T523" s="33">
        <f t="shared" si="61"/>
        <v>58.625</v>
      </c>
      <c r="U523" s="33">
        <f t="shared" si="62"/>
        <v>53.650084079515949</v>
      </c>
      <c r="V523" s="33">
        <f t="shared" si="63"/>
        <v>-6.0076264915662418E-2</v>
      </c>
      <c r="W523" s="12" t="b">
        <f t="shared" si="64"/>
        <v>0</v>
      </c>
    </row>
    <row r="524" spans="1:23">
      <c r="A524" s="26">
        <v>523</v>
      </c>
      <c r="B524" s="27">
        <v>40566</v>
      </c>
      <c r="C524" s="12">
        <v>1</v>
      </c>
      <c r="D524" s="12">
        <v>21</v>
      </c>
      <c r="E524" s="12" t="b">
        <v>0</v>
      </c>
      <c r="F524" s="12">
        <v>0</v>
      </c>
      <c r="G524" s="12">
        <v>1</v>
      </c>
      <c r="H524" s="12">
        <v>0.1</v>
      </c>
      <c r="I524" s="12">
        <v>0.1061</v>
      </c>
      <c r="J524" s="12">
        <v>0.36</v>
      </c>
      <c r="K524" s="12">
        <v>0.19400000000000001</v>
      </c>
      <c r="L524" s="12">
        <v>5</v>
      </c>
      <c r="M524" s="12">
        <v>20</v>
      </c>
      <c r="N524" s="12">
        <v>25</v>
      </c>
      <c r="O524" s="12" t="str">
        <f>VLOOKUP(G524,calculate_field!$B$2:$C$5,2,FALSE)</f>
        <v>Clear/Partly Cloudy</v>
      </c>
      <c r="P524" s="12" t="str">
        <f t="shared" si="58"/>
        <v>Sunday</v>
      </c>
      <c r="Q524" s="12" t="str">
        <f t="shared" si="59"/>
        <v>Weekend</v>
      </c>
      <c r="R524" s="12" t="str">
        <f t="shared" si="60"/>
        <v>Night</v>
      </c>
      <c r="S524" s="28" t="str">
        <f>INDEX(calculate_field!$F$2:$F$4, MATCH(H524, calculate_field!$E$2:$E$4, 1))</f>
        <v>Cold</v>
      </c>
      <c r="T524" s="33">
        <f t="shared" si="61"/>
        <v>59.625</v>
      </c>
      <c r="U524" s="33">
        <f t="shared" si="62"/>
        <v>53.413735816857482</v>
      </c>
      <c r="V524" s="33">
        <f t="shared" si="63"/>
        <v>-0.34752685727438282</v>
      </c>
      <c r="W524" s="12" t="b">
        <f t="shared" si="64"/>
        <v>0</v>
      </c>
    </row>
    <row r="525" spans="1:23">
      <c r="A525" s="26">
        <v>524</v>
      </c>
      <c r="B525" s="27">
        <v>40566</v>
      </c>
      <c r="C525" s="12">
        <v>1</v>
      </c>
      <c r="D525" s="12">
        <v>22</v>
      </c>
      <c r="E525" s="12" t="b">
        <v>0</v>
      </c>
      <c r="F525" s="12">
        <v>0</v>
      </c>
      <c r="G525" s="12">
        <v>1</v>
      </c>
      <c r="H525" s="12">
        <v>0.08</v>
      </c>
      <c r="I525" s="12">
        <v>9.0899999999999995E-2</v>
      </c>
      <c r="J525" s="12">
        <v>0.38</v>
      </c>
      <c r="K525" s="12">
        <v>0.19400000000000001</v>
      </c>
      <c r="L525" s="12">
        <v>5</v>
      </c>
      <c r="M525" s="12">
        <v>23</v>
      </c>
      <c r="N525" s="12">
        <v>28</v>
      </c>
      <c r="O525" s="12" t="str">
        <f>VLOOKUP(G525,calculate_field!$B$2:$C$5,2,FALSE)</f>
        <v>Clear/Partly Cloudy</v>
      </c>
      <c r="P525" s="12" t="str">
        <f t="shared" si="58"/>
        <v>Sunday</v>
      </c>
      <c r="Q525" s="12" t="str">
        <f t="shared" si="59"/>
        <v>Weekend</v>
      </c>
      <c r="R525" s="12" t="str">
        <f t="shared" si="60"/>
        <v>Night</v>
      </c>
      <c r="S525" s="28" t="str">
        <f>INDEX(calculate_field!$F$2:$F$4, MATCH(H525, calculate_field!$E$2:$E$4, 1))</f>
        <v>Cold</v>
      </c>
      <c r="T525" s="33">
        <f t="shared" si="61"/>
        <v>60.041666666666664</v>
      </c>
      <c r="U525" s="33">
        <f t="shared" si="62"/>
        <v>53.170340838925753</v>
      </c>
      <c r="V525" s="33">
        <f t="shared" si="63"/>
        <v>-0.68004665808002818</v>
      </c>
      <c r="W525" s="12" t="b">
        <f t="shared" si="64"/>
        <v>0</v>
      </c>
    </row>
    <row r="526" spans="1:23">
      <c r="A526" s="26">
        <v>525</v>
      </c>
      <c r="B526" s="27">
        <v>40566</v>
      </c>
      <c r="C526" s="12">
        <v>1</v>
      </c>
      <c r="D526" s="12">
        <v>23</v>
      </c>
      <c r="E526" s="12" t="b">
        <v>0</v>
      </c>
      <c r="F526" s="12">
        <v>0</v>
      </c>
      <c r="G526" s="12">
        <v>1</v>
      </c>
      <c r="H526" s="12">
        <v>0.06</v>
      </c>
      <c r="I526" s="12">
        <v>6.0600000000000001E-2</v>
      </c>
      <c r="J526" s="12">
        <v>0.41</v>
      </c>
      <c r="K526" s="12">
        <v>0.22389999999999999</v>
      </c>
      <c r="L526" s="12">
        <v>4</v>
      </c>
      <c r="M526" s="12">
        <v>17</v>
      </c>
      <c r="N526" s="12">
        <v>21</v>
      </c>
      <c r="O526" s="12" t="str">
        <f>VLOOKUP(G526,calculate_field!$B$2:$C$5,2,FALSE)</f>
        <v>Clear/Partly Cloudy</v>
      </c>
      <c r="P526" s="12" t="str">
        <f t="shared" si="58"/>
        <v>Sunday</v>
      </c>
      <c r="Q526" s="12" t="str">
        <f t="shared" si="59"/>
        <v>Weekend</v>
      </c>
      <c r="R526" s="12" t="str">
        <f t="shared" si="60"/>
        <v>Night</v>
      </c>
      <c r="S526" s="28" t="str">
        <f>INDEX(calculate_field!$F$2:$F$4, MATCH(H526, calculate_field!$E$2:$E$4, 1))</f>
        <v>Cold</v>
      </c>
      <c r="T526" s="33">
        <f t="shared" si="61"/>
        <v>59.875</v>
      </c>
      <c r="U526" s="33">
        <f t="shared" si="62"/>
        <v>53.281298211759399</v>
      </c>
      <c r="V526" s="33">
        <f t="shared" si="63"/>
        <v>-0.83885981156458389</v>
      </c>
      <c r="W526" s="12" t="b">
        <f t="shared" si="64"/>
        <v>0</v>
      </c>
    </row>
    <row r="527" spans="1:23">
      <c r="A527" s="26">
        <v>526</v>
      </c>
      <c r="B527" s="27">
        <v>40567</v>
      </c>
      <c r="C527" s="12">
        <v>1</v>
      </c>
      <c r="D527" s="12">
        <v>0</v>
      </c>
      <c r="E527" s="12" t="b">
        <v>0</v>
      </c>
      <c r="F527" s="12">
        <v>1</v>
      </c>
      <c r="G527" s="12">
        <v>1</v>
      </c>
      <c r="H527" s="12">
        <v>0.06</v>
      </c>
      <c r="I527" s="12">
        <v>6.0600000000000001E-2</v>
      </c>
      <c r="J527" s="12">
        <v>0.41</v>
      </c>
      <c r="K527" s="12">
        <v>0.19400000000000001</v>
      </c>
      <c r="L527" s="12">
        <v>0</v>
      </c>
      <c r="M527" s="12">
        <v>7</v>
      </c>
      <c r="N527" s="12">
        <v>7</v>
      </c>
      <c r="O527" s="12" t="str">
        <f>VLOOKUP(G527,calculate_field!$B$2:$C$5,2,FALSE)</f>
        <v>Clear/Partly Cloudy</v>
      </c>
      <c r="P527" s="12" t="str">
        <f t="shared" si="58"/>
        <v>Monday</v>
      </c>
      <c r="Q527" s="12" t="str">
        <f t="shared" si="59"/>
        <v>Weekday</v>
      </c>
      <c r="R527" s="12" t="str">
        <f t="shared" si="60"/>
        <v>Night</v>
      </c>
      <c r="S527" s="28" t="str">
        <f>INDEX(calculate_field!$F$2:$F$4, MATCH(H527, calculate_field!$E$2:$E$4, 1))</f>
        <v>Cold</v>
      </c>
      <c r="T527" s="33">
        <f t="shared" si="61"/>
        <v>59.375</v>
      </c>
      <c r="U527" s="33">
        <f t="shared" si="62"/>
        <v>53.716496130348439</v>
      </c>
      <c r="V527" s="33">
        <f t="shared" si="63"/>
        <v>-1.0415631204920344</v>
      </c>
      <c r="W527" s="12" t="b">
        <f t="shared" si="64"/>
        <v>1</v>
      </c>
    </row>
    <row r="528" spans="1:23">
      <c r="A528" s="26">
        <v>527</v>
      </c>
      <c r="B528" s="27">
        <v>40567</v>
      </c>
      <c r="C528" s="12">
        <v>1</v>
      </c>
      <c r="D528" s="12">
        <v>1</v>
      </c>
      <c r="E528" s="12" t="b">
        <v>0</v>
      </c>
      <c r="F528" s="12">
        <v>1</v>
      </c>
      <c r="G528" s="12">
        <v>1</v>
      </c>
      <c r="H528" s="12">
        <v>0.04</v>
      </c>
      <c r="I528" s="12">
        <v>4.5499999999999999E-2</v>
      </c>
      <c r="J528" s="12">
        <v>0.45</v>
      </c>
      <c r="K528" s="12">
        <v>0.19400000000000001</v>
      </c>
      <c r="L528" s="12">
        <v>0</v>
      </c>
      <c r="M528" s="12">
        <v>1</v>
      </c>
      <c r="N528" s="12">
        <v>1</v>
      </c>
      <c r="O528" s="12" t="str">
        <f>VLOOKUP(G528,calculate_field!$B$2:$C$5,2,FALSE)</f>
        <v>Clear/Partly Cloudy</v>
      </c>
      <c r="P528" s="12" t="str">
        <f t="shared" si="58"/>
        <v>Monday</v>
      </c>
      <c r="Q528" s="12" t="str">
        <f t="shared" si="59"/>
        <v>Weekday</v>
      </c>
      <c r="R528" s="12" t="str">
        <f t="shared" si="60"/>
        <v>Night</v>
      </c>
      <c r="S528" s="28" t="str">
        <f>INDEX(calculate_field!$F$2:$F$4, MATCH(H528, calculate_field!$E$2:$E$4, 1))</f>
        <v>Cold</v>
      </c>
      <c r="T528" s="33">
        <f t="shared" si="61"/>
        <v>59.291666666666664</v>
      </c>
      <c r="U528" s="33">
        <f t="shared" si="62"/>
        <v>53.802763115295292</v>
      </c>
      <c r="V528" s="33">
        <f t="shared" si="63"/>
        <v>-1.0923786889666318</v>
      </c>
      <c r="W528" s="12" t="b">
        <f t="shared" si="64"/>
        <v>1</v>
      </c>
    </row>
    <row r="529" spans="1:23">
      <c r="A529" s="26">
        <v>528</v>
      </c>
      <c r="B529" s="27">
        <v>40567</v>
      </c>
      <c r="C529" s="12">
        <v>1</v>
      </c>
      <c r="D529" s="12">
        <v>3</v>
      </c>
      <c r="E529" s="12" t="b">
        <v>0</v>
      </c>
      <c r="F529" s="12">
        <v>1</v>
      </c>
      <c r="G529" s="12">
        <v>1</v>
      </c>
      <c r="H529" s="12">
        <v>0.04</v>
      </c>
      <c r="I529" s="12">
        <v>3.0300000000000001E-2</v>
      </c>
      <c r="J529" s="12">
        <v>0.45</v>
      </c>
      <c r="K529" s="12">
        <v>0.25369999999999998</v>
      </c>
      <c r="L529" s="12">
        <v>0</v>
      </c>
      <c r="M529" s="12">
        <v>1</v>
      </c>
      <c r="N529" s="12">
        <v>1</v>
      </c>
      <c r="O529" s="12" t="str">
        <f>VLOOKUP(G529,calculate_field!$B$2:$C$5,2,FALSE)</f>
        <v>Clear/Partly Cloudy</v>
      </c>
      <c r="P529" s="12" t="str">
        <f t="shared" si="58"/>
        <v>Monday</v>
      </c>
      <c r="Q529" s="12" t="str">
        <f t="shared" si="59"/>
        <v>Weekday</v>
      </c>
      <c r="R529" s="12" t="str">
        <f t="shared" si="60"/>
        <v>Night</v>
      </c>
      <c r="S529" s="28" t="str">
        <f>INDEX(calculate_field!$F$2:$F$4, MATCH(H529, calculate_field!$E$2:$E$4, 1))</f>
        <v>Cold</v>
      </c>
      <c r="T529" s="33">
        <f t="shared" si="61"/>
        <v>59.333333333333336</v>
      </c>
      <c r="U529" s="33">
        <f t="shared" si="62"/>
        <v>53.756024266379079</v>
      </c>
      <c r="V529" s="33">
        <f t="shared" si="63"/>
        <v>-1.1408395542374858</v>
      </c>
      <c r="W529" s="12" t="b">
        <f t="shared" si="64"/>
        <v>1</v>
      </c>
    </row>
    <row r="530" spans="1:23">
      <c r="A530" s="26">
        <v>529</v>
      </c>
      <c r="B530" s="27">
        <v>40567</v>
      </c>
      <c r="C530" s="12">
        <v>1</v>
      </c>
      <c r="D530" s="12">
        <v>4</v>
      </c>
      <c r="E530" s="12" t="b">
        <v>0</v>
      </c>
      <c r="F530" s="12">
        <v>1</v>
      </c>
      <c r="G530" s="12">
        <v>1</v>
      </c>
      <c r="H530" s="12">
        <v>0.02</v>
      </c>
      <c r="I530" s="12">
        <v>6.0600000000000001E-2</v>
      </c>
      <c r="J530" s="12">
        <v>0.48</v>
      </c>
      <c r="K530" s="12">
        <v>0.1343</v>
      </c>
      <c r="L530" s="12">
        <v>0</v>
      </c>
      <c r="M530" s="12">
        <v>1</v>
      </c>
      <c r="N530" s="12">
        <v>1</v>
      </c>
      <c r="O530" s="12" t="str">
        <f>VLOOKUP(G530,calculate_field!$B$2:$C$5,2,FALSE)</f>
        <v>Clear/Partly Cloudy</v>
      </c>
      <c r="P530" s="12" t="str">
        <f t="shared" si="58"/>
        <v>Monday</v>
      </c>
      <c r="Q530" s="12" t="str">
        <f t="shared" si="59"/>
        <v>Weekday</v>
      </c>
      <c r="R530" s="12" t="str">
        <f t="shared" si="60"/>
        <v>Night</v>
      </c>
      <c r="S530" s="28" t="str">
        <f>INDEX(calculate_field!$F$2:$F$4, MATCH(H530, calculate_field!$E$2:$E$4, 1))</f>
        <v>Cold</v>
      </c>
      <c r="T530" s="33">
        <f t="shared" si="61"/>
        <v>59.333333333333336</v>
      </c>
      <c r="U530" s="33">
        <f t="shared" si="62"/>
        <v>53.756024266379079</v>
      </c>
      <c r="V530" s="33">
        <f t="shared" si="63"/>
        <v>-1.1534554797440293</v>
      </c>
      <c r="W530" s="12" t="b">
        <f t="shared" si="64"/>
        <v>1</v>
      </c>
    </row>
    <row r="531" spans="1:23">
      <c r="A531" s="26">
        <v>530</v>
      </c>
      <c r="B531" s="27">
        <v>40567</v>
      </c>
      <c r="C531" s="12">
        <v>1</v>
      </c>
      <c r="D531" s="12">
        <v>5</v>
      </c>
      <c r="E531" s="12" t="b">
        <v>0</v>
      </c>
      <c r="F531" s="12">
        <v>1</v>
      </c>
      <c r="G531" s="12">
        <v>1</v>
      </c>
      <c r="H531" s="12">
        <v>0.02</v>
      </c>
      <c r="I531" s="12">
        <v>6.0600000000000001E-2</v>
      </c>
      <c r="J531" s="12">
        <v>0.48</v>
      </c>
      <c r="K531" s="12">
        <v>0.1343</v>
      </c>
      <c r="L531" s="12">
        <v>0</v>
      </c>
      <c r="M531" s="12">
        <v>5</v>
      </c>
      <c r="N531" s="12">
        <v>5</v>
      </c>
      <c r="O531" s="12" t="str">
        <f>VLOOKUP(G531,calculate_field!$B$2:$C$5,2,FALSE)</f>
        <v>Clear/Partly Cloudy</v>
      </c>
      <c r="P531" s="12" t="str">
        <f t="shared" si="58"/>
        <v>Monday</v>
      </c>
      <c r="Q531" s="12" t="str">
        <f t="shared" si="59"/>
        <v>Weekday</v>
      </c>
      <c r="R531" s="12" t="str">
        <f t="shared" si="60"/>
        <v>Night</v>
      </c>
      <c r="S531" s="28" t="str">
        <f>INDEX(calculate_field!$F$2:$F$4, MATCH(H531, calculate_field!$E$2:$E$4, 1))</f>
        <v>Cold</v>
      </c>
      <c r="T531" s="33">
        <f t="shared" si="61"/>
        <v>59.666666666666664</v>
      </c>
      <c r="U531" s="33">
        <f t="shared" si="62"/>
        <v>53.402220004876902</v>
      </c>
      <c r="V531" s="33">
        <f t="shared" si="63"/>
        <v>-1.0505372285628543</v>
      </c>
      <c r="W531" s="12" t="b">
        <f t="shared" si="64"/>
        <v>0</v>
      </c>
    </row>
    <row r="532" spans="1:23">
      <c r="A532" s="26">
        <v>531</v>
      </c>
      <c r="B532" s="27">
        <v>40567</v>
      </c>
      <c r="C532" s="12">
        <v>1</v>
      </c>
      <c r="D532" s="12">
        <v>6</v>
      </c>
      <c r="E532" s="12" t="b">
        <v>0</v>
      </c>
      <c r="F532" s="12">
        <v>1</v>
      </c>
      <c r="G532" s="12">
        <v>1</v>
      </c>
      <c r="H532" s="12">
        <v>0.02</v>
      </c>
      <c r="I532" s="12">
        <v>7.5800000000000006E-2</v>
      </c>
      <c r="J532" s="12">
        <v>0.48</v>
      </c>
      <c r="K532" s="12">
        <v>8.9599999999999999E-2</v>
      </c>
      <c r="L532" s="12">
        <v>0</v>
      </c>
      <c r="M532" s="12">
        <v>15</v>
      </c>
      <c r="N532" s="12">
        <v>15</v>
      </c>
      <c r="O532" s="12" t="str">
        <f>VLOOKUP(G532,calculate_field!$B$2:$C$5,2,FALSE)</f>
        <v>Clear/Partly Cloudy</v>
      </c>
      <c r="P532" s="12" t="str">
        <f t="shared" si="58"/>
        <v>Monday</v>
      </c>
      <c r="Q532" s="12" t="str">
        <f t="shared" si="59"/>
        <v>Weekday</v>
      </c>
      <c r="R532" s="12" t="str">
        <f t="shared" si="60"/>
        <v>Morning</v>
      </c>
      <c r="S532" s="28" t="str">
        <f>INDEX(calculate_field!$F$2:$F$4, MATCH(H532, calculate_field!$E$2:$E$4, 1))</f>
        <v>Cold</v>
      </c>
      <c r="T532" s="33">
        <f t="shared" si="61"/>
        <v>60.958333333333336</v>
      </c>
      <c r="U532" s="33">
        <f t="shared" si="62"/>
        <v>52.387750946908973</v>
      </c>
      <c r="V532" s="33">
        <f t="shared" si="63"/>
        <v>-0.69128726550003128</v>
      </c>
      <c r="W532" s="12" t="b">
        <f t="shared" si="64"/>
        <v>0</v>
      </c>
    </row>
    <row r="533" spans="1:23">
      <c r="A533" s="26">
        <v>532</v>
      </c>
      <c r="B533" s="27">
        <v>40567</v>
      </c>
      <c r="C533" s="12">
        <v>1</v>
      </c>
      <c r="D533" s="12">
        <v>7</v>
      </c>
      <c r="E533" s="12" t="b">
        <v>0</v>
      </c>
      <c r="F533" s="12">
        <v>1</v>
      </c>
      <c r="G533" s="12">
        <v>1</v>
      </c>
      <c r="H533" s="12">
        <v>0.02</v>
      </c>
      <c r="I533" s="12">
        <v>0.1212</v>
      </c>
      <c r="J533" s="12">
        <v>0.48</v>
      </c>
      <c r="K533" s="12">
        <v>0</v>
      </c>
      <c r="L533" s="12">
        <v>5</v>
      </c>
      <c r="M533" s="12">
        <v>79</v>
      </c>
      <c r="N533" s="12">
        <v>84</v>
      </c>
      <c r="O533" s="12" t="str">
        <f>VLOOKUP(G533,calculate_field!$B$2:$C$5,2,FALSE)</f>
        <v>Clear/Partly Cloudy</v>
      </c>
      <c r="P533" s="12" t="str">
        <f t="shared" si="58"/>
        <v>Monday</v>
      </c>
      <c r="Q533" s="12" t="str">
        <f t="shared" si="59"/>
        <v>Weekday</v>
      </c>
      <c r="R533" s="12" t="str">
        <f t="shared" si="60"/>
        <v>Morning</v>
      </c>
      <c r="S533" s="28" t="str">
        <f>INDEX(calculate_field!$F$2:$F$4, MATCH(H533, calculate_field!$E$2:$E$4, 1))</f>
        <v>Cold</v>
      </c>
      <c r="T533" s="33">
        <f t="shared" si="61"/>
        <v>64.833333333333329</v>
      </c>
      <c r="U533" s="33">
        <f t="shared" si="62"/>
        <v>52.279904416487803</v>
      </c>
      <c r="V533" s="33">
        <f t="shared" si="63"/>
        <v>0.31499338642145169</v>
      </c>
      <c r="W533" s="12" t="b">
        <f t="shared" si="64"/>
        <v>0</v>
      </c>
    </row>
    <row r="534" spans="1:23">
      <c r="A534" s="26">
        <v>533</v>
      </c>
      <c r="B534" s="27">
        <v>40567</v>
      </c>
      <c r="C534" s="12">
        <v>1</v>
      </c>
      <c r="D534" s="12">
        <v>8</v>
      </c>
      <c r="E534" s="12" t="b">
        <v>0</v>
      </c>
      <c r="F534" s="12">
        <v>1</v>
      </c>
      <c r="G534" s="12">
        <v>1</v>
      </c>
      <c r="H534" s="12">
        <v>0.04</v>
      </c>
      <c r="I534" s="12">
        <v>0.13639999999999999</v>
      </c>
      <c r="J534" s="12">
        <v>0.49</v>
      </c>
      <c r="K534" s="12">
        <v>0</v>
      </c>
      <c r="L534" s="12">
        <v>6</v>
      </c>
      <c r="M534" s="12">
        <v>171</v>
      </c>
      <c r="N534" s="12">
        <v>177</v>
      </c>
      <c r="O534" s="12" t="str">
        <f>VLOOKUP(G534,calculate_field!$B$2:$C$5,2,FALSE)</f>
        <v>Clear/Partly Cloudy</v>
      </c>
      <c r="P534" s="12" t="str">
        <f t="shared" si="58"/>
        <v>Monday</v>
      </c>
      <c r="Q534" s="12" t="str">
        <f t="shared" si="59"/>
        <v>Weekday</v>
      </c>
      <c r="R534" s="12" t="str">
        <f t="shared" si="60"/>
        <v>Morning</v>
      </c>
      <c r="S534" s="28" t="str">
        <f>INDEX(calculate_field!$F$2:$F$4, MATCH(H534, calculate_field!$E$2:$E$4, 1))</f>
        <v>Cold</v>
      </c>
      <c r="T534" s="33">
        <f t="shared" si="61"/>
        <v>71.25</v>
      </c>
      <c r="U534" s="33">
        <f t="shared" si="62"/>
        <v>63.071560462148348</v>
      </c>
      <c r="V534" s="33">
        <f t="shared" si="63"/>
        <v>2.2113111285426332</v>
      </c>
      <c r="W534" s="12" t="b">
        <f t="shared" si="64"/>
        <v>0</v>
      </c>
    </row>
    <row r="535" spans="1:23">
      <c r="A535" s="26">
        <v>534</v>
      </c>
      <c r="B535" s="27">
        <v>40567</v>
      </c>
      <c r="C535" s="12">
        <v>1</v>
      </c>
      <c r="D535" s="12">
        <v>9</v>
      </c>
      <c r="E535" s="12" t="b">
        <v>0</v>
      </c>
      <c r="F535" s="12">
        <v>1</v>
      </c>
      <c r="G535" s="12">
        <v>1</v>
      </c>
      <c r="H535" s="12">
        <v>0.06</v>
      </c>
      <c r="I535" s="12">
        <v>0.1515</v>
      </c>
      <c r="J535" s="12">
        <v>0.41</v>
      </c>
      <c r="K535" s="12">
        <v>0</v>
      </c>
      <c r="L535" s="12">
        <v>4</v>
      </c>
      <c r="M535" s="12">
        <v>98</v>
      </c>
      <c r="N535" s="12">
        <v>102</v>
      </c>
      <c r="O535" s="12" t="str">
        <f>VLOOKUP(G535,calculate_field!$B$2:$C$5,2,FALSE)</f>
        <v>Clear/Partly Cloudy</v>
      </c>
      <c r="P535" s="12" t="str">
        <f t="shared" si="58"/>
        <v>Monday</v>
      </c>
      <c r="Q535" s="12" t="str">
        <f t="shared" si="59"/>
        <v>Weekday</v>
      </c>
      <c r="R535" s="12" t="str">
        <f t="shared" si="60"/>
        <v>Morning</v>
      </c>
      <c r="S535" s="28" t="str">
        <f>INDEX(calculate_field!$F$2:$F$4, MATCH(H535, calculate_field!$E$2:$E$4, 1))</f>
        <v>Cold</v>
      </c>
      <c r="T535" s="33">
        <f t="shared" si="61"/>
        <v>69.875</v>
      </c>
      <c r="U535" s="33">
        <f t="shared" si="62"/>
        <v>60.991312638697195</v>
      </c>
      <c r="V535" s="33">
        <f t="shared" si="63"/>
        <v>1.1043801106121371</v>
      </c>
      <c r="W535" s="12" t="b">
        <f t="shared" si="64"/>
        <v>0</v>
      </c>
    </row>
    <row r="536" spans="1:23">
      <c r="A536" s="26">
        <v>535</v>
      </c>
      <c r="B536" s="27">
        <v>40567</v>
      </c>
      <c r="C536" s="12">
        <v>1</v>
      </c>
      <c r="D536" s="12">
        <v>10</v>
      </c>
      <c r="E536" s="12" t="b">
        <v>0</v>
      </c>
      <c r="F536" s="12">
        <v>1</v>
      </c>
      <c r="G536" s="12">
        <v>1</v>
      </c>
      <c r="H536" s="12">
        <v>0.1</v>
      </c>
      <c r="I536" s="12">
        <v>0.13639999999999999</v>
      </c>
      <c r="J536" s="12">
        <v>0.42</v>
      </c>
      <c r="K536" s="12">
        <v>0</v>
      </c>
      <c r="L536" s="12">
        <v>6</v>
      </c>
      <c r="M536" s="12">
        <v>34</v>
      </c>
      <c r="N536" s="12">
        <v>40</v>
      </c>
      <c r="O536" s="12" t="str">
        <f>VLOOKUP(G536,calculate_field!$B$2:$C$5,2,FALSE)</f>
        <v>Clear/Partly Cloudy</v>
      </c>
      <c r="P536" s="12" t="str">
        <f t="shared" si="58"/>
        <v>Monday</v>
      </c>
      <c r="Q536" s="12" t="str">
        <f t="shared" si="59"/>
        <v>Weekday</v>
      </c>
      <c r="R536" s="12" t="str">
        <f t="shared" si="60"/>
        <v>Morning</v>
      </c>
      <c r="S536" s="28" t="str">
        <f>INDEX(calculate_field!$F$2:$F$4, MATCH(H536, calculate_field!$E$2:$E$4, 1))</f>
        <v>Cold</v>
      </c>
      <c r="T536" s="33">
        <f t="shared" si="61"/>
        <v>67.916666666666671</v>
      </c>
      <c r="U536" s="33">
        <f t="shared" si="62"/>
        <v>60.668677303836951</v>
      </c>
      <c r="V536" s="33">
        <f t="shared" si="63"/>
        <v>-0.26229643333979707</v>
      </c>
      <c r="W536" s="12" t="b">
        <f t="shared" si="64"/>
        <v>0</v>
      </c>
    </row>
    <row r="537" spans="1:23">
      <c r="A537" s="26">
        <v>536</v>
      </c>
      <c r="B537" s="27">
        <v>40567</v>
      </c>
      <c r="C537" s="12">
        <v>1</v>
      </c>
      <c r="D537" s="12">
        <v>11</v>
      </c>
      <c r="E537" s="12" t="b">
        <v>0</v>
      </c>
      <c r="F537" s="12">
        <v>1</v>
      </c>
      <c r="G537" s="12">
        <v>1</v>
      </c>
      <c r="H537" s="12">
        <v>0.1</v>
      </c>
      <c r="I537" s="12">
        <v>0.1212</v>
      </c>
      <c r="J537" s="12">
        <v>0.46</v>
      </c>
      <c r="K537" s="12">
        <v>0.1343</v>
      </c>
      <c r="L537" s="12">
        <v>3</v>
      </c>
      <c r="M537" s="12">
        <v>43</v>
      </c>
      <c r="N537" s="12">
        <v>46</v>
      </c>
      <c r="O537" s="12" t="str">
        <f>VLOOKUP(G537,calculate_field!$B$2:$C$5,2,FALSE)</f>
        <v>Clear/Partly Cloudy</v>
      </c>
      <c r="P537" s="12" t="str">
        <f t="shared" si="58"/>
        <v>Monday</v>
      </c>
      <c r="Q537" s="12" t="str">
        <f t="shared" si="59"/>
        <v>Weekday</v>
      </c>
      <c r="R537" s="12" t="str">
        <f t="shared" si="60"/>
        <v>Morning</v>
      </c>
      <c r="S537" s="28" t="str">
        <f>INDEX(calculate_field!$F$2:$F$4, MATCH(H537, calculate_field!$E$2:$E$4, 1))</f>
        <v>Cold</v>
      </c>
      <c r="T537" s="33">
        <f t="shared" si="61"/>
        <v>68.791666666666671</v>
      </c>
      <c r="U537" s="33">
        <f t="shared" si="62"/>
        <v>60.39938033562543</v>
      </c>
      <c r="V537" s="33">
        <f t="shared" si="63"/>
        <v>-0.15863283293387812</v>
      </c>
      <c r="W537" s="12" t="b">
        <f t="shared" si="64"/>
        <v>0</v>
      </c>
    </row>
    <row r="538" spans="1:23">
      <c r="A538" s="26">
        <v>537</v>
      </c>
      <c r="B538" s="27">
        <v>40567</v>
      </c>
      <c r="C538" s="12">
        <v>1</v>
      </c>
      <c r="D538" s="12">
        <v>12</v>
      </c>
      <c r="E538" s="12" t="b">
        <v>0</v>
      </c>
      <c r="F538" s="12">
        <v>1</v>
      </c>
      <c r="G538" s="12">
        <v>2</v>
      </c>
      <c r="H538" s="12">
        <v>0.12</v>
      </c>
      <c r="I538" s="12">
        <v>0.13639999999999999</v>
      </c>
      <c r="J538" s="12">
        <v>0.42</v>
      </c>
      <c r="K538" s="12">
        <v>0.19400000000000001</v>
      </c>
      <c r="L538" s="12">
        <v>11</v>
      </c>
      <c r="M538" s="12">
        <v>52</v>
      </c>
      <c r="N538" s="12">
        <v>63</v>
      </c>
      <c r="O538" s="12" t="str">
        <f>VLOOKUP(G538,calculate_field!$B$2:$C$5,2,FALSE)</f>
        <v xml:space="preserve">Mist / cloudy </v>
      </c>
      <c r="P538" s="12" t="str">
        <f t="shared" si="58"/>
        <v>Monday</v>
      </c>
      <c r="Q538" s="12" t="str">
        <f t="shared" si="59"/>
        <v>Weekday</v>
      </c>
      <c r="R538" s="12" t="str">
        <f t="shared" si="60"/>
        <v>Afternoon</v>
      </c>
      <c r="S538" s="28" t="str">
        <f>INDEX(calculate_field!$F$2:$F$4, MATCH(H538, calculate_field!$E$2:$E$4, 1))</f>
        <v>Cold</v>
      </c>
      <c r="T538" s="33">
        <f t="shared" si="61"/>
        <v>71.291666666666671</v>
      </c>
      <c r="U538" s="33">
        <f t="shared" si="62"/>
        <v>60.656179416851465</v>
      </c>
      <c r="V538" s="33">
        <f t="shared" si="63"/>
        <v>0.58782729425294289</v>
      </c>
      <c r="W538" s="12" t="b">
        <f t="shared" si="64"/>
        <v>0</v>
      </c>
    </row>
    <row r="539" spans="1:23">
      <c r="A539" s="26">
        <v>538</v>
      </c>
      <c r="B539" s="27">
        <v>40567</v>
      </c>
      <c r="C539" s="12">
        <v>1</v>
      </c>
      <c r="D539" s="12">
        <v>13</v>
      </c>
      <c r="E539" s="12" t="b">
        <v>0</v>
      </c>
      <c r="F539" s="12">
        <v>1</v>
      </c>
      <c r="G539" s="12">
        <v>2</v>
      </c>
      <c r="H539" s="12">
        <v>0.14000000000000001</v>
      </c>
      <c r="I539" s="12">
        <v>0.13639999999999999</v>
      </c>
      <c r="J539" s="12">
        <v>0.43</v>
      </c>
      <c r="K539" s="12">
        <v>0.22389999999999999</v>
      </c>
      <c r="L539" s="12">
        <v>6</v>
      </c>
      <c r="M539" s="12">
        <v>54</v>
      </c>
      <c r="N539" s="12">
        <v>60</v>
      </c>
      <c r="O539" s="12" t="str">
        <f>VLOOKUP(G539,calculate_field!$B$2:$C$5,2,FALSE)</f>
        <v xml:space="preserve">Mist / cloudy </v>
      </c>
      <c r="P539" s="12" t="str">
        <f t="shared" si="58"/>
        <v>Monday</v>
      </c>
      <c r="Q539" s="12" t="str">
        <f t="shared" si="59"/>
        <v>Weekday</v>
      </c>
      <c r="R539" s="12" t="str">
        <f t="shared" si="60"/>
        <v>Afternoon</v>
      </c>
      <c r="S539" s="28" t="str">
        <f>INDEX(calculate_field!$F$2:$F$4, MATCH(H539, calculate_field!$E$2:$E$4, 1))</f>
        <v>Cold</v>
      </c>
      <c r="T539" s="33">
        <f t="shared" si="61"/>
        <v>72.541666666666671</v>
      </c>
      <c r="U539" s="33">
        <f t="shared" si="62"/>
        <v>60.786854390292859</v>
      </c>
      <c r="V539" s="33">
        <f t="shared" si="63"/>
        <v>0.42362020605909911</v>
      </c>
      <c r="W539" s="12" t="b">
        <f t="shared" si="64"/>
        <v>0</v>
      </c>
    </row>
    <row r="540" spans="1:23">
      <c r="A540" s="26">
        <v>539</v>
      </c>
      <c r="B540" s="27">
        <v>40567</v>
      </c>
      <c r="C540" s="12">
        <v>1</v>
      </c>
      <c r="D540" s="12">
        <v>14</v>
      </c>
      <c r="E540" s="12" t="b">
        <v>0</v>
      </c>
      <c r="F540" s="12">
        <v>1</v>
      </c>
      <c r="G540" s="12">
        <v>2</v>
      </c>
      <c r="H540" s="12">
        <v>0.14000000000000001</v>
      </c>
      <c r="I540" s="12">
        <v>0.13639999999999999</v>
      </c>
      <c r="J540" s="12">
        <v>0.46</v>
      </c>
      <c r="K540" s="12">
        <v>0.22389999999999999</v>
      </c>
      <c r="L540" s="12">
        <v>2</v>
      </c>
      <c r="M540" s="12">
        <v>43</v>
      </c>
      <c r="N540" s="12">
        <v>45</v>
      </c>
      <c r="O540" s="12" t="str">
        <f>VLOOKUP(G540,calculate_field!$B$2:$C$5,2,FALSE)</f>
        <v xml:space="preserve">Mist / cloudy </v>
      </c>
      <c r="P540" s="12" t="str">
        <f t="shared" si="58"/>
        <v>Monday</v>
      </c>
      <c r="Q540" s="12" t="str">
        <f t="shared" si="59"/>
        <v>Weekday</v>
      </c>
      <c r="R540" s="12" t="str">
        <f t="shared" si="60"/>
        <v>Afternoon</v>
      </c>
      <c r="S540" s="28" t="str">
        <f>INDEX(calculate_field!$F$2:$F$4, MATCH(H540, calculate_field!$E$2:$E$4, 1))</f>
        <v>Cold</v>
      </c>
      <c r="T540" s="33">
        <f t="shared" si="61"/>
        <v>72.875</v>
      </c>
      <c r="U540" s="33">
        <f t="shared" si="62"/>
        <v>60.737004335513404</v>
      </c>
      <c r="V540" s="33">
        <f t="shared" si="63"/>
        <v>4.7880596767492199E-2</v>
      </c>
      <c r="W540" s="12" t="b">
        <f t="shared" si="64"/>
        <v>0</v>
      </c>
    </row>
    <row r="541" spans="1:23">
      <c r="A541" s="26">
        <v>540</v>
      </c>
      <c r="B541" s="27">
        <v>40567</v>
      </c>
      <c r="C541" s="12">
        <v>1</v>
      </c>
      <c r="D541" s="12">
        <v>15</v>
      </c>
      <c r="E541" s="12" t="b">
        <v>0</v>
      </c>
      <c r="F541" s="12">
        <v>1</v>
      </c>
      <c r="G541" s="12">
        <v>1</v>
      </c>
      <c r="H541" s="12">
        <v>0.16</v>
      </c>
      <c r="I541" s="12">
        <v>0.16669999999999999</v>
      </c>
      <c r="J541" s="12">
        <v>0.4</v>
      </c>
      <c r="K541" s="12">
        <v>0.16420000000000001</v>
      </c>
      <c r="L541" s="12">
        <v>7</v>
      </c>
      <c r="M541" s="12">
        <v>50</v>
      </c>
      <c r="N541" s="12">
        <v>57</v>
      </c>
      <c r="O541" s="12" t="str">
        <f>VLOOKUP(G541,calculate_field!$B$2:$C$5,2,FALSE)</f>
        <v>Clear/Partly Cloudy</v>
      </c>
      <c r="P541" s="12" t="str">
        <f t="shared" si="58"/>
        <v>Monday</v>
      </c>
      <c r="Q541" s="12" t="str">
        <f t="shared" si="59"/>
        <v>Weekday</v>
      </c>
      <c r="R541" s="12" t="str">
        <f t="shared" si="60"/>
        <v>Afternoon</v>
      </c>
      <c r="S541" s="28" t="str">
        <f>INDEX(calculate_field!$F$2:$F$4, MATCH(H541, calculate_field!$E$2:$E$4, 1))</f>
        <v>Cold</v>
      </c>
      <c r="T541" s="33">
        <f t="shared" si="61"/>
        <v>74.5</v>
      </c>
      <c r="U541" s="33">
        <f t="shared" si="62"/>
        <v>60.479964343214696</v>
      </c>
      <c r="V541" s="33">
        <f t="shared" si="63"/>
        <v>0.33089122597984089</v>
      </c>
      <c r="W541" s="12" t="b">
        <f t="shared" si="64"/>
        <v>0</v>
      </c>
    </row>
    <row r="542" spans="1:23">
      <c r="A542" s="26">
        <v>541</v>
      </c>
      <c r="B542" s="27">
        <v>40567</v>
      </c>
      <c r="C542" s="12">
        <v>1</v>
      </c>
      <c r="D542" s="12">
        <v>16</v>
      </c>
      <c r="E542" s="12" t="b">
        <v>0</v>
      </c>
      <c r="F542" s="12">
        <v>1</v>
      </c>
      <c r="G542" s="12">
        <v>1</v>
      </c>
      <c r="H542" s="12">
        <v>0.16</v>
      </c>
      <c r="I542" s="12">
        <v>0.1515</v>
      </c>
      <c r="J542" s="12">
        <v>0.47</v>
      </c>
      <c r="K542" s="12">
        <v>0.25369999999999998</v>
      </c>
      <c r="L542" s="12">
        <v>4</v>
      </c>
      <c r="M542" s="12">
        <v>66</v>
      </c>
      <c r="N542" s="12">
        <v>70</v>
      </c>
      <c r="O542" s="12" t="str">
        <f>VLOOKUP(G542,calculate_field!$B$2:$C$5,2,FALSE)</f>
        <v>Clear/Partly Cloudy</v>
      </c>
      <c r="P542" s="12" t="str">
        <f t="shared" si="58"/>
        <v>Monday</v>
      </c>
      <c r="Q542" s="12" t="str">
        <f t="shared" si="59"/>
        <v>Weekday</v>
      </c>
      <c r="R542" s="12" t="str">
        <f t="shared" si="60"/>
        <v>Afternoon</v>
      </c>
      <c r="S542" s="28" t="str">
        <f>INDEX(calculate_field!$F$2:$F$4, MATCH(H542, calculate_field!$E$2:$E$4, 1))</f>
        <v>Cold</v>
      </c>
      <c r="T542" s="33">
        <f t="shared" si="61"/>
        <v>76.958333333333329</v>
      </c>
      <c r="U542" s="33">
        <f t="shared" si="62"/>
        <v>60.93508960301557</v>
      </c>
      <c r="V542" s="33">
        <f t="shared" si="63"/>
        <v>0.88876842515724352</v>
      </c>
      <c r="W542" s="12" t="b">
        <f t="shared" si="64"/>
        <v>0</v>
      </c>
    </row>
    <row r="543" spans="1:23">
      <c r="A543" s="26">
        <v>542</v>
      </c>
      <c r="B543" s="27">
        <v>40567</v>
      </c>
      <c r="C543" s="12">
        <v>1</v>
      </c>
      <c r="D543" s="12">
        <v>17</v>
      </c>
      <c r="E543" s="12" t="b">
        <v>0</v>
      </c>
      <c r="F543" s="12">
        <v>1</v>
      </c>
      <c r="G543" s="12">
        <v>1</v>
      </c>
      <c r="H543" s="12">
        <v>0.14000000000000001</v>
      </c>
      <c r="I543" s="12">
        <v>0.1212</v>
      </c>
      <c r="J543" s="12">
        <v>0.5</v>
      </c>
      <c r="K543" s="12">
        <v>0.25369999999999998</v>
      </c>
      <c r="L543" s="12">
        <v>6</v>
      </c>
      <c r="M543" s="12">
        <v>178</v>
      </c>
      <c r="N543" s="12">
        <v>184</v>
      </c>
      <c r="O543" s="12" t="str">
        <f>VLOOKUP(G543,calculate_field!$B$2:$C$5,2,FALSE)</f>
        <v>Clear/Partly Cloudy</v>
      </c>
      <c r="P543" s="12" t="str">
        <f t="shared" si="58"/>
        <v>Monday</v>
      </c>
      <c r="Q543" s="12" t="str">
        <f t="shared" si="59"/>
        <v>Weekday</v>
      </c>
      <c r="R543" s="12" t="str">
        <f t="shared" si="60"/>
        <v>Evening</v>
      </c>
      <c r="S543" s="28" t="str">
        <f>INDEX(calculate_field!$F$2:$F$4, MATCH(H543, calculate_field!$E$2:$E$4, 1))</f>
        <v>Cold</v>
      </c>
      <c r="T543" s="33">
        <f t="shared" si="61"/>
        <v>83.291666666666671</v>
      </c>
      <c r="U543" s="33">
        <f t="shared" si="62"/>
        <v>67.7036246969204</v>
      </c>
      <c r="V543" s="33">
        <f t="shared" si="63"/>
        <v>2.7048719430566357</v>
      </c>
      <c r="W543" s="12" t="b">
        <f t="shared" si="64"/>
        <v>0</v>
      </c>
    </row>
    <row r="544" spans="1:23">
      <c r="A544" s="26">
        <v>543</v>
      </c>
      <c r="B544" s="27">
        <v>40567</v>
      </c>
      <c r="C544" s="12">
        <v>1</v>
      </c>
      <c r="D544" s="12">
        <v>18</v>
      </c>
      <c r="E544" s="12" t="b">
        <v>0</v>
      </c>
      <c r="F544" s="12">
        <v>1</v>
      </c>
      <c r="G544" s="12">
        <v>1</v>
      </c>
      <c r="H544" s="12">
        <v>0.14000000000000001</v>
      </c>
      <c r="I544" s="12">
        <v>0.13639999999999999</v>
      </c>
      <c r="J544" s="12">
        <v>0.59</v>
      </c>
      <c r="K544" s="12">
        <v>0.19400000000000001</v>
      </c>
      <c r="L544" s="12">
        <v>8</v>
      </c>
      <c r="M544" s="12">
        <v>145</v>
      </c>
      <c r="N544" s="12">
        <v>153</v>
      </c>
      <c r="O544" s="12" t="str">
        <f>VLOOKUP(G544,calculate_field!$B$2:$C$5,2,FALSE)</f>
        <v>Clear/Partly Cloudy</v>
      </c>
      <c r="P544" s="12" t="str">
        <f t="shared" si="58"/>
        <v>Monday</v>
      </c>
      <c r="Q544" s="12" t="str">
        <f t="shared" si="59"/>
        <v>Weekday</v>
      </c>
      <c r="R544" s="12" t="str">
        <f t="shared" si="60"/>
        <v>Evening</v>
      </c>
      <c r="S544" s="28" t="str">
        <f>INDEX(calculate_field!$F$2:$F$4, MATCH(H544, calculate_field!$E$2:$E$4, 1))</f>
        <v>Cold</v>
      </c>
      <c r="T544" s="33">
        <f t="shared" si="61"/>
        <v>85</v>
      </c>
      <c r="U544" s="33">
        <f t="shared" si="62"/>
        <v>70.80162120472518</v>
      </c>
      <c r="V544" s="33">
        <f t="shared" si="63"/>
        <v>3.4525184405588334</v>
      </c>
      <c r="W544" s="12" t="b">
        <f t="shared" si="64"/>
        <v>0</v>
      </c>
    </row>
    <row r="545" spans="1:23">
      <c r="A545" s="26">
        <v>544</v>
      </c>
      <c r="B545" s="27">
        <v>40567</v>
      </c>
      <c r="C545" s="12">
        <v>1</v>
      </c>
      <c r="D545" s="12">
        <v>19</v>
      </c>
      <c r="E545" s="12" t="b">
        <v>0</v>
      </c>
      <c r="F545" s="12">
        <v>1</v>
      </c>
      <c r="G545" s="12">
        <v>1</v>
      </c>
      <c r="H545" s="12">
        <v>0.14000000000000001</v>
      </c>
      <c r="I545" s="12">
        <v>0.1515</v>
      </c>
      <c r="J545" s="12">
        <v>0.54</v>
      </c>
      <c r="K545" s="12">
        <v>0.16420000000000001</v>
      </c>
      <c r="L545" s="12">
        <v>5</v>
      </c>
      <c r="M545" s="12">
        <v>101</v>
      </c>
      <c r="N545" s="12">
        <v>106</v>
      </c>
      <c r="O545" s="12" t="str">
        <f>VLOOKUP(G545,calculate_field!$B$2:$C$5,2,FALSE)</f>
        <v>Clear/Partly Cloudy</v>
      </c>
      <c r="P545" s="12" t="str">
        <f t="shared" si="58"/>
        <v>Monday</v>
      </c>
      <c r="Q545" s="12" t="str">
        <f t="shared" si="59"/>
        <v>Weekday</v>
      </c>
      <c r="R545" s="12" t="str">
        <f t="shared" si="60"/>
        <v>Evening</v>
      </c>
      <c r="S545" s="28" t="str">
        <f>INDEX(calculate_field!$F$2:$F$4, MATCH(H545, calculate_field!$E$2:$E$4, 1))</f>
        <v>Cold</v>
      </c>
      <c r="T545" s="33">
        <f t="shared" si="61"/>
        <v>84.708333333333329</v>
      </c>
      <c r="U545" s="33">
        <f t="shared" si="62"/>
        <v>70.523187162352727</v>
      </c>
      <c r="V545" s="33">
        <f t="shared" si="63"/>
        <v>2.7483019295494238</v>
      </c>
      <c r="W545" s="12" t="b">
        <f t="shared" si="64"/>
        <v>0</v>
      </c>
    </row>
    <row r="546" spans="1:23">
      <c r="A546" s="26">
        <v>545</v>
      </c>
      <c r="B546" s="27">
        <v>40567</v>
      </c>
      <c r="C546" s="12">
        <v>1</v>
      </c>
      <c r="D546" s="12">
        <v>20</v>
      </c>
      <c r="E546" s="12" t="b">
        <v>0</v>
      </c>
      <c r="F546" s="12">
        <v>1</v>
      </c>
      <c r="G546" s="12">
        <v>1</v>
      </c>
      <c r="H546" s="12">
        <v>0.14000000000000001</v>
      </c>
      <c r="I546" s="12">
        <v>0.13639999999999999</v>
      </c>
      <c r="J546" s="12">
        <v>0.59</v>
      </c>
      <c r="K546" s="12">
        <v>0.19400000000000001</v>
      </c>
      <c r="L546" s="12">
        <v>1</v>
      </c>
      <c r="M546" s="12">
        <v>80</v>
      </c>
      <c r="N546" s="12">
        <v>81</v>
      </c>
      <c r="O546" s="12" t="str">
        <f>VLOOKUP(G546,calculate_field!$B$2:$C$5,2,FALSE)</f>
        <v>Clear/Partly Cloudy</v>
      </c>
      <c r="P546" s="12" t="str">
        <f t="shared" si="58"/>
        <v>Monday</v>
      </c>
      <c r="Q546" s="12" t="str">
        <f t="shared" si="59"/>
        <v>Weekday</v>
      </c>
      <c r="R546" s="12" t="str">
        <f t="shared" si="60"/>
        <v>Evening</v>
      </c>
      <c r="S546" s="28" t="str">
        <f>INDEX(calculate_field!$F$2:$F$4, MATCH(H546, calculate_field!$E$2:$E$4, 1))</f>
        <v>Cold</v>
      </c>
      <c r="T546" s="33">
        <f t="shared" si="61"/>
        <v>85.25</v>
      </c>
      <c r="U546" s="33">
        <f t="shared" si="62"/>
        <v>70.743412659996892</v>
      </c>
      <c r="V546" s="33">
        <f t="shared" si="63"/>
        <v>2.4837820891631788</v>
      </c>
      <c r="W546" s="12" t="b">
        <f t="shared" si="64"/>
        <v>0</v>
      </c>
    </row>
    <row r="547" spans="1:23">
      <c r="A547" s="26">
        <v>546</v>
      </c>
      <c r="B547" s="27">
        <v>40567</v>
      </c>
      <c r="C547" s="12">
        <v>1</v>
      </c>
      <c r="D547" s="12">
        <v>21</v>
      </c>
      <c r="E547" s="12" t="b">
        <v>0</v>
      </c>
      <c r="F547" s="12">
        <v>1</v>
      </c>
      <c r="G547" s="12">
        <v>1</v>
      </c>
      <c r="H547" s="12">
        <v>0.14000000000000001</v>
      </c>
      <c r="I547" s="12">
        <v>0.1515</v>
      </c>
      <c r="J547" s="12">
        <v>0.63</v>
      </c>
      <c r="K547" s="12">
        <v>0.16420000000000001</v>
      </c>
      <c r="L547" s="12">
        <v>6</v>
      </c>
      <c r="M547" s="12">
        <v>53</v>
      </c>
      <c r="N547" s="12">
        <v>59</v>
      </c>
      <c r="O547" s="12" t="str">
        <f>VLOOKUP(G547,calculate_field!$B$2:$C$5,2,FALSE)</f>
        <v>Clear/Partly Cloudy</v>
      </c>
      <c r="P547" s="12" t="str">
        <f t="shared" si="58"/>
        <v>Monday</v>
      </c>
      <c r="Q547" s="12" t="str">
        <f t="shared" si="59"/>
        <v>Weekday</v>
      </c>
      <c r="R547" s="12" t="str">
        <f t="shared" si="60"/>
        <v>Night</v>
      </c>
      <c r="S547" s="28" t="str">
        <f>INDEX(calculate_field!$F$2:$F$4, MATCH(H547, calculate_field!$E$2:$E$4, 1))</f>
        <v>Cold</v>
      </c>
      <c r="T547" s="33">
        <f t="shared" si="61"/>
        <v>83.75</v>
      </c>
      <c r="U547" s="33">
        <f t="shared" si="62"/>
        <v>71.217517385884037</v>
      </c>
      <c r="V547" s="33">
        <f t="shared" si="63"/>
        <v>0.13822188690061135</v>
      </c>
      <c r="W547" s="12" t="b">
        <f t="shared" si="64"/>
        <v>0</v>
      </c>
    </row>
    <row r="548" spans="1:23">
      <c r="A548" s="26">
        <v>547</v>
      </c>
      <c r="B548" s="27">
        <v>40567</v>
      </c>
      <c r="C548" s="12">
        <v>1</v>
      </c>
      <c r="D548" s="12">
        <v>22</v>
      </c>
      <c r="E548" s="12" t="b">
        <v>0</v>
      </c>
      <c r="F548" s="12">
        <v>1</v>
      </c>
      <c r="G548" s="12">
        <v>2</v>
      </c>
      <c r="H548" s="12">
        <v>0.14000000000000001</v>
      </c>
      <c r="I548" s="12">
        <v>0.13639999999999999</v>
      </c>
      <c r="J548" s="12">
        <v>0.63</v>
      </c>
      <c r="K548" s="12">
        <v>0.22389999999999999</v>
      </c>
      <c r="L548" s="12">
        <v>3</v>
      </c>
      <c r="M548" s="12">
        <v>32</v>
      </c>
      <c r="N548" s="12">
        <v>35</v>
      </c>
      <c r="O548" s="12" t="str">
        <f>VLOOKUP(G548,calculate_field!$B$2:$C$5,2,FALSE)</f>
        <v xml:space="preserve">Mist / cloudy </v>
      </c>
      <c r="P548" s="12" t="str">
        <f t="shared" si="58"/>
        <v>Monday</v>
      </c>
      <c r="Q548" s="12" t="str">
        <f t="shared" si="59"/>
        <v>Weekday</v>
      </c>
      <c r="R548" s="12" t="str">
        <f t="shared" si="60"/>
        <v>Night</v>
      </c>
      <c r="S548" s="28" t="str">
        <f>INDEX(calculate_field!$F$2:$F$4, MATCH(H548, calculate_field!$E$2:$E$4, 1))</f>
        <v>Cold</v>
      </c>
      <c r="T548" s="33">
        <f t="shared" si="61"/>
        <v>83.5</v>
      </c>
      <c r="U548" s="33">
        <f t="shared" si="62"/>
        <v>71.318635896145381</v>
      </c>
      <c r="V548" s="33">
        <f t="shared" si="63"/>
        <v>0.45810844782436794</v>
      </c>
      <c r="W548" s="12" t="b">
        <f t="shared" si="64"/>
        <v>0</v>
      </c>
    </row>
    <row r="549" spans="1:23">
      <c r="A549" s="26">
        <v>548</v>
      </c>
      <c r="B549" s="27">
        <v>40567</v>
      </c>
      <c r="C549" s="12">
        <v>1</v>
      </c>
      <c r="D549" s="12">
        <v>23</v>
      </c>
      <c r="E549" s="12" t="b">
        <v>0</v>
      </c>
      <c r="F549" s="12">
        <v>1</v>
      </c>
      <c r="G549" s="12">
        <v>2</v>
      </c>
      <c r="H549" s="12">
        <v>0.16</v>
      </c>
      <c r="I549" s="12">
        <v>0.1515</v>
      </c>
      <c r="J549" s="12">
        <v>0.64</v>
      </c>
      <c r="K549" s="12">
        <v>0.25369999999999998</v>
      </c>
      <c r="L549" s="12">
        <v>3</v>
      </c>
      <c r="M549" s="12">
        <v>21</v>
      </c>
      <c r="N549" s="12">
        <v>24</v>
      </c>
      <c r="O549" s="12" t="str">
        <f>VLOOKUP(G549,calculate_field!$B$2:$C$5,2,FALSE)</f>
        <v xml:space="preserve">Mist / cloudy </v>
      </c>
      <c r="P549" s="12" t="str">
        <f t="shared" si="58"/>
        <v>Monday</v>
      </c>
      <c r="Q549" s="12" t="str">
        <f t="shared" si="59"/>
        <v>Weekday</v>
      </c>
      <c r="R549" s="12" t="str">
        <f t="shared" si="60"/>
        <v>Night</v>
      </c>
      <c r="S549" s="28" t="str">
        <f>INDEX(calculate_field!$F$2:$F$4, MATCH(H549, calculate_field!$E$2:$E$4, 1))</f>
        <v>Cold</v>
      </c>
      <c r="T549" s="33">
        <f t="shared" si="61"/>
        <v>83.708333333333329</v>
      </c>
      <c r="U549" s="33">
        <f t="shared" si="62"/>
        <v>71.177963838760419</v>
      </c>
      <c r="V549" s="33">
        <f t="shared" si="63"/>
        <v>-1.6058229326199355E-3</v>
      </c>
      <c r="W549" s="12" t="b">
        <f t="shared" si="64"/>
        <v>0</v>
      </c>
    </row>
    <row r="550" spans="1:23">
      <c r="A550" s="26">
        <v>549</v>
      </c>
      <c r="B550" s="27">
        <v>40568</v>
      </c>
      <c r="C550" s="12">
        <v>1</v>
      </c>
      <c r="D550" s="12">
        <v>0</v>
      </c>
      <c r="E550" s="12" t="b">
        <v>0</v>
      </c>
      <c r="F550" s="12">
        <v>2</v>
      </c>
      <c r="G550" s="12">
        <v>2</v>
      </c>
      <c r="H550" s="12">
        <v>0.16</v>
      </c>
      <c r="I550" s="12">
        <v>0.13639999999999999</v>
      </c>
      <c r="J550" s="12">
        <v>0.69</v>
      </c>
      <c r="K550" s="12">
        <v>0.28360000000000002</v>
      </c>
      <c r="L550" s="12">
        <v>3</v>
      </c>
      <c r="M550" s="12">
        <v>6</v>
      </c>
      <c r="N550" s="12">
        <v>9</v>
      </c>
      <c r="O550" s="12" t="str">
        <f>VLOOKUP(G550,calculate_field!$B$2:$C$5,2,FALSE)</f>
        <v xml:space="preserve">Mist / cloudy </v>
      </c>
      <c r="P550" s="12" t="str">
        <f t="shared" si="58"/>
        <v>Tuesday</v>
      </c>
      <c r="Q550" s="12" t="str">
        <f t="shared" si="59"/>
        <v>Weekday</v>
      </c>
      <c r="R550" s="12" t="str">
        <f t="shared" si="60"/>
        <v>Night</v>
      </c>
      <c r="S550" s="28" t="str">
        <f>INDEX(calculate_field!$F$2:$F$4, MATCH(H550, calculate_field!$E$2:$E$4, 1))</f>
        <v>Cold</v>
      </c>
      <c r="T550" s="33">
        <f t="shared" si="61"/>
        <v>83.416666666666671</v>
      </c>
      <c r="U550" s="33">
        <f t="shared" si="62"/>
        <v>71.447102151151668</v>
      </c>
      <c r="V550" s="33">
        <f t="shared" si="63"/>
        <v>-0.83468050234571711</v>
      </c>
      <c r="W550" s="12" t="b">
        <f t="shared" si="64"/>
        <v>0</v>
      </c>
    </row>
    <row r="551" spans="1:23">
      <c r="A551" s="26">
        <v>550</v>
      </c>
      <c r="B551" s="27">
        <v>40568</v>
      </c>
      <c r="C551" s="12">
        <v>1</v>
      </c>
      <c r="D551" s="12">
        <v>1</v>
      </c>
      <c r="E551" s="12" t="b">
        <v>0</v>
      </c>
      <c r="F551" s="12">
        <v>2</v>
      </c>
      <c r="G551" s="12">
        <v>2</v>
      </c>
      <c r="H551" s="12">
        <v>0.16</v>
      </c>
      <c r="I551" s="12">
        <v>0.16669999999999999</v>
      </c>
      <c r="J551" s="12">
        <v>0.69</v>
      </c>
      <c r="K551" s="12">
        <v>0.16420000000000001</v>
      </c>
      <c r="L551" s="12">
        <v>0</v>
      </c>
      <c r="M551" s="12">
        <v>5</v>
      </c>
      <c r="N551" s="12">
        <v>5</v>
      </c>
      <c r="O551" s="12" t="str">
        <f>VLOOKUP(G551,calculate_field!$B$2:$C$5,2,FALSE)</f>
        <v xml:space="preserve">Mist / cloudy </v>
      </c>
      <c r="P551" s="12" t="str">
        <f t="shared" si="58"/>
        <v>Tuesday</v>
      </c>
      <c r="Q551" s="12" t="str">
        <f t="shared" si="59"/>
        <v>Weekday</v>
      </c>
      <c r="R551" s="12" t="str">
        <f t="shared" si="60"/>
        <v>Night</v>
      </c>
      <c r="S551" s="28" t="str">
        <f>INDEX(calculate_field!$F$2:$F$4, MATCH(H551, calculate_field!$E$2:$E$4, 1))</f>
        <v>Cold</v>
      </c>
      <c r="T551" s="33">
        <f t="shared" si="61"/>
        <v>83.25</v>
      </c>
      <c r="U551" s="33">
        <f t="shared" si="62"/>
        <v>71.6326680393435</v>
      </c>
      <c r="V551" s="33">
        <f t="shared" si="63"/>
        <v>-1.26031527222544</v>
      </c>
      <c r="W551" s="12" t="b">
        <f t="shared" si="64"/>
        <v>0</v>
      </c>
    </row>
    <row r="552" spans="1:23">
      <c r="A552" s="26">
        <v>551</v>
      </c>
      <c r="B552" s="27">
        <v>40568</v>
      </c>
      <c r="C552" s="12">
        <v>1</v>
      </c>
      <c r="D552" s="12">
        <v>2</v>
      </c>
      <c r="E552" s="12" t="b">
        <v>0</v>
      </c>
      <c r="F552" s="12">
        <v>2</v>
      </c>
      <c r="G552" s="12">
        <v>1</v>
      </c>
      <c r="H552" s="12">
        <v>0.16</v>
      </c>
      <c r="I552" s="12">
        <v>0.1515</v>
      </c>
      <c r="J552" s="12">
        <v>0.69</v>
      </c>
      <c r="K552" s="12">
        <v>0.22389999999999999</v>
      </c>
      <c r="L552" s="12">
        <v>0</v>
      </c>
      <c r="M552" s="12">
        <v>2</v>
      </c>
      <c r="N552" s="12">
        <v>2</v>
      </c>
      <c r="O552" s="12" t="str">
        <f>VLOOKUP(G552,calculate_field!$B$2:$C$5,2,FALSE)</f>
        <v>Clear/Partly Cloudy</v>
      </c>
      <c r="P552" s="12" t="str">
        <f t="shared" si="58"/>
        <v>Tuesday</v>
      </c>
      <c r="Q552" s="12" t="str">
        <f t="shared" si="59"/>
        <v>Weekday</v>
      </c>
      <c r="R552" s="12" t="str">
        <f t="shared" si="60"/>
        <v>Night</v>
      </c>
      <c r="S552" s="28" t="str">
        <f>INDEX(calculate_field!$F$2:$F$4, MATCH(H552, calculate_field!$E$2:$E$4, 1))</f>
        <v>Cold</v>
      </c>
      <c r="T552" s="33">
        <f t="shared" si="61"/>
        <v>83.458333333333329</v>
      </c>
      <c r="U552" s="33">
        <f t="shared" si="62"/>
        <v>71.402094212782131</v>
      </c>
      <c r="V552" s="33">
        <f t="shared" si="63"/>
        <v>-1.0657735839183349</v>
      </c>
      <c r="W552" s="12" t="b">
        <f t="shared" si="64"/>
        <v>0</v>
      </c>
    </row>
    <row r="553" spans="1:23">
      <c r="A553" s="26">
        <v>552</v>
      </c>
      <c r="B553" s="27">
        <v>40568</v>
      </c>
      <c r="C553" s="12">
        <v>1</v>
      </c>
      <c r="D553" s="12">
        <v>4</v>
      </c>
      <c r="E553" s="12" t="b">
        <v>0</v>
      </c>
      <c r="F553" s="12">
        <v>2</v>
      </c>
      <c r="G553" s="12">
        <v>1</v>
      </c>
      <c r="H553" s="12">
        <v>0.14000000000000001</v>
      </c>
      <c r="I553" s="12">
        <v>0.16669999999999999</v>
      </c>
      <c r="J553" s="12">
        <v>0.74</v>
      </c>
      <c r="K553" s="12">
        <v>0.1045</v>
      </c>
      <c r="L553" s="12">
        <v>0</v>
      </c>
      <c r="M553" s="12">
        <v>1</v>
      </c>
      <c r="N553" s="12">
        <v>1</v>
      </c>
      <c r="O553" s="12" t="str">
        <f>VLOOKUP(G553,calculate_field!$B$2:$C$5,2,FALSE)</f>
        <v>Clear/Partly Cloudy</v>
      </c>
      <c r="P553" s="12" t="str">
        <f t="shared" si="58"/>
        <v>Tuesday</v>
      </c>
      <c r="Q553" s="12" t="str">
        <f t="shared" si="59"/>
        <v>Weekday</v>
      </c>
      <c r="R553" s="12" t="str">
        <f t="shared" si="60"/>
        <v>Night</v>
      </c>
      <c r="S553" s="28" t="str">
        <f>INDEX(calculate_field!$F$2:$F$4, MATCH(H553, calculate_field!$E$2:$E$4, 1))</f>
        <v>Cold</v>
      </c>
      <c r="T553" s="33">
        <f t="shared" si="61"/>
        <v>83.416666666666671</v>
      </c>
      <c r="U553" s="33">
        <f t="shared" si="62"/>
        <v>71.451970287536611</v>
      </c>
      <c r="V553" s="33">
        <f t="shared" si="63"/>
        <v>-1.3672204471048341</v>
      </c>
      <c r="W553" s="12" t="b">
        <f t="shared" si="64"/>
        <v>0</v>
      </c>
    </row>
    <row r="554" spans="1:23">
      <c r="A554" s="26">
        <v>553</v>
      </c>
      <c r="B554" s="27">
        <v>40568</v>
      </c>
      <c r="C554" s="12">
        <v>1</v>
      </c>
      <c r="D554" s="12">
        <v>5</v>
      </c>
      <c r="E554" s="12" t="b">
        <v>0</v>
      </c>
      <c r="F554" s="12">
        <v>2</v>
      </c>
      <c r="G554" s="12">
        <v>1</v>
      </c>
      <c r="H554" s="12">
        <v>0.14000000000000001</v>
      </c>
      <c r="I554" s="12">
        <v>0.13639999999999999</v>
      </c>
      <c r="J554" s="12">
        <v>0.74</v>
      </c>
      <c r="K554" s="12">
        <v>0.22389999999999999</v>
      </c>
      <c r="L554" s="12">
        <v>0</v>
      </c>
      <c r="M554" s="12">
        <v>9</v>
      </c>
      <c r="N554" s="12">
        <v>9</v>
      </c>
      <c r="O554" s="12" t="str">
        <f>VLOOKUP(G554,calculate_field!$B$2:$C$5,2,FALSE)</f>
        <v>Clear/Partly Cloudy</v>
      </c>
      <c r="P554" s="12" t="str">
        <f t="shared" si="58"/>
        <v>Tuesday</v>
      </c>
      <c r="Q554" s="12" t="str">
        <f t="shared" si="59"/>
        <v>Weekday</v>
      </c>
      <c r="R554" s="12" t="str">
        <f t="shared" si="60"/>
        <v>Night</v>
      </c>
      <c r="S554" s="28" t="str">
        <f>INDEX(calculate_field!$F$2:$F$4, MATCH(H554, calculate_field!$E$2:$E$4, 1))</f>
        <v>Cold</v>
      </c>
      <c r="T554" s="33">
        <f t="shared" si="61"/>
        <v>83.708333333333329</v>
      </c>
      <c r="U554" s="33">
        <f t="shared" si="62"/>
        <v>71.114408230477565</v>
      </c>
      <c r="V554" s="33">
        <f t="shared" si="63"/>
        <v>-1.1105801844080607</v>
      </c>
      <c r="W554" s="12" t="b">
        <f t="shared" si="64"/>
        <v>0</v>
      </c>
    </row>
    <row r="555" spans="1:23">
      <c r="A555" s="26">
        <v>554</v>
      </c>
      <c r="B555" s="27">
        <v>40568</v>
      </c>
      <c r="C555" s="12">
        <v>1</v>
      </c>
      <c r="D555" s="12">
        <v>6</v>
      </c>
      <c r="E555" s="12" t="b">
        <v>0</v>
      </c>
      <c r="F555" s="12">
        <v>2</v>
      </c>
      <c r="G555" s="12">
        <v>1</v>
      </c>
      <c r="H555" s="12">
        <v>0.16</v>
      </c>
      <c r="I555" s="12">
        <v>0.18179999999999999</v>
      </c>
      <c r="J555" s="12">
        <v>0.74</v>
      </c>
      <c r="K555" s="12">
        <v>0.1045</v>
      </c>
      <c r="L555" s="12">
        <v>1</v>
      </c>
      <c r="M555" s="12">
        <v>35</v>
      </c>
      <c r="N555" s="12">
        <v>36</v>
      </c>
      <c r="O555" s="12" t="str">
        <f>VLOOKUP(G555,calculate_field!$B$2:$C$5,2,FALSE)</f>
        <v>Clear/Partly Cloudy</v>
      </c>
      <c r="P555" s="12" t="str">
        <f t="shared" si="58"/>
        <v>Tuesday</v>
      </c>
      <c r="Q555" s="12" t="str">
        <f t="shared" si="59"/>
        <v>Weekday</v>
      </c>
      <c r="R555" s="12" t="str">
        <f t="shared" si="60"/>
        <v>Morning</v>
      </c>
      <c r="S555" s="28" t="str">
        <f>INDEX(calculate_field!$F$2:$F$4, MATCH(H555, calculate_field!$E$2:$E$4, 1))</f>
        <v>Cold</v>
      </c>
      <c r="T555" s="33">
        <f t="shared" si="61"/>
        <v>84.583333333333329</v>
      </c>
      <c r="U555" s="33">
        <f t="shared" si="62"/>
        <v>70.279514404465957</v>
      </c>
      <c r="V555" s="33">
        <f t="shared" si="63"/>
        <v>-0.29566816664816647</v>
      </c>
      <c r="W555" s="12" t="b">
        <f t="shared" si="64"/>
        <v>0</v>
      </c>
    </row>
    <row r="556" spans="1:23">
      <c r="A556" s="26">
        <v>555</v>
      </c>
      <c r="B556" s="27">
        <v>40568</v>
      </c>
      <c r="C556" s="12">
        <v>1</v>
      </c>
      <c r="D556" s="12">
        <v>7</v>
      </c>
      <c r="E556" s="12" t="b">
        <v>0</v>
      </c>
      <c r="F556" s="12">
        <v>2</v>
      </c>
      <c r="G556" s="12">
        <v>1</v>
      </c>
      <c r="H556" s="12">
        <v>0.16</v>
      </c>
      <c r="I556" s="12">
        <v>0.1515</v>
      </c>
      <c r="J556" s="12">
        <v>0.74</v>
      </c>
      <c r="K556" s="12">
        <v>0.22389999999999999</v>
      </c>
      <c r="L556" s="12">
        <v>5</v>
      </c>
      <c r="M556" s="12">
        <v>103</v>
      </c>
      <c r="N556" s="12">
        <v>108</v>
      </c>
      <c r="O556" s="12" t="str">
        <f>VLOOKUP(G556,calculate_field!$B$2:$C$5,2,FALSE)</f>
        <v>Clear/Partly Cloudy</v>
      </c>
      <c r="P556" s="12" t="str">
        <f t="shared" si="58"/>
        <v>Tuesday</v>
      </c>
      <c r="Q556" s="12" t="str">
        <f t="shared" si="59"/>
        <v>Weekday</v>
      </c>
      <c r="R556" s="12" t="str">
        <f t="shared" si="60"/>
        <v>Morning</v>
      </c>
      <c r="S556" s="28" t="str">
        <f>INDEX(calculate_field!$F$2:$F$4, MATCH(H556, calculate_field!$E$2:$E$4, 1))</f>
        <v>Cold</v>
      </c>
      <c r="T556" s="33">
        <f t="shared" si="61"/>
        <v>86.083333333333329</v>
      </c>
      <c r="U556" s="33">
        <f t="shared" si="62"/>
        <v>69.578180404533413</v>
      </c>
      <c r="V556" s="33">
        <f t="shared" si="63"/>
        <v>1.2392073189402184</v>
      </c>
      <c r="W556" s="12" t="b">
        <f t="shared" si="64"/>
        <v>0</v>
      </c>
    </row>
    <row r="557" spans="1:23">
      <c r="A557" s="26">
        <v>556</v>
      </c>
      <c r="B557" s="27">
        <v>40568</v>
      </c>
      <c r="C557" s="12">
        <v>1</v>
      </c>
      <c r="D557" s="12">
        <v>8</v>
      </c>
      <c r="E557" s="12" t="b">
        <v>0</v>
      </c>
      <c r="F557" s="12">
        <v>2</v>
      </c>
      <c r="G557" s="12">
        <v>2</v>
      </c>
      <c r="H557" s="12">
        <v>0.16</v>
      </c>
      <c r="I557" s="12">
        <v>0.18179999999999999</v>
      </c>
      <c r="J557" s="12">
        <v>0.74</v>
      </c>
      <c r="K557" s="12">
        <v>0.1343</v>
      </c>
      <c r="L557" s="12">
        <v>5</v>
      </c>
      <c r="M557" s="12">
        <v>233</v>
      </c>
      <c r="N557" s="12">
        <v>238</v>
      </c>
      <c r="O557" s="12" t="str">
        <f>VLOOKUP(G557,calculate_field!$B$2:$C$5,2,FALSE)</f>
        <v xml:space="preserve">Mist / cloudy </v>
      </c>
      <c r="P557" s="12" t="str">
        <f t="shared" si="58"/>
        <v>Tuesday</v>
      </c>
      <c r="Q557" s="12" t="str">
        <f t="shared" si="59"/>
        <v>Weekday</v>
      </c>
      <c r="R557" s="12" t="str">
        <f t="shared" si="60"/>
        <v>Morning</v>
      </c>
      <c r="S557" s="28" t="str">
        <f>INDEX(calculate_field!$F$2:$F$4, MATCH(H557, calculate_field!$E$2:$E$4, 1))</f>
        <v>Cold</v>
      </c>
      <c r="T557" s="33">
        <f t="shared" si="61"/>
        <v>84</v>
      </c>
      <c r="U557" s="33">
        <f t="shared" si="62"/>
        <v>69.641941385920603</v>
      </c>
      <c r="V557" s="33">
        <f t="shared" si="63"/>
        <v>0.76875267158192995</v>
      </c>
      <c r="W557" s="12" t="b">
        <f t="shared" si="64"/>
        <v>0</v>
      </c>
    </row>
    <row r="558" spans="1:23">
      <c r="A558" s="26">
        <v>557</v>
      </c>
      <c r="B558" s="27">
        <v>40568</v>
      </c>
      <c r="C558" s="12">
        <v>1</v>
      </c>
      <c r="D558" s="12">
        <v>9</v>
      </c>
      <c r="E558" s="12" t="b">
        <v>0</v>
      </c>
      <c r="F558" s="12">
        <v>2</v>
      </c>
      <c r="G558" s="12">
        <v>2</v>
      </c>
      <c r="H558" s="12">
        <v>0.2</v>
      </c>
      <c r="I558" s="12">
        <v>0.2273</v>
      </c>
      <c r="J558" s="12">
        <v>0.64</v>
      </c>
      <c r="K558" s="12">
        <v>8.9599999999999999E-2</v>
      </c>
      <c r="L558" s="12">
        <v>10</v>
      </c>
      <c r="M558" s="12">
        <v>134</v>
      </c>
      <c r="N558" s="12">
        <v>144</v>
      </c>
      <c r="O558" s="12" t="str">
        <f>VLOOKUP(G558,calculate_field!$B$2:$C$5,2,FALSE)</f>
        <v xml:space="preserve">Mist / cloudy </v>
      </c>
      <c r="P558" s="12" t="str">
        <f t="shared" si="58"/>
        <v>Tuesday</v>
      </c>
      <c r="Q558" s="12" t="str">
        <f t="shared" si="59"/>
        <v>Weekday</v>
      </c>
      <c r="R558" s="12" t="str">
        <f t="shared" si="60"/>
        <v>Morning</v>
      </c>
      <c r="S558" s="28" t="str">
        <f>INDEX(calculate_field!$F$2:$F$4, MATCH(H558, calculate_field!$E$2:$E$4, 1))</f>
        <v>Mild</v>
      </c>
      <c r="T558" s="33">
        <f t="shared" si="61"/>
        <v>75.25</v>
      </c>
      <c r="U558" s="33">
        <f t="shared" si="62"/>
        <v>62.252117128307546</v>
      </c>
      <c r="V558" s="33">
        <f t="shared" si="63"/>
        <v>-0.36075659406490918</v>
      </c>
      <c r="W558" s="12" t="b">
        <f t="shared" si="64"/>
        <v>0</v>
      </c>
    </row>
    <row r="559" spans="1:23">
      <c r="A559" s="26">
        <v>558</v>
      </c>
      <c r="B559" s="27">
        <v>40568</v>
      </c>
      <c r="C559" s="12">
        <v>1</v>
      </c>
      <c r="D559" s="12">
        <v>10</v>
      </c>
      <c r="E559" s="12" t="b">
        <v>0</v>
      </c>
      <c r="F559" s="12">
        <v>2</v>
      </c>
      <c r="G559" s="12">
        <v>2</v>
      </c>
      <c r="H559" s="12">
        <v>0.22</v>
      </c>
      <c r="I559" s="12">
        <v>0.2424</v>
      </c>
      <c r="J559" s="12">
        <v>0.6</v>
      </c>
      <c r="K559" s="12">
        <v>0.1045</v>
      </c>
      <c r="L559" s="12">
        <v>6</v>
      </c>
      <c r="M559" s="12">
        <v>49</v>
      </c>
      <c r="N559" s="12">
        <v>55</v>
      </c>
      <c r="O559" s="12" t="str">
        <f>VLOOKUP(G559,calculate_field!$B$2:$C$5,2,FALSE)</f>
        <v xml:space="preserve">Mist / cloudy </v>
      </c>
      <c r="P559" s="12" t="str">
        <f t="shared" si="58"/>
        <v>Tuesday</v>
      </c>
      <c r="Q559" s="12" t="str">
        <f t="shared" si="59"/>
        <v>Weekday</v>
      </c>
      <c r="R559" s="12" t="str">
        <f t="shared" si="60"/>
        <v>Morning</v>
      </c>
      <c r="S559" s="28" t="str">
        <f>INDEX(calculate_field!$F$2:$F$4, MATCH(H559, calculate_field!$E$2:$E$4, 1))</f>
        <v>Mild</v>
      </c>
      <c r="T559" s="33">
        <f t="shared" si="61"/>
        <v>70.958333333333329</v>
      </c>
      <c r="U559" s="33">
        <f t="shared" si="62"/>
        <v>60.840832374795554</v>
      </c>
      <c r="V559" s="33">
        <f t="shared" si="63"/>
        <v>-8.3665040646253949E-2</v>
      </c>
      <c r="W559" s="12" t="b">
        <f t="shared" si="64"/>
        <v>0</v>
      </c>
    </row>
    <row r="560" spans="1:23">
      <c r="A560" s="26">
        <v>559</v>
      </c>
      <c r="B560" s="27">
        <v>40568</v>
      </c>
      <c r="C560" s="12">
        <v>1</v>
      </c>
      <c r="D560" s="12">
        <v>11</v>
      </c>
      <c r="E560" s="12" t="b">
        <v>0</v>
      </c>
      <c r="F560" s="12">
        <v>2</v>
      </c>
      <c r="G560" s="12">
        <v>2</v>
      </c>
      <c r="H560" s="12">
        <v>0.24</v>
      </c>
      <c r="I560" s="12">
        <v>0.2424</v>
      </c>
      <c r="J560" s="12">
        <v>0.6</v>
      </c>
      <c r="K560" s="12">
        <v>0.1343</v>
      </c>
      <c r="L560" s="12">
        <v>6</v>
      </c>
      <c r="M560" s="12">
        <v>55</v>
      </c>
      <c r="N560" s="12">
        <v>61</v>
      </c>
      <c r="O560" s="12" t="str">
        <f>VLOOKUP(G560,calculate_field!$B$2:$C$5,2,FALSE)</f>
        <v xml:space="preserve">Mist / cloudy </v>
      </c>
      <c r="P560" s="12" t="str">
        <f t="shared" si="58"/>
        <v>Tuesday</v>
      </c>
      <c r="Q560" s="12" t="str">
        <f t="shared" si="59"/>
        <v>Weekday</v>
      </c>
      <c r="R560" s="12" t="str">
        <f t="shared" si="60"/>
        <v>Morning</v>
      </c>
      <c r="S560" s="28" t="str">
        <f>INDEX(calculate_field!$F$2:$F$4, MATCH(H560, calculate_field!$E$2:$E$4, 1))</f>
        <v>Mild</v>
      </c>
      <c r="T560" s="33">
        <f t="shared" si="61"/>
        <v>70.666666666666671</v>
      </c>
      <c r="U560" s="33">
        <f t="shared" si="62"/>
        <v>60.937363898027122</v>
      </c>
      <c r="V560" s="33">
        <f t="shared" si="63"/>
        <v>9.0171065193120126E-2</v>
      </c>
      <c r="W560" s="12" t="b">
        <f t="shared" si="64"/>
        <v>0</v>
      </c>
    </row>
    <row r="561" spans="1:23">
      <c r="A561" s="26">
        <v>560</v>
      </c>
      <c r="B561" s="27">
        <v>40568</v>
      </c>
      <c r="C561" s="12">
        <v>1</v>
      </c>
      <c r="D561" s="12">
        <v>12</v>
      </c>
      <c r="E561" s="12" t="b">
        <v>0</v>
      </c>
      <c r="F561" s="12">
        <v>2</v>
      </c>
      <c r="G561" s="12">
        <v>2</v>
      </c>
      <c r="H561" s="12">
        <v>0.26</v>
      </c>
      <c r="I561" s="12">
        <v>0.28789999999999999</v>
      </c>
      <c r="J561" s="12">
        <v>0.56000000000000005</v>
      </c>
      <c r="K561" s="12">
        <v>8.9599999999999999E-2</v>
      </c>
      <c r="L561" s="12">
        <v>21</v>
      </c>
      <c r="M561" s="12">
        <v>85</v>
      </c>
      <c r="N561" s="12">
        <v>106</v>
      </c>
      <c r="O561" s="12" t="str">
        <f>VLOOKUP(G561,calculate_field!$B$2:$C$5,2,FALSE)</f>
        <v xml:space="preserve">Mist / cloudy </v>
      </c>
      <c r="P561" s="12" t="str">
        <f t="shared" si="58"/>
        <v>Tuesday</v>
      </c>
      <c r="Q561" s="12" t="str">
        <f t="shared" si="59"/>
        <v>Weekday</v>
      </c>
      <c r="R561" s="12" t="str">
        <f t="shared" si="60"/>
        <v>Afternoon</v>
      </c>
      <c r="S561" s="28" t="str">
        <f>INDEX(calculate_field!$F$2:$F$4, MATCH(H561, calculate_field!$E$2:$E$4, 1))</f>
        <v>Mild</v>
      </c>
      <c r="T561" s="33">
        <f t="shared" si="61"/>
        <v>70.083333333333329</v>
      </c>
      <c r="U561" s="33">
        <f t="shared" si="62"/>
        <v>61.100712773659808</v>
      </c>
      <c r="V561" s="33">
        <f t="shared" si="63"/>
        <v>8.3423667596532206E-2</v>
      </c>
      <c r="W561" s="12" t="b">
        <f t="shared" si="64"/>
        <v>0</v>
      </c>
    </row>
    <row r="562" spans="1:23">
      <c r="A562" s="26">
        <v>561</v>
      </c>
      <c r="B562" s="27">
        <v>40568</v>
      </c>
      <c r="C562" s="12">
        <v>1</v>
      </c>
      <c r="D562" s="12">
        <v>13</v>
      </c>
      <c r="E562" s="12" t="b">
        <v>0</v>
      </c>
      <c r="F562" s="12">
        <v>2</v>
      </c>
      <c r="G562" s="12">
        <v>2</v>
      </c>
      <c r="H562" s="12">
        <v>0.26</v>
      </c>
      <c r="I562" s="12">
        <v>0.2727</v>
      </c>
      <c r="J562" s="12">
        <v>0.56000000000000005</v>
      </c>
      <c r="K562" s="12">
        <v>0.1343</v>
      </c>
      <c r="L562" s="12">
        <v>21</v>
      </c>
      <c r="M562" s="12">
        <v>72</v>
      </c>
      <c r="N562" s="12">
        <v>93</v>
      </c>
      <c r="O562" s="12" t="str">
        <f>VLOOKUP(G562,calculate_field!$B$2:$C$5,2,FALSE)</f>
        <v xml:space="preserve">Mist / cloudy </v>
      </c>
      <c r="P562" s="12" t="str">
        <f t="shared" si="58"/>
        <v>Tuesday</v>
      </c>
      <c r="Q562" s="12" t="str">
        <f t="shared" si="59"/>
        <v>Weekday</v>
      </c>
      <c r="R562" s="12" t="str">
        <f t="shared" si="60"/>
        <v>Afternoon</v>
      </c>
      <c r="S562" s="28" t="str">
        <f>INDEX(calculate_field!$F$2:$F$4, MATCH(H562, calculate_field!$E$2:$E$4, 1))</f>
        <v>Mild</v>
      </c>
      <c r="T562" s="33">
        <f t="shared" si="61"/>
        <v>67.166666666666671</v>
      </c>
      <c r="U562" s="33">
        <f t="shared" si="62"/>
        <v>60.982297264945217</v>
      </c>
      <c r="V562" s="33">
        <f t="shared" si="63"/>
        <v>-0.18257615918231604</v>
      </c>
      <c r="W562" s="12" t="b">
        <f t="shared" si="64"/>
        <v>0</v>
      </c>
    </row>
    <row r="563" spans="1:23">
      <c r="A563" s="26">
        <v>562</v>
      </c>
      <c r="B563" s="27">
        <v>40568</v>
      </c>
      <c r="C563" s="12">
        <v>1</v>
      </c>
      <c r="D563" s="12">
        <v>14</v>
      </c>
      <c r="E563" s="12" t="b">
        <v>0</v>
      </c>
      <c r="F563" s="12">
        <v>2</v>
      </c>
      <c r="G563" s="12">
        <v>2</v>
      </c>
      <c r="H563" s="12">
        <v>0.3</v>
      </c>
      <c r="I563" s="12">
        <v>0.33329999999999999</v>
      </c>
      <c r="J563" s="12">
        <v>0.45</v>
      </c>
      <c r="K563" s="12">
        <v>0</v>
      </c>
      <c r="L563" s="12">
        <v>11</v>
      </c>
      <c r="M563" s="12">
        <v>57</v>
      </c>
      <c r="N563" s="12">
        <v>68</v>
      </c>
      <c r="O563" s="12" t="str">
        <f>VLOOKUP(G563,calculate_field!$B$2:$C$5,2,FALSE)</f>
        <v xml:space="preserve">Mist / cloudy </v>
      </c>
      <c r="P563" s="12" t="str">
        <f t="shared" si="58"/>
        <v>Tuesday</v>
      </c>
      <c r="Q563" s="12" t="str">
        <f t="shared" si="59"/>
        <v>Weekday</v>
      </c>
      <c r="R563" s="12" t="str">
        <f t="shared" si="60"/>
        <v>Afternoon</v>
      </c>
      <c r="S563" s="28" t="str">
        <f>INDEX(calculate_field!$F$2:$F$4, MATCH(H563, calculate_field!$E$2:$E$4, 1))</f>
        <v>Warm</v>
      </c>
      <c r="T563" s="33">
        <f t="shared" si="61"/>
        <v>65.083333333333329</v>
      </c>
      <c r="U563" s="33">
        <f t="shared" si="62"/>
        <v>60.915420098667141</v>
      </c>
      <c r="V563" s="33">
        <f t="shared" si="63"/>
        <v>4.3153814116341487E-3</v>
      </c>
      <c r="W563" s="12" t="b">
        <f t="shared" si="64"/>
        <v>0</v>
      </c>
    </row>
    <row r="564" spans="1:23">
      <c r="A564" s="26">
        <v>563</v>
      </c>
      <c r="B564" s="27">
        <v>40568</v>
      </c>
      <c r="C564" s="12">
        <v>1</v>
      </c>
      <c r="D564" s="12">
        <v>15</v>
      </c>
      <c r="E564" s="12" t="b">
        <v>0</v>
      </c>
      <c r="F564" s="12">
        <v>2</v>
      </c>
      <c r="G564" s="12">
        <v>2</v>
      </c>
      <c r="H564" s="12">
        <v>0.32</v>
      </c>
      <c r="I564" s="12">
        <v>0.34849999999999998</v>
      </c>
      <c r="J564" s="12">
        <v>0.42</v>
      </c>
      <c r="K564" s="12">
        <v>0</v>
      </c>
      <c r="L564" s="12">
        <v>21</v>
      </c>
      <c r="M564" s="12">
        <v>63</v>
      </c>
      <c r="N564" s="12">
        <v>84</v>
      </c>
      <c r="O564" s="12" t="str">
        <f>VLOOKUP(G564,calculate_field!$B$2:$C$5,2,FALSE)</f>
        <v xml:space="preserve">Mist / cloudy </v>
      </c>
      <c r="P564" s="12" t="str">
        <f t="shared" si="58"/>
        <v>Tuesday</v>
      </c>
      <c r="Q564" s="12" t="str">
        <f t="shared" si="59"/>
        <v>Weekday</v>
      </c>
      <c r="R564" s="12" t="str">
        <f t="shared" si="60"/>
        <v>Afternoon</v>
      </c>
      <c r="S564" s="28" t="str">
        <f>INDEX(calculate_field!$F$2:$F$4, MATCH(H564, calculate_field!$E$2:$E$4, 1))</f>
        <v>Warm</v>
      </c>
      <c r="T564" s="33">
        <f t="shared" si="61"/>
        <v>63.75</v>
      </c>
      <c r="U564" s="33">
        <f t="shared" si="62"/>
        <v>61.198358886777207</v>
      </c>
      <c r="V564" s="33">
        <f t="shared" si="63"/>
        <v>-0.17148070917218122</v>
      </c>
      <c r="W564" s="12" t="b">
        <f t="shared" si="64"/>
        <v>0</v>
      </c>
    </row>
    <row r="565" spans="1:23">
      <c r="A565" s="26">
        <v>564</v>
      </c>
      <c r="B565" s="27">
        <v>40568</v>
      </c>
      <c r="C565" s="12">
        <v>1</v>
      </c>
      <c r="D565" s="12">
        <v>16</v>
      </c>
      <c r="E565" s="12" t="b">
        <v>0</v>
      </c>
      <c r="F565" s="12">
        <v>2</v>
      </c>
      <c r="G565" s="12">
        <v>2</v>
      </c>
      <c r="H565" s="12">
        <v>0.32</v>
      </c>
      <c r="I565" s="12">
        <v>0.34849999999999998</v>
      </c>
      <c r="J565" s="12">
        <v>0.42</v>
      </c>
      <c r="K565" s="12">
        <v>0</v>
      </c>
      <c r="L565" s="12">
        <v>14</v>
      </c>
      <c r="M565" s="12">
        <v>102</v>
      </c>
      <c r="N565" s="12">
        <v>116</v>
      </c>
      <c r="O565" s="12" t="str">
        <f>VLOOKUP(G565,calculate_field!$B$2:$C$5,2,FALSE)</f>
        <v xml:space="preserve">Mist / cloudy </v>
      </c>
      <c r="P565" s="12" t="str">
        <f t="shared" si="58"/>
        <v>Tuesday</v>
      </c>
      <c r="Q565" s="12" t="str">
        <f t="shared" si="59"/>
        <v>Weekday</v>
      </c>
      <c r="R565" s="12" t="str">
        <f t="shared" si="60"/>
        <v>Afternoon</v>
      </c>
      <c r="S565" s="28" t="str">
        <f>INDEX(calculate_field!$F$2:$F$4, MATCH(H565, calculate_field!$E$2:$E$4, 1))</f>
        <v>Warm</v>
      </c>
      <c r="T565" s="33">
        <f t="shared" si="61"/>
        <v>61.333333333333336</v>
      </c>
      <c r="U565" s="33">
        <f t="shared" si="62"/>
        <v>61.508335714103339</v>
      </c>
      <c r="V565" s="33">
        <f t="shared" si="63"/>
        <v>-0.43598062198459464</v>
      </c>
      <c r="W565" s="12" t="b">
        <f t="shared" si="64"/>
        <v>1</v>
      </c>
    </row>
    <row r="566" spans="1:23">
      <c r="A566" s="26">
        <v>565</v>
      </c>
      <c r="B566" s="27">
        <v>40568</v>
      </c>
      <c r="C566" s="12">
        <v>1</v>
      </c>
      <c r="D566" s="12">
        <v>17</v>
      </c>
      <c r="E566" s="12" t="b">
        <v>0</v>
      </c>
      <c r="F566" s="12">
        <v>2</v>
      </c>
      <c r="G566" s="12">
        <v>1</v>
      </c>
      <c r="H566" s="12">
        <v>0.3</v>
      </c>
      <c r="I566" s="12">
        <v>0.33329999999999999</v>
      </c>
      <c r="J566" s="12">
        <v>0.45</v>
      </c>
      <c r="K566" s="12">
        <v>0</v>
      </c>
      <c r="L566" s="12">
        <v>14</v>
      </c>
      <c r="M566" s="12">
        <v>208</v>
      </c>
      <c r="N566" s="12">
        <v>222</v>
      </c>
      <c r="O566" s="12" t="str">
        <f>VLOOKUP(G566,calculate_field!$B$2:$C$5,2,FALSE)</f>
        <v>Clear/Partly Cloudy</v>
      </c>
      <c r="P566" s="12" t="str">
        <f t="shared" si="58"/>
        <v>Tuesday</v>
      </c>
      <c r="Q566" s="12" t="str">
        <f t="shared" si="59"/>
        <v>Weekday</v>
      </c>
      <c r="R566" s="12" t="str">
        <f t="shared" si="60"/>
        <v>Evening</v>
      </c>
      <c r="S566" s="28" t="str">
        <f>INDEX(calculate_field!$F$2:$F$4, MATCH(H566, calculate_field!$E$2:$E$4, 1))</f>
        <v>Warm</v>
      </c>
      <c r="T566" s="33">
        <f t="shared" si="61"/>
        <v>57.5</v>
      </c>
      <c r="U566" s="33">
        <f t="shared" si="62"/>
        <v>60.816187776382151</v>
      </c>
      <c r="V566" s="33">
        <f t="shared" si="63"/>
        <v>-0.53844138540105202</v>
      </c>
      <c r="W566" s="12" t="b">
        <f t="shared" si="64"/>
        <v>1</v>
      </c>
    </row>
    <row r="567" spans="1:23">
      <c r="A567" s="26">
        <v>566</v>
      </c>
      <c r="B567" s="27">
        <v>40568</v>
      </c>
      <c r="C567" s="12">
        <v>1</v>
      </c>
      <c r="D567" s="12">
        <v>18</v>
      </c>
      <c r="E567" s="12" t="b">
        <v>0</v>
      </c>
      <c r="F567" s="12">
        <v>2</v>
      </c>
      <c r="G567" s="12">
        <v>2</v>
      </c>
      <c r="H567" s="12">
        <v>0.3</v>
      </c>
      <c r="I567" s="12">
        <v>0.31819999999999998</v>
      </c>
      <c r="J567" s="12">
        <v>0.49</v>
      </c>
      <c r="K567" s="12">
        <v>8.9599999999999999E-2</v>
      </c>
      <c r="L567" s="12">
        <v>7</v>
      </c>
      <c r="M567" s="12">
        <v>218</v>
      </c>
      <c r="N567" s="12">
        <v>225</v>
      </c>
      <c r="O567" s="12" t="str">
        <f>VLOOKUP(G567,calculate_field!$B$2:$C$5,2,FALSE)</f>
        <v xml:space="preserve">Mist / cloudy </v>
      </c>
      <c r="P567" s="12" t="str">
        <f t="shared" si="58"/>
        <v>Tuesday</v>
      </c>
      <c r="Q567" s="12" t="str">
        <f t="shared" si="59"/>
        <v>Weekday</v>
      </c>
      <c r="R567" s="12" t="str">
        <f t="shared" si="60"/>
        <v>Evening</v>
      </c>
      <c r="S567" s="28" t="str">
        <f>INDEX(calculate_field!$F$2:$F$4, MATCH(H567, calculate_field!$E$2:$E$4, 1))</f>
        <v>Warm</v>
      </c>
      <c r="T567" s="33">
        <f t="shared" si="61"/>
        <v>51.75</v>
      </c>
      <c r="U567" s="33">
        <f t="shared" si="62"/>
        <v>50.180760213972185</v>
      </c>
      <c r="V567" s="33">
        <f t="shared" si="63"/>
        <v>0.76235006551858953</v>
      </c>
      <c r="W567" s="12" t="b">
        <f t="shared" si="64"/>
        <v>0</v>
      </c>
    </row>
    <row r="568" spans="1:23">
      <c r="A568" s="26">
        <v>567</v>
      </c>
      <c r="B568" s="27">
        <v>40568</v>
      </c>
      <c r="C568" s="12">
        <v>1</v>
      </c>
      <c r="D568" s="12">
        <v>19</v>
      </c>
      <c r="E568" s="12" t="b">
        <v>0</v>
      </c>
      <c r="F568" s="12">
        <v>2</v>
      </c>
      <c r="G568" s="12">
        <v>2</v>
      </c>
      <c r="H568" s="12">
        <v>0.26</v>
      </c>
      <c r="I568" s="12">
        <v>0.2576</v>
      </c>
      <c r="J568" s="12">
        <v>0.65</v>
      </c>
      <c r="K568" s="12">
        <v>0.16420000000000001</v>
      </c>
      <c r="L568" s="12">
        <v>13</v>
      </c>
      <c r="M568" s="12">
        <v>133</v>
      </c>
      <c r="N568" s="12">
        <v>146</v>
      </c>
      <c r="O568" s="12" t="str">
        <f>VLOOKUP(G568,calculate_field!$B$2:$C$5,2,FALSE)</f>
        <v xml:space="preserve">Mist / cloudy </v>
      </c>
      <c r="P568" s="12" t="str">
        <f t="shared" si="58"/>
        <v>Tuesday</v>
      </c>
      <c r="Q568" s="12" t="str">
        <f t="shared" si="59"/>
        <v>Weekday</v>
      </c>
      <c r="R568" s="12" t="str">
        <f t="shared" si="60"/>
        <v>Evening</v>
      </c>
      <c r="S568" s="28" t="str">
        <f>INDEX(calculate_field!$F$2:$F$4, MATCH(H568, calculate_field!$E$2:$E$4, 1))</f>
        <v>Mild</v>
      </c>
      <c r="T568" s="33">
        <f t="shared" si="61"/>
        <v>46.708333333333336</v>
      </c>
      <c r="U568" s="33">
        <f t="shared" si="62"/>
        <v>36.128369157367381</v>
      </c>
      <c r="V568" s="33">
        <f t="shared" si="63"/>
        <v>1.1619641160005498</v>
      </c>
      <c r="W568" s="12" t="b">
        <f t="shared" si="64"/>
        <v>0</v>
      </c>
    </row>
    <row r="569" spans="1:23">
      <c r="A569" s="26">
        <v>568</v>
      </c>
      <c r="B569" s="27">
        <v>40568</v>
      </c>
      <c r="C569" s="12">
        <v>1</v>
      </c>
      <c r="D569" s="12">
        <v>20</v>
      </c>
      <c r="E569" s="12" t="b">
        <v>0</v>
      </c>
      <c r="F569" s="12">
        <v>2</v>
      </c>
      <c r="G569" s="12">
        <v>1</v>
      </c>
      <c r="H569" s="12">
        <v>0.24</v>
      </c>
      <c r="I569" s="12">
        <v>0.2273</v>
      </c>
      <c r="J569" s="12">
        <v>0.65</v>
      </c>
      <c r="K569" s="12">
        <v>0.19400000000000001</v>
      </c>
      <c r="L569" s="12">
        <v>16</v>
      </c>
      <c r="M569" s="12">
        <v>103</v>
      </c>
      <c r="N569" s="12">
        <v>119</v>
      </c>
      <c r="O569" s="12" t="str">
        <f>VLOOKUP(G569,calculate_field!$B$2:$C$5,2,FALSE)</f>
        <v>Clear/Partly Cloudy</v>
      </c>
      <c r="P569" s="12" t="str">
        <f t="shared" si="58"/>
        <v>Tuesday</v>
      </c>
      <c r="Q569" s="12" t="str">
        <f t="shared" si="59"/>
        <v>Weekday</v>
      </c>
      <c r="R569" s="12" t="str">
        <f t="shared" si="60"/>
        <v>Evening</v>
      </c>
      <c r="S569" s="28" t="str">
        <f>INDEX(calculate_field!$F$2:$F$4, MATCH(H569, calculate_field!$E$2:$E$4, 1))</f>
        <v>Mild</v>
      </c>
      <c r="T569" s="33">
        <f t="shared" si="61"/>
        <v>43.916666666666664</v>
      </c>
      <c r="U569" s="33">
        <f t="shared" si="62"/>
        <v>30.229436656671428</v>
      </c>
      <c r="V569" s="33">
        <f t="shared" si="63"/>
        <v>0.63339964421988659</v>
      </c>
      <c r="W569" s="12" t="b">
        <f t="shared" si="64"/>
        <v>0</v>
      </c>
    </row>
    <row r="570" spans="1:23">
      <c r="A570" s="26">
        <v>569</v>
      </c>
      <c r="B570" s="27">
        <v>40568</v>
      </c>
      <c r="C570" s="12">
        <v>1</v>
      </c>
      <c r="D570" s="12">
        <v>21</v>
      </c>
      <c r="E570" s="12" t="b">
        <v>0</v>
      </c>
      <c r="F570" s="12">
        <v>2</v>
      </c>
      <c r="G570" s="12">
        <v>1</v>
      </c>
      <c r="H570" s="12">
        <v>0.24</v>
      </c>
      <c r="I570" s="12">
        <v>0.2273</v>
      </c>
      <c r="J570" s="12">
        <v>0.65</v>
      </c>
      <c r="K570" s="12">
        <v>0.19400000000000001</v>
      </c>
      <c r="L570" s="12">
        <v>5</v>
      </c>
      <c r="M570" s="12">
        <v>40</v>
      </c>
      <c r="N570" s="12">
        <v>45</v>
      </c>
      <c r="O570" s="12" t="str">
        <f>VLOOKUP(G570,calculate_field!$B$2:$C$5,2,FALSE)</f>
        <v>Clear/Partly Cloudy</v>
      </c>
      <c r="P570" s="12" t="str">
        <f t="shared" si="58"/>
        <v>Tuesday</v>
      </c>
      <c r="Q570" s="12" t="str">
        <f t="shared" si="59"/>
        <v>Weekday</v>
      </c>
      <c r="R570" s="12" t="str">
        <f t="shared" si="60"/>
        <v>Night</v>
      </c>
      <c r="S570" s="28" t="str">
        <f>INDEX(calculate_field!$F$2:$F$4, MATCH(H570, calculate_field!$E$2:$E$4, 1))</f>
        <v>Mild</v>
      </c>
      <c r="T570" s="33">
        <f t="shared" si="61"/>
        <v>41.416666666666664</v>
      </c>
      <c r="U570" s="33">
        <f t="shared" si="62"/>
        <v>25.924500190841243</v>
      </c>
      <c r="V570" s="33">
        <f t="shared" si="63"/>
        <v>0.20301475435826477</v>
      </c>
      <c r="W570" s="12" t="b">
        <f t="shared" si="64"/>
        <v>0</v>
      </c>
    </row>
    <row r="571" spans="1:23">
      <c r="A571" s="26">
        <v>570</v>
      </c>
      <c r="B571" s="27">
        <v>40568</v>
      </c>
      <c r="C571" s="12">
        <v>1</v>
      </c>
      <c r="D571" s="12">
        <v>22</v>
      </c>
      <c r="E571" s="12" t="b">
        <v>0</v>
      </c>
      <c r="F571" s="12">
        <v>2</v>
      </c>
      <c r="G571" s="12">
        <v>1</v>
      </c>
      <c r="H571" s="12">
        <v>0.22</v>
      </c>
      <c r="I571" s="12">
        <v>0.2273</v>
      </c>
      <c r="J571" s="12">
        <v>0.64</v>
      </c>
      <c r="K571" s="12">
        <v>0.16420000000000001</v>
      </c>
      <c r="L571" s="12">
        <v>4</v>
      </c>
      <c r="M571" s="12">
        <v>49</v>
      </c>
      <c r="N571" s="12">
        <v>53</v>
      </c>
      <c r="O571" s="12" t="str">
        <f>VLOOKUP(G571,calculate_field!$B$2:$C$5,2,FALSE)</f>
        <v>Clear/Partly Cloudy</v>
      </c>
      <c r="P571" s="12" t="str">
        <f t="shared" si="58"/>
        <v>Tuesday</v>
      </c>
      <c r="Q571" s="12" t="str">
        <f t="shared" si="59"/>
        <v>Weekday</v>
      </c>
      <c r="R571" s="12" t="str">
        <f t="shared" si="60"/>
        <v>Night</v>
      </c>
      <c r="S571" s="28" t="str">
        <f>INDEX(calculate_field!$F$2:$F$4, MATCH(H571, calculate_field!$E$2:$E$4, 1))</f>
        <v>Mild</v>
      </c>
      <c r="T571" s="33">
        <f t="shared" si="61"/>
        <v>41.125</v>
      </c>
      <c r="U571" s="33">
        <f t="shared" si="62"/>
        <v>25.921809685886213</v>
      </c>
      <c r="V571" s="33">
        <f t="shared" si="63"/>
        <v>-0.26979731914140492</v>
      </c>
      <c r="W571" s="12" t="b">
        <f t="shared" si="64"/>
        <v>0</v>
      </c>
    </row>
    <row r="572" spans="1:23">
      <c r="A572" s="26">
        <v>571</v>
      </c>
      <c r="B572" s="27">
        <v>40568</v>
      </c>
      <c r="C572" s="12">
        <v>1</v>
      </c>
      <c r="D572" s="12">
        <v>23</v>
      </c>
      <c r="E572" s="12" t="b">
        <v>0</v>
      </c>
      <c r="F572" s="12">
        <v>2</v>
      </c>
      <c r="G572" s="12">
        <v>2</v>
      </c>
      <c r="H572" s="12">
        <v>0.22</v>
      </c>
      <c r="I572" s="12">
        <v>0.2273</v>
      </c>
      <c r="J572" s="12">
        <v>0.64</v>
      </c>
      <c r="K572" s="12">
        <v>0.16420000000000001</v>
      </c>
      <c r="L572" s="12">
        <v>3</v>
      </c>
      <c r="M572" s="12">
        <v>37</v>
      </c>
      <c r="N572" s="12">
        <v>40</v>
      </c>
      <c r="O572" s="12" t="str">
        <f>VLOOKUP(G572,calculate_field!$B$2:$C$5,2,FALSE)</f>
        <v xml:space="preserve">Mist / cloudy </v>
      </c>
      <c r="P572" s="12" t="str">
        <f t="shared" si="58"/>
        <v>Tuesday</v>
      </c>
      <c r="Q572" s="12" t="str">
        <f t="shared" si="59"/>
        <v>Weekday</v>
      </c>
      <c r="R572" s="12" t="str">
        <f t="shared" si="60"/>
        <v>Night</v>
      </c>
      <c r="S572" s="28" t="str">
        <f>INDEX(calculate_field!$F$2:$F$4, MATCH(H572, calculate_field!$E$2:$E$4, 1))</f>
        <v>Mild</v>
      </c>
      <c r="T572" s="33">
        <f t="shared" si="61"/>
        <v>40.041666666666664</v>
      </c>
      <c r="U572" s="33">
        <f t="shared" si="62"/>
        <v>25.947236037216268</v>
      </c>
      <c r="V572" s="33">
        <f t="shared" si="63"/>
        <v>-0.50432628497426013</v>
      </c>
      <c r="W572" s="12" t="b">
        <f t="shared" si="64"/>
        <v>0</v>
      </c>
    </row>
    <row r="573" spans="1:23">
      <c r="A573" s="26">
        <v>572</v>
      </c>
      <c r="B573" s="27">
        <v>40569</v>
      </c>
      <c r="C573" s="12">
        <v>1</v>
      </c>
      <c r="D573" s="12">
        <v>0</v>
      </c>
      <c r="E573" s="12" t="b">
        <v>0</v>
      </c>
      <c r="F573" s="12">
        <v>3</v>
      </c>
      <c r="G573" s="12">
        <v>2</v>
      </c>
      <c r="H573" s="12">
        <v>0.22</v>
      </c>
      <c r="I573" s="12">
        <v>0.2273</v>
      </c>
      <c r="J573" s="12">
        <v>0.69</v>
      </c>
      <c r="K573" s="12">
        <v>0.1343</v>
      </c>
      <c r="L573" s="12">
        <v>3</v>
      </c>
      <c r="M573" s="12">
        <v>14</v>
      </c>
      <c r="N573" s="12">
        <v>17</v>
      </c>
      <c r="O573" s="12" t="str">
        <f>VLOOKUP(G573,calculate_field!$B$2:$C$5,2,FALSE)</f>
        <v xml:space="preserve">Mist / cloudy </v>
      </c>
      <c r="P573" s="12" t="str">
        <f t="shared" si="58"/>
        <v>Wednesday</v>
      </c>
      <c r="Q573" s="12" t="str">
        <f t="shared" si="59"/>
        <v>Weekday</v>
      </c>
      <c r="R573" s="12" t="str">
        <f t="shared" si="60"/>
        <v>Night</v>
      </c>
      <c r="S573" s="28" t="str">
        <f>INDEX(calculate_field!$F$2:$F$4, MATCH(H573, calculate_field!$E$2:$E$4, 1))</f>
        <v>Mild</v>
      </c>
      <c r="T573" s="33">
        <f t="shared" si="61"/>
        <v>39.041666666666664</v>
      </c>
      <c r="U573" s="33">
        <f t="shared" si="62"/>
        <v>26.40730986853363</v>
      </c>
      <c r="V573" s="33">
        <f t="shared" si="63"/>
        <v>-0.7460075270015083</v>
      </c>
      <c r="W573" s="12" t="b">
        <f t="shared" si="64"/>
        <v>0</v>
      </c>
    </row>
    <row r="574" spans="1:23">
      <c r="A574" s="26">
        <v>573</v>
      </c>
      <c r="B574" s="27">
        <v>40569</v>
      </c>
      <c r="C574" s="12">
        <v>1</v>
      </c>
      <c r="D574" s="12">
        <v>1</v>
      </c>
      <c r="E574" s="12" t="b">
        <v>0</v>
      </c>
      <c r="F574" s="12">
        <v>3</v>
      </c>
      <c r="G574" s="12">
        <v>2</v>
      </c>
      <c r="H574" s="12">
        <v>0.24</v>
      </c>
      <c r="I574" s="12">
        <v>0.2424</v>
      </c>
      <c r="J574" s="12">
        <v>0.65</v>
      </c>
      <c r="K574" s="12">
        <v>0.1343</v>
      </c>
      <c r="L574" s="12">
        <v>0</v>
      </c>
      <c r="M574" s="12">
        <v>5</v>
      </c>
      <c r="N574" s="12">
        <v>5</v>
      </c>
      <c r="O574" s="12" t="str">
        <f>VLOOKUP(G574,calculate_field!$B$2:$C$5,2,FALSE)</f>
        <v xml:space="preserve">Mist / cloudy </v>
      </c>
      <c r="P574" s="12" t="str">
        <f t="shared" si="58"/>
        <v>Wednesday</v>
      </c>
      <c r="Q574" s="12" t="str">
        <f t="shared" si="59"/>
        <v>Weekday</v>
      </c>
      <c r="R574" s="12" t="str">
        <f t="shared" si="60"/>
        <v>Night</v>
      </c>
      <c r="S574" s="28" t="str">
        <f>INDEX(calculate_field!$F$2:$F$4, MATCH(H574, calculate_field!$E$2:$E$4, 1))</f>
        <v>Mild</v>
      </c>
      <c r="T574" s="33">
        <f t="shared" si="61"/>
        <v>38.708333333333336</v>
      </c>
      <c r="U574" s="33">
        <f t="shared" si="62"/>
        <v>26.74595323582156</v>
      </c>
      <c r="V574" s="33">
        <f t="shared" si="63"/>
        <v>-0.9207369028535014</v>
      </c>
      <c r="W574" s="12" t="b">
        <f t="shared" si="64"/>
        <v>1</v>
      </c>
    </row>
    <row r="575" spans="1:23">
      <c r="A575" s="26">
        <v>574</v>
      </c>
      <c r="B575" s="27">
        <v>40569</v>
      </c>
      <c r="C575" s="12">
        <v>1</v>
      </c>
      <c r="D575" s="12">
        <v>2</v>
      </c>
      <c r="E575" s="12" t="b">
        <v>0</v>
      </c>
      <c r="F575" s="12">
        <v>3</v>
      </c>
      <c r="G575" s="12">
        <v>3</v>
      </c>
      <c r="H575" s="12">
        <v>0.22</v>
      </c>
      <c r="I575" s="12">
        <v>0.2273</v>
      </c>
      <c r="J575" s="12">
        <v>0.69</v>
      </c>
      <c r="K575" s="12">
        <v>0.19400000000000001</v>
      </c>
      <c r="L575" s="12">
        <v>3</v>
      </c>
      <c r="M575" s="12">
        <v>7</v>
      </c>
      <c r="N575" s="12">
        <v>10</v>
      </c>
      <c r="O575" s="12" t="str">
        <f>VLOOKUP(G575,calculate_field!$B$2:$C$5,2,FALSE)</f>
        <v xml:space="preserve">Light Snow / Rain </v>
      </c>
      <c r="P575" s="12" t="str">
        <f t="shared" si="58"/>
        <v>Wednesday</v>
      </c>
      <c r="Q575" s="12" t="str">
        <f t="shared" si="59"/>
        <v>Weekday</v>
      </c>
      <c r="R575" s="12" t="str">
        <f t="shared" si="60"/>
        <v>Night</v>
      </c>
      <c r="S575" s="28" t="str">
        <f>INDEX(calculate_field!$F$2:$F$4, MATCH(H575, calculate_field!$E$2:$E$4, 1))</f>
        <v>Mild</v>
      </c>
      <c r="T575" s="33">
        <f t="shared" si="61"/>
        <v>38.625</v>
      </c>
      <c r="U575" s="33">
        <f t="shared" si="62"/>
        <v>26.858425121365549</v>
      </c>
      <c r="V575" s="33">
        <f t="shared" si="63"/>
        <v>-1.0758648647021576</v>
      </c>
      <c r="W575" s="12" t="b">
        <f t="shared" si="64"/>
        <v>1</v>
      </c>
    </row>
    <row r="576" spans="1:23">
      <c r="A576" s="26">
        <v>575</v>
      </c>
      <c r="B576" s="27">
        <v>40569</v>
      </c>
      <c r="C576" s="12">
        <v>1</v>
      </c>
      <c r="D576" s="12">
        <v>5</v>
      </c>
      <c r="E576" s="12" t="b">
        <v>0</v>
      </c>
      <c r="F576" s="12">
        <v>3</v>
      </c>
      <c r="G576" s="12">
        <v>3</v>
      </c>
      <c r="H576" s="12">
        <v>0.2</v>
      </c>
      <c r="I576" s="12">
        <v>0.18179999999999999</v>
      </c>
      <c r="J576" s="12">
        <v>0.86</v>
      </c>
      <c r="K576" s="12">
        <v>0.28360000000000002</v>
      </c>
      <c r="L576" s="12">
        <v>0</v>
      </c>
      <c r="M576" s="12">
        <v>1</v>
      </c>
      <c r="N576" s="12">
        <v>1</v>
      </c>
      <c r="O576" s="12" t="str">
        <f>VLOOKUP(G576,calculate_field!$B$2:$C$5,2,FALSE)</f>
        <v xml:space="preserve">Light Snow / Rain </v>
      </c>
      <c r="P576" s="12" t="str">
        <f t="shared" si="58"/>
        <v>Wednesday</v>
      </c>
      <c r="Q576" s="12" t="str">
        <f t="shared" si="59"/>
        <v>Weekday</v>
      </c>
      <c r="R576" s="12" t="str">
        <f t="shared" si="60"/>
        <v>Night</v>
      </c>
      <c r="S576" s="28" t="str">
        <f>INDEX(calculate_field!$F$2:$F$4, MATCH(H576, calculate_field!$E$2:$E$4, 1))</f>
        <v>Mild</v>
      </c>
      <c r="T576" s="33">
        <f t="shared" si="61"/>
        <v>38.291666666666664</v>
      </c>
      <c r="U576" s="33">
        <f t="shared" si="62"/>
        <v>27.275533178013728</v>
      </c>
      <c r="V576" s="33">
        <f t="shared" si="63"/>
        <v>-1.1226938707618834</v>
      </c>
      <c r="W576" s="12" t="b">
        <f t="shared" si="64"/>
        <v>0</v>
      </c>
    </row>
    <row r="577" spans="1:23">
      <c r="A577" s="26">
        <v>576</v>
      </c>
      <c r="B577" s="27">
        <v>40569</v>
      </c>
      <c r="C577" s="12">
        <v>1</v>
      </c>
      <c r="D577" s="12">
        <v>6</v>
      </c>
      <c r="E577" s="12" t="b">
        <v>0</v>
      </c>
      <c r="F577" s="12">
        <v>3</v>
      </c>
      <c r="G577" s="12">
        <v>3</v>
      </c>
      <c r="H577" s="12">
        <v>0.2</v>
      </c>
      <c r="I577" s="12">
        <v>0.18179999999999999</v>
      </c>
      <c r="J577" s="12">
        <v>0.86</v>
      </c>
      <c r="K577" s="12">
        <v>0.28360000000000002</v>
      </c>
      <c r="L577" s="12">
        <v>0</v>
      </c>
      <c r="M577" s="12">
        <v>8</v>
      </c>
      <c r="N577" s="12">
        <v>8</v>
      </c>
      <c r="O577" s="12" t="str">
        <f>VLOOKUP(G577,calculate_field!$B$2:$C$5,2,FALSE)</f>
        <v xml:space="preserve">Light Snow / Rain </v>
      </c>
      <c r="P577" s="12" t="str">
        <f t="shared" si="58"/>
        <v>Wednesday</v>
      </c>
      <c r="Q577" s="12" t="str">
        <f t="shared" si="59"/>
        <v>Weekday</v>
      </c>
      <c r="R577" s="12" t="str">
        <f t="shared" si="60"/>
        <v>Morning</v>
      </c>
      <c r="S577" s="28" t="str">
        <f>INDEX(calculate_field!$F$2:$F$4, MATCH(H577, calculate_field!$E$2:$E$4, 1))</f>
        <v>Mild</v>
      </c>
      <c r="T577" s="33">
        <f t="shared" si="61"/>
        <v>38.291666666666664</v>
      </c>
      <c r="U577" s="33">
        <f t="shared" si="62"/>
        <v>27.275533178013728</v>
      </c>
      <c r="V577" s="33">
        <f t="shared" si="63"/>
        <v>-1.1588597431677519</v>
      </c>
      <c r="W577" s="12" t="b">
        <f t="shared" si="64"/>
        <v>0</v>
      </c>
    </row>
    <row r="578" spans="1:23">
      <c r="A578" s="26">
        <v>577</v>
      </c>
      <c r="B578" s="27">
        <v>40569</v>
      </c>
      <c r="C578" s="12">
        <v>1</v>
      </c>
      <c r="D578" s="12">
        <v>7</v>
      </c>
      <c r="E578" s="12" t="b">
        <v>0</v>
      </c>
      <c r="F578" s="12">
        <v>3</v>
      </c>
      <c r="G578" s="12">
        <v>3</v>
      </c>
      <c r="H578" s="12">
        <v>0.22</v>
      </c>
      <c r="I578" s="12">
        <v>0.21210000000000001</v>
      </c>
      <c r="J578" s="12">
        <v>0.87</v>
      </c>
      <c r="K578" s="12">
        <v>0.29849999999999999</v>
      </c>
      <c r="L578" s="12">
        <v>1</v>
      </c>
      <c r="M578" s="12">
        <v>29</v>
      </c>
      <c r="N578" s="12">
        <v>30</v>
      </c>
      <c r="O578" s="12" t="str">
        <f>VLOOKUP(G578,calculate_field!$B$2:$C$5,2,FALSE)</f>
        <v xml:space="preserve">Light Snow / Rain </v>
      </c>
      <c r="P578" s="12" t="str">
        <f t="shared" ref="P578:P641" si="65">CHOOSE(F578+1,"Sunday","Monday","Tuesday","Wednesday","Thursday","Friday","Saturday")</f>
        <v>Wednesday</v>
      </c>
      <c r="Q578" s="12" t="str">
        <f t="shared" ref="Q578:Q641" si="66">IF(OR(F578=0,F578=6),"Weekend","Weekday")</f>
        <v>Weekday</v>
      </c>
      <c r="R578" s="12" t="str">
        <f t="shared" ref="R578:R641" si="67">IF(D578&lt;6,"Night",IF(D578&lt;12,"Morning",IF(D578&lt;17,"Afternoon",IF(D578&lt;21,"Evening","Night"))))</f>
        <v>Morning</v>
      </c>
      <c r="S578" s="28" t="str">
        <f>INDEX(calculate_field!$F$2:$F$4, MATCH(H578, calculate_field!$E$2:$E$4, 1))</f>
        <v>Mild</v>
      </c>
      <c r="T578" s="33">
        <f t="shared" ref="T578:T641" si="68">AVERAGE(N578:N601)</f>
        <v>38.125</v>
      </c>
      <c r="U578" s="33">
        <f t="shared" ref="U578:U641" si="69">_xlfn.STDEV.S(N578:N601)</f>
        <v>27.480131162271626</v>
      </c>
      <c r="V578" s="33">
        <f t="shared" ref="V578:V641" si="70">(N601-T601)/U601</f>
        <v>-1.0937680831996286</v>
      </c>
      <c r="W578" s="12" t="b">
        <f t="shared" ref="W578:W641" si="71">IFERROR(ABS(V594)&gt;1.5,FALSE)</f>
        <v>0</v>
      </c>
    </row>
    <row r="579" spans="1:23">
      <c r="A579" s="26">
        <v>578</v>
      </c>
      <c r="B579" s="27">
        <v>40569</v>
      </c>
      <c r="C579" s="12">
        <v>1</v>
      </c>
      <c r="D579" s="12">
        <v>8</v>
      </c>
      <c r="E579" s="12" t="b">
        <v>0</v>
      </c>
      <c r="F579" s="12">
        <v>3</v>
      </c>
      <c r="G579" s="12">
        <v>3</v>
      </c>
      <c r="H579" s="12">
        <v>0.22</v>
      </c>
      <c r="I579" s="12">
        <v>0.21210000000000001</v>
      </c>
      <c r="J579" s="12">
        <v>0.87</v>
      </c>
      <c r="K579" s="12">
        <v>0.29849999999999999</v>
      </c>
      <c r="L579" s="12">
        <v>3</v>
      </c>
      <c r="M579" s="12">
        <v>69</v>
      </c>
      <c r="N579" s="12">
        <v>72</v>
      </c>
      <c r="O579" s="12" t="str">
        <f>VLOOKUP(G579,calculate_field!$B$2:$C$5,2,FALSE)</f>
        <v xml:space="preserve">Light Snow / Rain </v>
      </c>
      <c r="P579" s="12" t="str">
        <f t="shared" si="65"/>
        <v>Wednesday</v>
      </c>
      <c r="Q579" s="12" t="str">
        <f t="shared" si="66"/>
        <v>Weekday</v>
      </c>
      <c r="R579" s="12" t="str">
        <f t="shared" si="67"/>
        <v>Morning</v>
      </c>
      <c r="S579" s="28" t="str">
        <f>INDEX(calculate_field!$F$2:$F$4, MATCH(H579, calculate_field!$E$2:$E$4, 1))</f>
        <v>Mild</v>
      </c>
      <c r="T579" s="33">
        <f t="shared" si="68"/>
        <v>37.541666666666664</v>
      </c>
      <c r="U579" s="33">
        <f t="shared" si="69"/>
        <v>27.806754210265982</v>
      </c>
      <c r="V579" s="33">
        <f t="shared" si="70"/>
        <v>-0.81123971533436101</v>
      </c>
      <c r="W579" s="12" t="b">
        <f t="shared" si="71"/>
        <v>0</v>
      </c>
    </row>
    <row r="580" spans="1:23">
      <c r="A580" s="26">
        <v>579</v>
      </c>
      <c r="B580" s="27">
        <v>40569</v>
      </c>
      <c r="C580" s="12">
        <v>1</v>
      </c>
      <c r="D580" s="12">
        <v>9</v>
      </c>
      <c r="E580" s="12" t="b">
        <v>0</v>
      </c>
      <c r="F580" s="12">
        <v>3</v>
      </c>
      <c r="G580" s="12">
        <v>3</v>
      </c>
      <c r="H580" s="12">
        <v>0.22</v>
      </c>
      <c r="I580" s="12">
        <v>0.21210000000000001</v>
      </c>
      <c r="J580" s="12">
        <v>0.87</v>
      </c>
      <c r="K580" s="12">
        <v>0.29849999999999999</v>
      </c>
      <c r="L580" s="12">
        <v>3</v>
      </c>
      <c r="M580" s="12">
        <v>55</v>
      </c>
      <c r="N580" s="12">
        <v>58</v>
      </c>
      <c r="O580" s="12" t="str">
        <f>VLOOKUP(G580,calculate_field!$B$2:$C$5,2,FALSE)</f>
        <v xml:space="preserve">Light Snow / Rain </v>
      </c>
      <c r="P580" s="12" t="str">
        <f t="shared" si="65"/>
        <v>Wednesday</v>
      </c>
      <c r="Q580" s="12" t="str">
        <f t="shared" si="66"/>
        <v>Weekday</v>
      </c>
      <c r="R580" s="12" t="str">
        <f t="shared" si="67"/>
        <v>Morning</v>
      </c>
      <c r="S580" s="28" t="str">
        <f>INDEX(calculate_field!$F$2:$F$4, MATCH(H580, calculate_field!$E$2:$E$4, 1))</f>
        <v>Mild</v>
      </c>
      <c r="T580" s="33">
        <f t="shared" si="68"/>
        <v>37.041666666666664</v>
      </c>
      <c r="U580" s="33">
        <f t="shared" si="69"/>
        <v>27.262777884342867</v>
      </c>
      <c r="V580" s="33">
        <f t="shared" si="70"/>
        <v>0.21699411733431531</v>
      </c>
      <c r="W580" s="12" t="b">
        <f t="shared" si="71"/>
        <v>0</v>
      </c>
    </row>
    <row r="581" spans="1:23">
      <c r="A581" s="26">
        <v>580</v>
      </c>
      <c r="B581" s="27">
        <v>40569</v>
      </c>
      <c r="C581" s="12">
        <v>1</v>
      </c>
      <c r="D581" s="12">
        <v>10</v>
      </c>
      <c r="E581" s="12" t="b">
        <v>0</v>
      </c>
      <c r="F581" s="12">
        <v>3</v>
      </c>
      <c r="G581" s="12">
        <v>3</v>
      </c>
      <c r="H581" s="12">
        <v>0.22</v>
      </c>
      <c r="I581" s="12">
        <v>0.21210000000000001</v>
      </c>
      <c r="J581" s="12">
        <v>0.93</v>
      </c>
      <c r="K581" s="12">
        <v>0.28360000000000002</v>
      </c>
      <c r="L581" s="12">
        <v>2</v>
      </c>
      <c r="M581" s="12">
        <v>26</v>
      </c>
      <c r="N581" s="12">
        <v>28</v>
      </c>
      <c r="O581" s="12" t="str">
        <f>VLOOKUP(G581,calculate_field!$B$2:$C$5,2,FALSE)</f>
        <v xml:space="preserve">Light Snow / Rain </v>
      </c>
      <c r="P581" s="12" t="str">
        <f t="shared" si="65"/>
        <v>Wednesday</v>
      </c>
      <c r="Q581" s="12" t="str">
        <f t="shared" si="66"/>
        <v>Weekday</v>
      </c>
      <c r="R581" s="12" t="str">
        <f t="shared" si="67"/>
        <v>Morning</v>
      </c>
      <c r="S581" s="28" t="str">
        <f>INDEX(calculate_field!$F$2:$F$4, MATCH(H581, calculate_field!$E$2:$E$4, 1))</f>
        <v>Mild</v>
      </c>
      <c r="T581" s="33">
        <f t="shared" si="68"/>
        <v>41.166666666666664</v>
      </c>
      <c r="U581" s="33">
        <f t="shared" si="69"/>
        <v>36.497369371154583</v>
      </c>
      <c r="V581" s="33">
        <f t="shared" si="70"/>
        <v>2.4628404677999245</v>
      </c>
      <c r="W581" s="12" t="b">
        <f t="shared" si="71"/>
        <v>0</v>
      </c>
    </row>
    <row r="582" spans="1:23">
      <c r="A582" s="26">
        <v>581</v>
      </c>
      <c r="B582" s="27">
        <v>40569</v>
      </c>
      <c r="C582" s="12">
        <v>1</v>
      </c>
      <c r="D582" s="12">
        <v>11</v>
      </c>
      <c r="E582" s="12" t="b">
        <v>0</v>
      </c>
      <c r="F582" s="12">
        <v>3</v>
      </c>
      <c r="G582" s="12">
        <v>3</v>
      </c>
      <c r="H582" s="12">
        <v>0.22</v>
      </c>
      <c r="I582" s="12">
        <v>0.19700000000000001</v>
      </c>
      <c r="J582" s="12">
        <v>0.93</v>
      </c>
      <c r="K582" s="12">
        <v>0.32840000000000003</v>
      </c>
      <c r="L582" s="12">
        <v>6</v>
      </c>
      <c r="M582" s="12">
        <v>35</v>
      </c>
      <c r="N582" s="12">
        <v>41</v>
      </c>
      <c r="O582" s="12" t="str">
        <f>VLOOKUP(G582,calculate_field!$B$2:$C$5,2,FALSE)</f>
        <v xml:space="preserve">Light Snow / Rain </v>
      </c>
      <c r="P582" s="12" t="str">
        <f t="shared" si="65"/>
        <v>Wednesday</v>
      </c>
      <c r="Q582" s="12" t="str">
        <f t="shared" si="66"/>
        <v>Weekday</v>
      </c>
      <c r="R582" s="12" t="str">
        <f t="shared" si="67"/>
        <v>Morning</v>
      </c>
      <c r="S582" s="28" t="str">
        <f>INDEX(calculate_field!$F$2:$F$4, MATCH(H582, calculate_field!$E$2:$E$4, 1))</f>
        <v>Mild</v>
      </c>
      <c r="T582" s="33">
        <f t="shared" si="68"/>
        <v>44.208333333333336</v>
      </c>
      <c r="U582" s="33">
        <f t="shared" si="69"/>
        <v>38.347358807827064</v>
      </c>
      <c r="V582" s="33">
        <f t="shared" si="70"/>
        <v>1.521648689212036</v>
      </c>
      <c r="W582" s="12" t="b">
        <f t="shared" si="71"/>
        <v>0</v>
      </c>
    </row>
    <row r="583" spans="1:23">
      <c r="A583" s="26">
        <v>582</v>
      </c>
      <c r="B583" s="27">
        <v>40569</v>
      </c>
      <c r="C583" s="12">
        <v>1</v>
      </c>
      <c r="D583" s="12">
        <v>12</v>
      </c>
      <c r="E583" s="12" t="b">
        <v>0</v>
      </c>
      <c r="F583" s="12">
        <v>3</v>
      </c>
      <c r="G583" s="12">
        <v>3</v>
      </c>
      <c r="H583" s="12">
        <v>0.22</v>
      </c>
      <c r="I583" s="12">
        <v>0.19700000000000001</v>
      </c>
      <c r="J583" s="12">
        <v>0.93</v>
      </c>
      <c r="K583" s="12">
        <v>0.32840000000000003</v>
      </c>
      <c r="L583" s="12">
        <v>7</v>
      </c>
      <c r="M583" s="12">
        <v>41</v>
      </c>
      <c r="N583" s="12">
        <v>48</v>
      </c>
      <c r="O583" s="12" t="str">
        <f>VLOOKUP(G583,calculate_field!$B$2:$C$5,2,FALSE)</f>
        <v xml:space="preserve">Light Snow / Rain </v>
      </c>
      <c r="P583" s="12" t="str">
        <f t="shared" si="65"/>
        <v>Wednesday</v>
      </c>
      <c r="Q583" s="12" t="str">
        <f t="shared" si="66"/>
        <v>Weekday</v>
      </c>
      <c r="R583" s="12" t="str">
        <f t="shared" si="67"/>
        <v>Afternoon</v>
      </c>
      <c r="S583" s="28" t="str">
        <f>INDEX(calculate_field!$F$2:$F$4, MATCH(H583, calculate_field!$E$2:$E$4, 1))</f>
        <v>Mild</v>
      </c>
      <c r="T583" s="33">
        <f t="shared" si="68"/>
        <v>44.541666666666664</v>
      </c>
      <c r="U583" s="33">
        <f t="shared" si="69"/>
        <v>38.353027392175022</v>
      </c>
      <c r="V583" s="33">
        <f t="shared" si="70"/>
        <v>0.18632850570796824</v>
      </c>
      <c r="W583" s="12" t="b">
        <f t="shared" si="71"/>
        <v>0</v>
      </c>
    </row>
    <row r="584" spans="1:23">
      <c r="A584" s="26">
        <v>583</v>
      </c>
      <c r="B584" s="27">
        <v>40569</v>
      </c>
      <c r="C584" s="12">
        <v>1</v>
      </c>
      <c r="D584" s="12">
        <v>13</v>
      </c>
      <c r="E584" s="12" t="b">
        <v>0</v>
      </c>
      <c r="F584" s="12">
        <v>3</v>
      </c>
      <c r="G584" s="12">
        <v>3</v>
      </c>
      <c r="H584" s="12">
        <v>0.22</v>
      </c>
      <c r="I584" s="12">
        <v>0.19700000000000001</v>
      </c>
      <c r="J584" s="12">
        <v>0.93</v>
      </c>
      <c r="K584" s="12">
        <v>0.32840000000000003</v>
      </c>
      <c r="L584" s="12">
        <v>4</v>
      </c>
      <c r="M584" s="12">
        <v>43</v>
      </c>
      <c r="N584" s="12">
        <v>47</v>
      </c>
      <c r="O584" s="12" t="str">
        <f>VLOOKUP(G584,calculate_field!$B$2:$C$5,2,FALSE)</f>
        <v xml:space="preserve">Light Snow / Rain </v>
      </c>
      <c r="P584" s="12" t="str">
        <f t="shared" si="65"/>
        <v>Wednesday</v>
      </c>
      <c r="Q584" s="12" t="str">
        <f t="shared" si="66"/>
        <v>Weekday</v>
      </c>
      <c r="R584" s="12" t="str">
        <f t="shared" si="67"/>
        <v>Afternoon</v>
      </c>
      <c r="S584" s="28" t="str">
        <f>INDEX(calculate_field!$F$2:$F$4, MATCH(H584, calculate_field!$E$2:$E$4, 1))</f>
        <v>Mild</v>
      </c>
      <c r="T584" s="33">
        <f t="shared" si="68"/>
        <v>43.791666666666664</v>
      </c>
      <c r="U584" s="33">
        <f t="shared" si="69"/>
        <v>38.458310762001325</v>
      </c>
      <c r="V584" s="33">
        <f t="shared" si="70"/>
        <v>-0.36649188053397214</v>
      </c>
      <c r="W584" s="12" t="b">
        <f t="shared" si="71"/>
        <v>0</v>
      </c>
    </row>
    <row r="585" spans="1:23">
      <c r="A585" s="26">
        <v>584</v>
      </c>
      <c r="B585" s="27">
        <v>40569</v>
      </c>
      <c r="C585" s="12">
        <v>1</v>
      </c>
      <c r="D585" s="12">
        <v>14</v>
      </c>
      <c r="E585" s="12" t="b">
        <v>0</v>
      </c>
      <c r="F585" s="12">
        <v>3</v>
      </c>
      <c r="G585" s="12">
        <v>3</v>
      </c>
      <c r="H585" s="12">
        <v>0.22</v>
      </c>
      <c r="I585" s="12">
        <v>0.19700000000000001</v>
      </c>
      <c r="J585" s="12">
        <v>0.93</v>
      </c>
      <c r="K585" s="12">
        <v>0.35820000000000002</v>
      </c>
      <c r="L585" s="12">
        <v>0</v>
      </c>
      <c r="M585" s="12">
        <v>36</v>
      </c>
      <c r="N585" s="12">
        <v>36</v>
      </c>
      <c r="O585" s="12" t="str">
        <f>VLOOKUP(G585,calculate_field!$B$2:$C$5,2,FALSE)</f>
        <v xml:space="preserve">Light Snow / Rain </v>
      </c>
      <c r="P585" s="12" t="str">
        <f t="shared" si="65"/>
        <v>Wednesday</v>
      </c>
      <c r="Q585" s="12" t="str">
        <f t="shared" si="66"/>
        <v>Weekday</v>
      </c>
      <c r="R585" s="12" t="str">
        <f t="shared" si="67"/>
        <v>Afternoon</v>
      </c>
      <c r="S585" s="28" t="str">
        <f>INDEX(calculate_field!$F$2:$F$4, MATCH(H585, calculate_field!$E$2:$E$4, 1))</f>
        <v>Mild</v>
      </c>
      <c r="T585" s="33">
        <f t="shared" si="68"/>
        <v>43.041666666666664</v>
      </c>
      <c r="U585" s="33">
        <f t="shared" si="69"/>
        <v>38.568379892552294</v>
      </c>
      <c r="V585" s="33">
        <f t="shared" si="70"/>
        <v>-0.44357552144749834</v>
      </c>
      <c r="W585" s="12" t="b">
        <f t="shared" si="71"/>
        <v>0</v>
      </c>
    </row>
    <row r="586" spans="1:23">
      <c r="A586" s="26">
        <v>585</v>
      </c>
      <c r="B586" s="27">
        <v>40569</v>
      </c>
      <c r="C586" s="12">
        <v>1</v>
      </c>
      <c r="D586" s="12">
        <v>15</v>
      </c>
      <c r="E586" s="12" t="b">
        <v>0</v>
      </c>
      <c r="F586" s="12">
        <v>3</v>
      </c>
      <c r="G586" s="12">
        <v>3</v>
      </c>
      <c r="H586" s="12">
        <v>0.22</v>
      </c>
      <c r="I586" s="12">
        <v>0.18179999999999999</v>
      </c>
      <c r="J586" s="12">
        <v>0.93</v>
      </c>
      <c r="K586" s="12">
        <v>0.4627</v>
      </c>
      <c r="L586" s="12">
        <v>1</v>
      </c>
      <c r="M586" s="12">
        <v>42</v>
      </c>
      <c r="N586" s="12">
        <v>43</v>
      </c>
      <c r="O586" s="12" t="str">
        <f>VLOOKUP(G586,calculate_field!$B$2:$C$5,2,FALSE)</f>
        <v xml:space="preserve">Light Snow / Rain </v>
      </c>
      <c r="P586" s="12" t="str">
        <f t="shared" si="65"/>
        <v>Wednesday</v>
      </c>
      <c r="Q586" s="12" t="str">
        <f t="shared" si="66"/>
        <v>Weekday</v>
      </c>
      <c r="R586" s="12" t="str">
        <f t="shared" si="67"/>
        <v>Afternoon</v>
      </c>
      <c r="S586" s="28" t="str">
        <f>INDEX(calculate_field!$F$2:$F$4, MATCH(H586, calculate_field!$E$2:$E$4, 1))</f>
        <v>Mild</v>
      </c>
      <c r="T586" s="33">
        <f t="shared" si="68"/>
        <v>42.833333333333336</v>
      </c>
      <c r="U586" s="33">
        <f t="shared" si="69"/>
        <v>38.62153788245358</v>
      </c>
      <c r="V586" s="33">
        <f t="shared" si="70"/>
        <v>-0.42912967558837156</v>
      </c>
      <c r="W586" s="12" t="b">
        <f t="shared" si="71"/>
        <v>0</v>
      </c>
    </row>
    <row r="587" spans="1:23">
      <c r="A587" s="26">
        <v>586</v>
      </c>
      <c r="B587" s="27">
        <v>40569</v>
      </c>
      <c r="C587" s="12">
        <v>1</v>
      </c>
      <c r="D587" s="12">
        <v>16</v>
      </c>
      <c r="E587" s="12" t="b">
        <v>0</v>
      </c>
      <c r="F587" s="12">
        <v>3</v>
      </c>
      <c r="G587" s="12">
        <v>4</v>
      </c>
      <c r="H587" s="12">
        <v>0.22</v>
      </c>
      <c r="I587" s="12">
        <v>0.19700000000000001</v>
      </c>
      <c r="J587" s="12">
        <v>0.93</v>
      </c>
      <c r="K587" s="12">
        <v>0.32840000000000003</v>
      </c>
      <c r="L587" s="12">
        <v>1</v>
      </c>
      <c r="M587" s="12">
        <v>35</v>
      </c>
      <c r="N587" s="12">
        <v>36</v>
      </c>
      <c r="O587" s="12" t="str">
        <f>VLOOKUP(G587,calculate_field!$B$2:$C$5,2,FALSE)</f>
        <v xml:space="preserve">Heavy Rain </v>
      </c>
      <c r="P587" s="12" t="str">
        <f t="shared" si="65"/>
        <v>Wednesday</v>
      </c>
      <c r="Q587" s="12" t="str">
        <f t="shared" si="66"/>
        <v>Weekday</v>
      </c>
      <c r="R587" s="12" t="str">
        <f t="shared" si="67"/>
        <v>Afternoon</v>
      </c>
      <c r="S587" s="28" t="str">
        <f>INDEX(calculate_field!$F$2:$F$4, MATCH(H587, calculate_field!$E$2:$E$4, 1))</f>
        <v>Mild</v>
      </c>
      <c r="T587" s="33">
        <f t="shared" si="68"/>
        <v>42.625</v>
      </c>
      <c r="U587" s="33">
        <f t="shared" si="69"/>
        <v>38.634083285414548</v>
      </c>
      <c r="V587" s="33">
        <f t="shared" si="70"/>
        <v>-0.30267023224060163</v>
      </c>
      <c r="W587" s="12" t="b">
        <f t="shared" si="71"/>
        <v>0</v>
      </c>
    </row>
    <row r="588" spans="1:23">
      <c r="A588" s="26">
        <v>587</v>
      </c>
      <c r="B588" s="27">
        <v>40569</v>
      </c>
      <c r="C588" s="12">
        <v>1</v>
      </c>
      <c r="D588" s="12">
        <v>17</v>
      </c>
      <c r="E588" s="12" t="b">
        <v>0</v>
      </c>
      <c r="F588" s="12">
        <v>3</v>
      </c>
      <c r="G588" s="12">
        <v>3</v>
      </c>
      <c r="H588" s="12">
        <v>0.2</v>
      </c>
      <c r="I588" s="12">
        <v>0.18179999999999999</v>
      </c>
      <c r="J588" s="12">
        <v>0.93</v>
      </c>
      <c r="K588" s="12">
        <v>0.35820000000000002</v>
      </c>
      <c r="L588" s="12">
        <v>0</v>
      </c>
      <c r="M588" s="12">
        <v>26</v>
      </c>
      <c r="N588" s="12">
        <v>26</v>
      </c>
      <c r="O588" s="12" t="str">
        <f>VLOOKUP(G588,calculate_field!$B$2:$C$5,2,FALSE)</f>
        <v xml:space="preserve">Light Snow / Rain </v>
      </c>
      <c r="P588" s="12" t="str">
        <f t="shared" si="65"/>
        <v>Wednesday</v>
      </c>
      <c r="Q588" s="12" t="str">
        <f t="shared" si="66"/>
        <v>Weekday</v>
      </c>
      <c r="R588" s="12" t="str">
        <f t="shared" si="67"/>
        <v>Evening</v>
      </c>
      <c r="S588" s="28" t="str">
        <f>INDEX(calculate_field!$F$2:$F$4, MATCH(H588, calculate_field!$E$2:$E$4, 1))</f>
        <v>Mild</v>
      </c>
      <c r="T588" s="33">
        <f t="shared" si="68"/>
        <v>42.833333333333336</v>
      </c>
      <c r="U588" s="33">
        <f t="shared" si="69"/>
        <v>38.610278724562534</v>
      </c>
      <c r="V588" s="33">
        <f t="shared" si="70"/>
        <v>-0.29374008238208493</v>
      </c>
      <c r="W588" s="12" t="b">
        <f t="shared" si="71"/>
        <v>0</v>
      </c>
    </row>
    <row r="589" spans="1:23">
      <c r="A589" s="26">
        <v>588</v>
      </c>
      <c r="B589" s="27">
        <v>40570</v>
      </c>
      <c r="C589" s="12">
        <v>1</v>
      </c>
      <c r="D589" s="12">
        <v>16</v>
      </c>
      <c r="E589" s="12" t="b">
        <v>0</v>
      </c>
      <c r="F589" s="12">
        <v>4</v>
      </c>
      <c r="G589" s="12">
        <v>1</v>
      </c>
      <c r="H589" s="12">
        <v>0.22</v>
      </c>
      <c r="I589" s="12">
        <v>0.2273</v>
      </c>
      <c r="J589" s="12">
        <v>0.55000000000000004</v>
      </c>
      <c r="K589" s="12">
        <v>0.19400000000000001</v>
      </c>
      <c r="L589" s="12">
        <v>1</v>
      </c>
      <c r="M589" s="12">
        <v>23</v>
      </c>
      <c r="N589" s="12">
        <v>24</v>
      </c>
      <c r="O589" s="12" t="str">
        <f>VLOOKUP(G589,calculate_field!$B$2:$C$5,2,FALSE)</f>
        <v>Clear/Partly Cloudy</v>
      </c>
      <c r="P589" s="12" t="str">
        <f t="shared" si="65"/>
        <v>Thursday</v>
      </c>
      <c r="Q589" s="12" t="str">
        <f t="shared" si="66"/>
        <v>Weekday</v>
      </c>
      <c r="R589" s="12" t="str">
        <f t="shared" si="67"/>
        <v>Afternoon</v>
      </c>
      <c r="S589" s="28" t="str">
        <f>INDEX(calculate_field!$F$2:$F$4, MATCH(H589, calculate_field!$E$2:$E$4, 1))</f>
        <v>Mild</v>
      </c>
      <c r="T589" s="33">
        <f t="shared" si="68"/>
        <v>45.083333333333336</v>
      </c>
      <c r="U589" s="33">
        <f t="shared" si="69"/>
        <v>39.156227409283652</v>
      </c>
      <c r="V589" s="33">
        <f t="shared" si="70"/>
        <v>0.58883583094939518</v>
      </c>
      <c r="W589" s="12" t="b">
        <f t="shared" si="71"/>
        <v>0</v>
      </c>
    </row>
    <row r="590" spans="1:23">
      <c r="A590" s="26">
        <v>589</v>
      </c>
      <c r="B590" s="27">
        <v>40570</v>
      </c>
      <c r="C590" s="12">
        <v>1</v>
      </c>
      <c r="D590" s="12">
        <v>17</v>
      </c>
      <c r="E590" s="12" t="b">
        <v>0</v>
      </c>
      <c r="F590" s="12">
        <v>4</v>
      </c>
      <c r="G590" s="12">
        <v>1</v>
      </c>
      <c r="H590" s="12">
        <v>0.22</v>
      </c>
      <c r="I590" s="12">
        <v>0.2424</v>
      </c>
      <c r="J590" s="12">
        <v>0.55000000000000004</v>
      </c>
      <c r="K590" s="12">
        <v>0.1045</v>
      </c>
      <c r="L590" s="12">
        <v>2</v>
      </c>
      <c r="M590" s="12">
        <v>82</v>
      </c>
      <c r="N590" s="12">
        <v>84</v>
      </c>
      <c r="O590" s="12" t="str">
        <f>VLOOKUP(G590,calculate_field!$B$2:$C$5,2,FALSE)</f>
        <v>Clear/Partly Cloudy</v>
      </c>
      <c r="P590" s="12" t="str">
        <f t="shared" si="65"/>
        <v>Thursday</v>
      </c>
      <c r="Q590" s="12" t="str">
        <f t="shared" si="66"/>
        <v>Weekday</v>
      </c>
      <c r="R590" s="12" t="str">
        <f t="shared" si="67"/>
        <v>Evening</v>
      </c>
      <c r="S590" s="28" t="str">
        <f>INDEX(calculate_field!$F$2:$F$4, MATCH(H590, calculate_field!$E$2:$E$4, 1))</f>
        <v>Mild</v>
      </c>
      <c r="T590" s="33">
        <f t="shared" si="68"/>
        <v>50.291666666666664</v>
      </c>
      <c r="U590" s="33">
        <f t="shared" si="69"/>
        <v>44.216344771221607</v>
      </c>
      <c r="V590" s="33">
        <f t="shared" si="70"/>
        <v>2.2207539967680003</v>
      </c>
      <c r="W590" s="12" t="b">
        <f t="shared" si="71"/>
        <v>0</v>
      </c>
    </row>
    <row r="591" spans="1:23">
      <c r="A591" s="26">
        <v>590</v>
      </c>
      <c r="B591" s="27">
        <v>40570</v>
      </c>
      <c r="C591" s="12">
        <v>1</v>
      </c>
      <c r="D591" s="12">
        <v>18</v>
      </c>
      <c r="E591" s="12" t="b">
        <v>0</v>
      </c>
      <c r="F591" s="12">
        <v>4</v>
      </c>
      <c r="G591" s="12">
        <v>1</v>
      </c>
      <c r="H591" s="12">
        <v>0.2</v>
      </c>
      <c r="I591" s="12">
        <v>0.2273</v>
      </c>
      <c r="J591" s="12">
        <v>0.69</v>
      </c>
      <c r="K591" s="12">
        <v>8.9599999999999999E-2</v>
      </c>
      <c r="L591" s="12">
        <v>3</v>
      </c>
      <c r="M591" s="12">
        <v>101</v>
      </c>
      <c r="N591" s="12">
        <v>104</v>
      </c>
      <c r="O591" s="12" t="str">
        <f>VLOOKUP(G591,calculate_field!$B$2:$C$5,2,FALSE)</f>
        <v>Clear/Partly Cloudy</v>
      </c>
      <c r="P591" s="12" t="str">
        <f t="shared" si="65"/>
        <v>Thursday</v>
      </c>
      <c r="Q591" s="12" t="str">
        <f t="shared" si="66"/>
        <v>Weekday</v>
      </c>
      <c r="R591" s="12" t="str">
        <f t="shared" si="67"/>
        <v>Evening</v>
      </c>
      <c r="S591" s="28" t="str">
        <f>INDEX(calculate_field!$F$2:$F$4, MATCH(H591, calculate_field!$E$2:$E$4, 1))</f>
        <v>Mild</v>
      </c>
      <c r="T591" s="33">
        <f t="shared" si="68"/>
        <v>51.333333333333336</v>
      </c>
      <c r="U591" s="33">
        <f t="shared" si="69"/>
        <v>45.325553467127676</v>
      </c>
      <c r="V591" s="33">
        <f t="shared" si="70"/>
        <v>1.5219427541310444</v>
      </c>
      <c r="W591" s="12" t="b">
        <f t="shared" si="71"/>
        <v>0</v>
      </c>
    </row>
    <row r="592" spans="1:23">
      <c r="A592" s="26">
        <v>591</v>
      </c>
      <c r="B592" s="27">
        <v>40570</v>
      </c>
      <c r="C592" s="12">
        <v>1</v>
      </c>
      <c r="D592" s="12">
        <v>19</v>
      </c>
      <c r="E592" s="12" t="b">
        <v>0</v>
      </c>
      <c r="F592" s="12">
        <v>4</v>
      </c>
      <c r="G592" s="12">
        <v>1</v>
      </c>
      <c r="H592" s="12">
        <v>0.2</v>
      </c>
      <c r="I592" s="12">
        <v>0.2273</v>
      </c>
      <c r="J592" s="12">
        <v>0.69</v>
      </c>
      <c r="K592" s="12">
        <v>8.9599999999999999E-2</v>
      </c>
      <c r="L592" s="12">
        <v>3</v>
      </c>
      <c r="M592" s="12">
        <v>76</v>
      </c>
      <c r="N592" s="12">
        <v>79</v>
      </c>
      <c r="O592" s="12" t="str">
        <f>VLOOKUP(G592,calculate_field!$B$2:$C$5,2,FALSE)</f>
        <v>Clear/Partly Cloudy</v>
      </c>
      <c r="P592" s="12" t="str">
        <f t="shared" si="65"/>
        <v>Thursday</v>
      </c>
      <c r="Q592" s="12" t="str">
        <f t="shared" si="66"/>
        <v>Weekday</v>
      </c>
      <c r="R592" s="12" t="str">
        <f t="shared" si="67"/>
        <v>Evening</v>
      </c>
      <c r="S592" s="28" t="str">
        <f>INDEX(calculate_field!$F$2:$F$4, MATCH(H592, calculate_field!$E$2:$E$4, 1))</f>
        <v>Mild</v>
      </c>
      <c r="T592" s="33">
        <f t="shared" si="68"/>
        <v>50.708333333333336</v>
      </c>
      <c r="U592" s="33">
        <f t="shared" si="69"/>
        <v>44.666375999486867</v>
      </c>
      <c r="V592" s="33">
        <f t="shared" si="70"/>
        <v>1.0975679828747749</v>
      </c>
      <c r="W592" s="12" t="b">
        <f t="shared" si="71"/>
        <v>0</v>
      </c>
    </row>
    <row r="593" spans="1:23">
      <c r="A593" s="26">
        <v>592</v>
      </c>
      <c r="B593" s="27">
        <v>40570</v>
      </c>
      <c r="C593" s="12">
        <v>1</v>
      </c>
      <c r="D593" s="12">
        <v>20</v>
      </c>
      <c r="E593" s="12" t="b">
        <v>0</v>
      </c>
      <c r="F593" s="12">
        <v>4</v>
      </c>
      <c r="G593" s="12">
        <v>1</v>
      </c>
      <c r="H593" s="12">
        <v>0.18</v>
      </c>
      <c r="I593" s="12">
        <v>0.21210000000000001</v>
      </c>
      <c r="J593" s="12">
        <v>0.74</v>
      </c>
      <c r="K593" s="12">
        <v>8.9599999999999999E-2</v>
      </c>
      <c r="L593" s="12">
        <v>4</v>
      </c>
      <c r="M593" s="12">
        <v>55</v>
      </c>
      <c r="N593" s="12">
        <v>59</v>
      </c>
      <c r="O593" s="12" t="str">
        <f>VLOOKUP(G593,calculate_field!$B$2:$C$5,2,FALSE)</f>
        <v>Clear/Partly Cloudy</v>
      </c>
      <c r="P593" s="12" t="str">
        <f t="shared" si="65"/>
        <v>Thursday</v>
      </c>
      <c r="Q593" s="12" t="str">
        <f t="shared" si="66"/>
        <v>Weekday</v>
      </c>
      <c r="R593" s="12" t="str">
        <f t="shared" si="67"/>
        <v>Evening</v>
      </c>
      <c r="S593" s="28" t="str">
        <f>INDEX(calculate_field!$F$2:$F$4, MATCH(H593, calculate_field!$E$2:$E$4, 1))</f>
        <v>Cold</v>
      </c>
      <c r="T593" s="33">
        <f t="shared" si="68"/>
        <v>50</v>
      </c>
      <c r="U593" s="33">
        <f t="shared" si="69"/>
        <v>44.331753268126981</v>
      </c>
      <c r="V593" s="33">
        <f t="shared" si="70"/>
        <v>0.39314790601779964</v>
      </c>
      <c r="W593" s="12" t="b">
        <f t="shared" si="71"/>
        <v>0</v>
      </c>
    </row>
    <row r="594" spans="1:23">
      <c r="A594" s="26">
        <v>593</v>
      </c>
      <c r="B594" s="27">
        <v>40570</v>
      </c>
      <c r="C594" s="12">
        <v>1</v>
      </c>
      <c r="D594" s="12">
        <v>21</v>
      </c>
      <c r="E594" s="12" t="b">
        <v>0</v>
      </c>
      <c r="F594" s="12">
        <v>4</v>
      </c>
      <c r="G594" s="12">
        <v>1</v>
      </c>
      <c r="H594" s="12">
        <v>0.18</v>
      </c>
      <c r="I594" s="12">
        <v>0.21210000000000001</v>
      </c>
      <c r="J594" s="12">
        <v>0.74</v>
      </c>
      <c r="K594" s="12">
        <v>8.9599999999999999E-2</v>
      </c>
      <c r="L594" s="12">
        <v>2</v>
      </c>
      <c r="M594" s="12">
        <v>36</v>
      </c>
      <c r="N594" s="12">
        <v>38</v>
      </c>
      <c r="O594" s="12" t="str">
        <f>VLOOKUP(G594,calculate_field!$B$2:$C$5,2,FALSE)</f>
        <v>Clear/Partly Cloudy</v>
      </c>
      <c r="P594" s="12" t="str">
        <f t="shared" si="65"/>
        <v>Thursday</v>
      </c>
      <c r="Q594" s="12" t="str">
        <f t="shared" si="66"/>
        <v>Weekday</v>
      </c>
      <c r="R594" s="12" t="str">
        <f t="shared" si="67"/>
        <v>Night</v>
      </c>
      <c r="S594" s="28" t="str">
        <f>INDEX(calculate_field!$F$2:$F$4, MATCH(H594, calculate_field!$E$2:$E$4, 1))</f>
        <v>Cold</v>
      </c>
      <c r="T594" s="33">
        <f t="shared" si="68"/>
        <v>49.958333333333336</v>
      </c>
      <c r="U594" s="33">
        <f t="shared" si="69"/>
        <v>44.323395693438265</v>
      </c>
      <c r="V594" s="33">
        <f t="shared" si="70"/>
        <v>0.30796758030780824</v>
      </c>
      <c r="W594" s="12" t="b">
        <f t="shared" si="71"/>
        <v>0</v>
      </c>
    </row>
    <row r="595" spans="1:23">
      <c r="A595" s="26">
        <v>594</v>
      </c>
      <c r="B595" s="27">
        <v>40570</v>
      </c>
      <c r="C595" s="12">
        <v>1</v>
      </c>
      <c r="D595" s="12">
        <v>22</v>
      </c>
      <c r="E595" s="12" t="b">
        <v>0</v>
      </c>
      <c r="F595" s="12">
        <v>4</v>
      </c>
      <c r="G595" s="12">
        <v>1</v>
      </c>
      <c r="H595" s="12">
        <v>0.18</v>
      </c>
      <c r="I595" s="12">
        <v>0.21210000000000001</v>
      </c>
      <c r="J595" s="12">
        <v>0.74</v>
      </c>
      <c r="K595" s="12">
        <v>8.9599999999999999E-2</v>
      </c>
      <c r="L595" s="12">
        <v>0</v>
      </c>
      <c r="M595" s="12">
        <v>27</v>
      </c>
      <c r="N595" s="12">
        <v>27</v>
      </c>
      <c r="O595" s="12" t="str">
        <f>VLOOKUP(G595,calculate_field!$B$2:$C$5,2,FALSE)</f>
        <v>Clear/Partly Cloudy</v>
      </c>
      <c r="P595" s="12" t="str">
        <f t="shared" si="65"/>
        <v>Thursday</v>
      </c>
      <c r="Q595" s="12" t="str">
        <f t="shared" si="66"/>
        <v>Weekday</v>
      </c>
      <c r="R595" s="12" t="str">
        <f t="shared" si="67"/>
        <v>Night</v>
      </c>
      <c r="S595" s="28" t="str">
        <f>INDEX(calculate_field!$F$2:$F$4, MATCH(H595, calculate_field!$E$2:$E$4, 1))</f>
        <v>Cold</v>
      </c>
      <c r="T595" s="33">
        <f t="shared" si="68"/>
        <v>49.458333333333336</v>
      </c>
      <c r="U595" s="33">
        <f t="shared" si="69"/>
        <v>44.531355994025901</v>
      </c>
      <c r="V595" s="33">
        <f t="shared" si="70"/>
        <v>-0.59768868002929521</v>
      </c>
      <c r="W595" s="12" t="b">
        <f t="shared" si="71"/>
        <v>1</v>
      </c>
    </row>
    <row r="596" spans="1:23">
      <c r="A596" s="26">
        <v>595</v>
      </c>
      <c r="B596" s="27">
        <v>40570</v>
      </c>
      <c r="C596" s="12">
        <v>1</v>
      </c>
      <c r="D596" s="12">
        <v>23</v>
      </c>
      <c r="E596" s="12" t="b">
        <v>0</v>
      </c>
      <c r="F596" s="12">
        <v>4</v>
      </c>
      <c r="G596" s="12">
        <v>1</v>
      </c>
      <c r="H596" s="12">
        <v>0.18</v>
      </c>
      <c r="I596" s="12">
        <v>0.19700000000000001</v>
      </c>
      <c r="J596" s="12">
        <v>0.8</v>
      </c>
      <c r="K596" s="12">
        <v>0.16420000000000001</v>
      </c>
      <c r="L596" s="12">
        <v>0</v>
      </c>
      <c r="M596" s="12">
        <v>16</v>
      </c>
      <c r="N596" s="12">
        <v>16</v>
      </c>
      <c r="O596" s="12" t="str">
        <f>VLOOKUP(G596,calculate_field!$B$2:$C$5,2,FALSE)</f>
        <v>Clear/Partly Cloudy</v>
      </c>
      <c r="P596" s="12" t="str">
        <f t="shared" si="65"/>
        <v>Thursday</v>
      </c>
      <c r="Q596" s="12" t="str">
        <f t="shared" si="66"/>
        <v>Weekday</v>
      </c>
      <c r="R596" s="12" t="str">
        <f t="shared" si="67"/>
        <v>Night</v>
      </c>
      <c r="S596" s="28" t="str">
        <f>INDEX(calculate_field!$F$2:$F$4, MATCH(H596, calculate_field!$E$2:$E$4, 1))</f>
        <v>Cold</v>
      </c>
      <c r="T596" s="33">
        <f t="shared" si="68"/>
        <v>49.291666666666664</v>
      </c>
      <c r="U596" s="33">
        <f t="shared" si="69"/>
        <v>44.62644874439632</v>
      </c>
      <c r="V596" s="33">
        <f t="shared" si="70"/>
        <v>-0.69716026789815455</v>
      </c>
      <c r="W596" s="12" t="b">
        <f t="shared" si="71"/>
        <v>0</v>
      </c>
    </row>
    <row r="597" spans="1:23">
      <c r="A597" s="26">
        <v>596</v>
      </c>
      <c r="B597" s="27">
        <v>40571</v>
      </c>
      <c r="C597" s="12">
        <v>1</v>
      </c>
      <c r="D597" s="12">
        <v>0</v>
      </c>
      <c r="E597" s="12" t="b">
        <v>0</v>
      </c>
      <c r="F597" s="12">
        <v>5</v>
      </c>
      <c r="G597" s="12">
        <v>2</v>
      </c>
      <c r="H597" s="12">
        <v>0.2</v>
      </c>
      <c r="I597" s="12">
        <v>0.21210000000000001</v>
      </c>
      <c r="J597" s="12">
        <v>0.75</v>
      </c>
      <c r="K597" s="12">
        <v>0.1343</v>
      </c>
      <c r="L597" s="12">
        <v>0</v>
      </c>
      <c r="M597" s="12">
        <v>9</v>
      </c>
      <c r="N597" s="12">
        <v>9</v>
      </c>
      <c r="O597" s="12" t="str">
        <f>VLOOKUP(G597,calculate_field!$B$2:$C$5,2,FALSE)</f>
        <v xml:space="preserve">Mist / cloudy </v>
      </c>
      <c r="P597" s="12" t="str">
        <f t="shared" si="65"/>
        <v>Friday</v>
      </c>
      <c r="Q597" s="12" t="str">
        <f t="shared" si="66"/>
        <v>Weekday</v>
      </c>
      <c r="R597" s="12" t="str">
        <f t="shared" si="67"/>
        <v>Night</v>
      </c>
      <c r="S597" s="28" t="str">
        <f>INDEX(calculate_field!$F$2:$F$4, MATCH(H597, calculate_field!$E$2:$E$4, 1))</f>
        <v>Mild</v>
      </c>
      <c r="T597" s="33">
        <f t="shared" si="68"/>
        <v>49.791666666666664</v>
      </c>
      <c r="U597" s="33">
        <f t="shared" si="69"/>
        <v>44.303282012752163</v>
      </c>
      <c r="V597" s="33">
        <f t="shared" si="70"/>
        <v>-0.56642686350510951</v>
      </c>
      <c r="W597" s="12" t="b">
        <f t="shared" si="71"/>
        <v>0</v>
      </c>
    </row>
    <row r="598" spans="1:23">
      <c r="A598" s="26">
        <v>597</v>
      </c>
      <c r="B598" s="27">
        <v>40571</v>
      </c>
      <c r="C598" s="12">
        <v>1</v>
      </c>
      <c r="D598" s="12">
        <v>1</v>
      </c>
      <c r="E598" s="12" t="b">
        <v>0</v>
      </c>
      <c r="F598" s="12">
        <v>5</v>
      </c>
      <c r="G598" s="12">
        <v>2</v>
      </c>
      <c r="H598" s="12">
        <v>0.2</v>
      </c>
      <c r="I598" s="12">
        <v>0.21210000000000001</v>
      </c>
      <c r="J598" s="12">
        <v>0.75</v>
      </c>
      <c r="K598" s="12">
        <v>0.1343</v>
      </c>
      <c r="L598" s="12">
        <v>1</v>
      </c>
      <c r="M598" s="12">
        <v>2</v>
      </c>
      <c r="N598" s="12">
        <v>3</v>
      </c>
      <c r="O598" s="12" t="str">
        <f>VLOOKUP(G598,calculate_field!$B$2:$C$5,2,FALSE)</f>
        <v xml:space="preserve">Mist / cloudy </v>
      </c>
      <c r="P598" s="12" t="str">
        <f t="shared" si="65"/>
        <v>Friday</v>
      </c>
      <c r="Q598" s="12" t="str">
        <f t="shared" si="66"/>
        <v>Weekday</v>
      </c>
      <c r="R598" s="12" t="str">
        <f t="shared" si="67"/>
        <v>Night</v>
      </c>
      <c r="S598" s="28" t="str">
        <f>INDEX(calculate_field!$F$2:$F$4, MATCH(H598, calculate_field!$E$2:$E$4, 1))</f>
        <v>Mild</v>
      </c>
      <c r="T598" s="33">
        <f t="shared" si="68"/>
        <v>50.25</v>
      </c>
      <c r="U598" s="33">
        <f t="shared" si="69"/>
        <v>43.918155104991456</v>
      </c>
      <c r="V598" s="33">
        <f t="shared" si="70"/>
        <v>-0.80517040723108446</v>
      </c>
      <c r="W598" s="12" t="b">
        <f t="shared" si="71"/>
        <v>0</v>
      </c>
    </row>
    <row r="599" spans="1:23">
      <c r="A599" s="26">
        <v>598</v>
      </c>
      <c r="B599" s="27">
        <v>40571</v>
      </c>
      <c r="C599" s="12">
        <v>1</v>
      </c>
      <c r="D599" s="12">
        <v>2</v>
      </c>
      <c r="E599" s="12" t="b">
        <v>0</v>
      </c>
      <c r="F599" s="12">
        <v>5</v>
      </c>
      <c r="G599" s="12">
        <v>2</v>
      </c>
      <c r="H599" s="12">
        <v>0.2</v>
      </c>
      <c r="I599" s="12">
        <v>0.21210000000000001</v>
      </c>
      <c r="J599" s="12">
        <v>0.75</v>
      </c>
      <c r="K599" s="12">
        <v>0.16420000000000001</v>
      </c>
      <c r="L599" s="12">
        <v>0</v>
      </c>
      <c r="M599" s="12">
        <v>2</v>
      </c>
      <c r="N599" s="12">
        <v>2</v>
      </c>
      <c r="O599" s="12" t="str">
        <f>VLOOKUP(G599,calculate_field!$B$2:$C$5,2,FALSE)</f>
        <v xml:space="preserve">Mist / cloudy </v>
      </c>
      <c r="P599" s="12" t="str">
        <f t="shared" si="65"/>
        <v>Friday</v>
      </c>
      <c r="Q599" s="12" t="str">
        <f t="shared" si="66"/>
        <v>Weekday</v>
      </c>
      <c r="R599" s="12" t="str">
        <f t="shared" si="67"/>
        <v>Night</v>
      </c>
      <c r="S599" s="28" t="str">
        <f>INDEX(calculate_field!$F$2:$F$4, MATCH(H599, calculate_field!$E$2:$E$4, 1))</f>
        <v>Mild</v>
      </c>
      <c r="T599" s="33">
        <f t="shared" si="68"/>
        <v>50.75</v>
      </c>
      <c r="U599" s="33">
        <f t="shared" si="69"/>
        <v>43.422344478390386</v>
      </c>
      <c r="V599" s="33">
        <f t="shared" si="70"/>
        <v>-0.93221408247824766</v>
      </c>
      <c r="W599" s="12" t="b">
        <f t="shared" si="71"/>
        <v>0</v>
      </c>
    </row>
    <row r="600" spans="1:23">
      <c r="A600" s="26">
        <v>599</v>
      </c>
      <c r="B600" s="27">
        <v>40571</v>
      </c>
      <c r="C600" s="12">
        <v>1</v>
      </c>
      <c r="D600" s="12">
        <v>3</v>
      </c>
      <c r="E600" s="12" t="b">
        <v>0</v>
      </c>
      <c r="F600" s="12">
        <v>5</v>
      </c>
      <c r="G600" s="12">
        <v>2</v>
      </c>
      <c r="H600" s="12">
        <v>0.2</v>
      </c>
      <c r="I600" s="12">
        <v>0.2273</v>
      </c>
      <c r="J600" s="12">
        <v>0.75</v>
      </c>
      <c r="K600" s="12">
        <v>0.1045</v>
      </c>
      <c r="L600" s="12">
        <v>1</v>
      </c>
      <c r="M600" s="12">
        <v>0</v>
      </c>
      <c r="N600" s="12">
        <v>1</v>
      </c>
      <c r="O600" s="12" t="str">
        <f>VLOOKUP(G600,calculate_field!$B$2:$C$5,2,FALSE)</f>
        <v xml:space="preserve">Mist / cloudy </v>
      </c>
      <c r="P600" s="12" t="str">
        <f t="shared" si="65"/>
        <v>Friday</v>
      </c>
      <c r="Q600" s="12" t="str">
        <f t="shared" si="66"/>
        <v>Weekday</v>
      </c>
      <c r="R600" s="12" t="str">
        <f t="shared" si="67"/>
        <v>Night</v>
      </c>
      <c r="S600" s="28" t="str">
        <f>INDEX(calculate_field!$F$2:$F$4, MATCH(H600, calculate_field!$E$2:$E$4, 1))</f>
        <v>Mild</v>
      </c>
      <c r="T600" s="33">
        <f t="shared" si="68"/>
        <v>51</v>
      </c>
      <c r="U600" s="33">
        <f t="shared" si="69"/>
        <v>43.145859794322149</v>
      </c>
      <c r="V600" s="33">
        <f t="shared" si="70"/>
        <v>-1.1186781440417455</v>
      </c>
      <c r="W600" s="12" t="b">
        <f t="shared" si="71"/>
        <v>0</v>
      </c>
    </row>
    <row r="601" spans="1:23">
      <c r="A601" s="26">
        <v>600</v>
      </c>
      <c r="B601" s="27">
        <v>40571</v>
      </c>
      <c r="C601" s="12">
        <v>1</v>
      </c>
      <c r="D601" s="12">
        <v>5</v>
      </c>
      <c r="E601" s="12" t="b">
        <v>0</v>
      </c>
      <c r="F601" s="12">
        <v>5</v>
      </c>
      <c r="G601" s="12">
        <v>2</v>
      </c>
      <c r="H601" s="12">
        <v>0.18</v>
      </c>
      <c r="I601" s="12">
        <v>0.21210000000000001</v>
      </c>
      <c r="J601" s="12">
        <v>0.8</v>
      </c>
      <c r="K601" s="12">
        <v>0.1045</v>
      </c>
      <c r="L601" s="12">
        <v>0</v>
      </c>
      <c r="M601" s="12">
        <v>4</v>
      </c>
      <c r="N601" s="12">
        <v>4</v>
      </c>
      <c r="O601" s="12" t="str">
        <f>VLOOKUP(G601,calculate_field!$B$2:$C$5,2,FALSE)</f>
        <v xml:space="preserve">Mist / cloudy </v>
      </c>
      <c r="P601" s="12" t="str">
        <f t="shared" si="65"/>
        <v>Friday</v>
      </c>
      <c r="Q601" s="12" t="str">
        <f t="shared" si="66"/>
        <v>Weekday</v>
      </c>
      <c r="R601" s="12" t="str">
        <f t="shared" si="67"/>
        <v>Night</v>
      </c>
      <c r="S601" s="28" t="str">
        <f>INDEX(calculate_field!$F$2:$F$4, MATCH(H601, calculate_field!$E$2:$E$4, 1))</f>
        <v>Cold</v>
      </c>
      <c r="T601" s="33">
        <f t="shared" si="68"/>
        <v>51.083333333333336</v>
      </c>
      <c r="U601" s="33">
        <f t="shared" si="69"/>
        <v>43.046907344013206</v>
      </c>
      <c r="V601" s="33">
        <f t="shared" si="70"/>
        <v>-1.2421978135166793</v>
      </c>
      <c r="W601" s="12" t="b">
        <f t="shared" si="71"/>
        <v>0</v>
      </c>
    </row>
    <row r="602" spans="1:23">
      <c r="A602" s="26">
        <v>601</v>
      </c>
      <c r="B602" s="27">
        <v>40571</v>
      </c>
      <c r="C602" s="12">
        <v>1</v>
      </c>
      <c r="D602" s="12">
        <v>6</v>
      </c>
      <c r="E602" s="12" t="b">
        <v>0</v>
      </c>
      <c r="F602" s="12">
        <v>5</v>
      </c>
      <c r="G602" s="12">
        <v>2</v>
      </c>
      <c r="H602" s="12">
        <v>0.18</v>
      </c>
      <c r="I602" s="12">
        <v>0.19700000000000001</v>
      </c>
      <c r="J602" s="12">
        <v>0.8</v>
      </c>
      <c r="K602" s="12">
        <v>0.1343</v>
      </c>
      <c r="L602" s="12">
        <v>0</v>
      </c>
      <c r="M602" s="12">
        <v>16</v>
      </c>
      <c r="N602" s="12">
        <v>16</v>
      </c>
      <c r="O602" s="12" t="str">
        <f>VLOOKUP(G602,calculate_field!$B$2:$C$5,2,FALSE)</f>
        <v xml:space="preserve">Mist / cloudy </v>
      </c>
      <c r="P602" s="12" t="str">
        <f t="shared" si="65"/>
        <v>Friday</v>
      </c>
      <c r="Q602" s="12" t="str">
        <f t="shared" si="66"/>
        <v>Weekday</v>
      </c>
      <c r="R602" s="12" t="str">
        <f t="shared" si="67"/>
        <v>Morning</v>
      </c>
      <c r="S602" s="28" t="str">
        <f>INDEX(calculate_field!$F$2:$F$4, MATCH(H602, calculate_field!$E$2:$E$4, 1))</f>
        <v>Cold</v>
      </c>
      <c r="T602" s="33">
        <f t="shared" si="68"/>
        <v>51</v>
      </c>
      <c r="U602" s="33">
        <f t="shared" si="69"/>
        <v>43.143844338999578</v>
      </c>
      <c r="V602" s="33">
        <f t="shared" si="70"/>
        <v>-1.2709468468092544</v>
      </c>
      <c r="W602" s="12" t="b">
        <f t="shared" si="71"/>
        <v>0</v>
      </c>
    </row>
    <row r="603" spans="1:23">
      <c r="A603" s="26">
        <v>602</v>
      </c>
      <c r="B603" s="27">
        <v>40571</v>
      </c>
      <c r="C603" s="12">
        <v>1</v>
      </c>
      <c r="D603" s="12">
        <v>7</v>
      </c>
      <c r="E603" s="12" t="b">
        <v>0</v>
      </c>
      <c r="F603" s="12">
        <v>5</v>
      </c>
      <c r="G603" s="12">
        <v>2</v>
      </c>
      <c r="H603" s="12">
        <v>0.16</v>
      </c>
      <c r="I603" s="12">
        <v>0.19700000000000001</v>
      </c>
      <c r="J603" s="12">
        <v>0.86</v>
      </c>
      <c r="K603" s="12">
        <v>8.9599999999999999E-2</v>
      </c>
      <c r="L603" s="12">
        <v>2</v>
      </c>
      <c r="M603" s="12">
        <v>58</v>
      </c>
      <c r="N603" s="12">
        <v>60</v>
      </c>
      <c r="O603" s="12" t="str">
        <f>VLOOKUP(G603,calculate_field!$B$2:$C$5,2,FALSE)</f>
        <v xml:space="preserve">Mist / cloudy </v>
      </c>
      <c r="P603" s="12" t="str">
        <f t="shared" si="65"/>
        <v>Friday</v>
      </c>
      <c r="Q603" s="12" t="str">
        <f t="shared" si="66"/>
        <v>Weekday</v>
      </c>
      <c r="R603" s="12" t="str">
        <f t="shared" si="67"/>
        <v>Morning</v>
      </c>
      <c r="S603" s="28" t="str">
        <f>INDEX(calculate_field!$F$2:$F$4, MATCH(H603, calculate_field!$E$2:$E$4, 1))</f>
        <v>Cold</v>
      </c>
      <c r="T603" s="33">
        <f t="shared" si="68"/>
        <v>50.541666666666664</v>
      </c>
      <c r="U603" s="33">
        <f t="shared" si="69"/>
        <v>43.587971183390238</v>
      </c>
      <c r="V603" s="33">
        <f t="shared" si="70"/>
        <v>-1.1877655602807928</v>
      </c>
      <c r="W603" s="12" t="b">
        <f t="shared" si="71"/>
        <v>0</v>
      </c>
    </row>
    <row r="604" spans="1:23">
      <c r="A604" s="26">
        <v>603</v>
      </c>
      <c r="B604" s="27">
        <v>40571</v>
      </c>
      <c r="C604" s="12">
        <v>1</v>
      </c>
      <c r="D604" s="12">
        <v>8</v>
      </c>
      <c r="E604" s="12" t="b">
        <v>0</v>
      </c>
      <c r="F604" s="12">
        <v>5</v>
      </c>
      <c r="G604" s="12">
        <v>2</v>
      </c>
      <c r="H604" s="12">
        <v>0.16</v>
      </c>
      <c r="I604" s="12">
        <v>0.19700000000000001</v>
      </c>
      <c r="J604" s="12">
        <v>0.86</v>
      </c>
      <c r="K604" s="12">
        <v>8.9599999999999999E-2</v>
      </c>
      <c r="L604" s="12">
        <v>2</v>
      </c>
      <c r="M604" s="12">
        <v>155</v>
      </c>
      <c r="N604" s="12">
        <v>157</v>
      </c>
      <c r="O604" s="12" t="str">
        <f>VLOOKUP(G604,calculate_field!$B$2:$C$5,2,FALSE)</f>
        <v xml:space="preserve">Mist / cloudy </v>
      </c>
      <c r="P604" s="12" t="str">
        <f t="shared" si="65"/>
        <v>Friday</v>
      </c>
      <c r="Q604" s="12" t="str">
        <f t="shared" si="66"/>
        <v>Weekday</v>
      </c>
      <c r="R604" s="12" t="str">
        <f t="shared" si="67"/>
        <v>Morning</v>
      </c>
      <c r="S604" s="28" t="str">
        <f>INDEX(calculate_field!$F$2:$F$4, MATCH(H604, calculate_field!$E$2:$E$4, 1))</f>
        <v>Cold</v>
      </c>
      <c r="T604" s="33">
        <f t="shared" si="68"/>
        <v>49.458333333333336</v>
      </c>
      <c r="U604" s="33">
        <f t="shared" si="69"/>
        <v>43.665705543134308</v>
      </c>
      <c r="V604" s="33">
        <f t="shared" si="70"/>
        <v>-0.36463238114998892</v>
      </c>
      <c r="W604" s="12" t="b">
        <f t="shared" si="71"/>
        <v>0</v>
      </c>
    </row>
    <row r="605" spans="1:23">
      <c r="A605" s="26">
        <v>604</v>
      </c>
      <c r="B605" s="27">
        <v>40571</v>
      </c>
      <c r="C605" s="12">
        <v>1</v>
      </c>
      <c r="D605" s="12">
        <v>9</v>
      </c>
      <c r="E605" s="12" t="b">
        <v>0</v>
      </c>
      <c r="F605" s="12">
        <v>5</v>
      </c>
      <c r="G605" s="12">
        <v>3</v>
      </c>
      <c r="H605" s="12">
        <v>0.18</v>
      </c>
      <c r="I605" s="12">
        <v>0.21210000000000001</v>
      </c>
      <c r="J605" s="12">
        <v>0.86</v>
      </c>
      <c r="K605" s="12">
        <v>8.9599999999999999E-2</v>
      </c>
      <c r="L605" s="12">
        <v>6</v>
      </c>
      <c r="M605" s="12">
        <v>95</v>
      </c>
      <c r="N605" s="12">
        <v>101</v>
      </c>
      <c r="O605" s="12" t="str">
        <f>VLOOKUP(G605,calculate_field!$B$2:$C$5,2,FALSE)</f>
        <v xml:space="preserve">Light Snow / Rain </v>
      </c>
      <c r="P605" s="12" t="str">
        <f t="shared" si="65"/>
        <v>Friday</v>
      </c>
      <c r="Q605" s="12" t="str">
        <f t="shared" si="66"/>
        <v>Weekday</v>
      </c>
      <c r="R605" s="12" t="str">
        <f t="shared" si="67"/>
        <v>Morning</v>
      </c>
      <c r="S605" s="28" t="str">
        <f>INDEX(calculate_field!$F$2:$F$4, MATCH(H605, calculate_field!$E$2:$E$4, 1))</f>
        <v>Cold</v>
      </c>
      <c r="T605" s="33">
        <f t="shared" si="68"/>
        <v>44.333333333333336</v>
      </c>
      <c r="U605" s="33">
        <f t="shared" si="69"/>
        <v>37.240308534035336</v>
      </c>
      <c r="V605" s="33">
        <f t="shared" si="70"/>
        <v>-0.37005644787807879</v>
      </c>
      <c r="W605" s="12" t="b">
        <f t="shared" si="71"/>
        <v>0</v>
      </c>
    </row>
    <row r="606" spans="1:23">
      <c r="A606" s="26">
        <v>605</v>
      </c>
      <c r="B606" s="27">
        <v>40571</v>
      </c>
      <c r="C606" s="12">
        <v>1</v>
      </c>
      <c r="D606" s="12">
        <v>10</v>
      </c>
      <c r="E606" s="12" t="b">
        <v>0</v>
      </c>
      <c r="F606" s="12">
        <v>5</v>
      </c>
      <c r="G606" s="12">
        <v>3</v>
      </c>
      <c r="H606" s="12">
        <v>0.18</v>
      </c>
      <c r="I606" s="12">
        <v>0.21210000000000001</v>
      </c>
      <c r="J606" s="12">
        <v>0.86</v>
      </c>
      <c r="K606" s="12">
        <v>0.1045</v>
      </c>
      <c r="L606" s="12">
        <v>0</v>
      </c>
      <c r="M606" s="12">
        <v>49</v>
      </c>
      <c r="N606" s="12">
        <v>49</v>
      </c>
      <c r="O606" s="12" t="str">
        <f>VLOOKUP(G606,calculate_field!$B$2:$C$5,2,FALSE)</f>
        <v xml:space="preserve">Light Snow / Rain </v>
      </c>
      <c r="P606" s="12" t="str">
        <f t="shared" si="65"/>
        <v>Friday</v>
      </c>
      <c r="Q606" s="12" t="str">
        <f t="shared" si="66"/>
        <v>Weekday</v>
      </c>
      <c r="R606" s="12" t="str">
        <f t="shared" si="67"/>
        <v>Morning</v>
      </c>
      <c r="S606" s="28" t="str">
        <f>INDEX(calculate_field!$F$2:$F$4, MATCH(H606, calculate_field!$E$2:$E$4, 1))</f>
        <v>Cold</v>
      </c>
      <c r="T606" s="33">
        <f t="shared" si="68"/>
        <v>42.416666666666664</v>
      </c>
      <c r="U606" s="33">
        <f t="shared" si="69"/>
        <v>35.331863518786342</v>
      </c>
      <c r="V606" s="33">
        <f t="shared" si="70"/>
        <v>0.20467074435718774</v>
      </c>
      <c r="W606" s="12" t="b">
        <f t="shared" si="71"/>
        <v>0</v>
      </c>
    </row>
    <row r="607" spans="1:23">
      <c r="A607" s="26">
        <v>606</v>
      </c>
      <c r="B607" s="27">
        <v>40571</v>
      </c>
      <c r="C607" s="12">
        <v>1</v>
      </c>
      <c r="D607" s="12">
        <v>11</v>
      </c>
      <c r="E607" s="12" t="b">
        <v>0</v>
      </c>
      <c r="F607" s="12">
        <v>5</v>
      </c>
      <c r="G607" s="12">
        <v>3</v>
      </c>
      <c r="H607" s="12">
        <v>0.18</v>
      </c>
      <c r="I607" s="12">
        <v>0.21210000000000001</v>
      </c>
      <c r="J607" s="12">
        <v>0.93</v>
      </c>
      <c r="K607" s="12">
        <v>0.1045</v>
      </c>
      <c r="L607" s="12">
        <v>0</v>
      </c>
      <c r="M607" s="12">
        <v>30</v>
      </c>
      <c r="N607" s="12">
        <v>30</v>
      </c>
      <c r="O607" s="12" t="str">
        <f>VLOOKUP(G607,calculate_field!$B$2:$C$5,2,FALSE)</f>
        <v xml:space="preserve">Light Snow / Rain </v>
      </c>
      <c r="P607" s="12" t="str">
        <f t="shared" si="65"/>
        <v>Friday</v>
      </c>
      <c r="Q607" s="12" t="str">
        <f t="shared" si="66"/>
        <v>Weekday</v>
      </c>
      <c r="R607" s="12" t="str">
        <f t="shared" si="67"/>
        <v>Morning</v>
      </c>
      <c r="S607" s="28" t="str">
        <f>INDEX(calculate_field!$F$2:$F$4, MATCH(H607, calculate_field!$E$2:$E$4, 1))</f>
        <v>Cold</v>
      </c>
      <c r="T607" s="33">
        <f t="shared" si="68"/>
        <v>43.041666666666664</v>
      </c>
      <c r="U607" s="33">
        <f t="shared" si="69"/>
        <v>35.585144881423261</v>
      </c>
      <c r="V607" s="33">
        <f t="shared" si="70"/>
        <v>0.46081135829101438</v>
      </c>
      <c r="W607" s="12" t="b">
        <f t="shared" si="71"/>
        <v>0</v>
      </c>
    </row>
    <row r="608" spans="1:23">
      <c r="A608" s="26">
        <v>607</v>
      </c>
      <c r="B608" s="27">
        <v>40571</v>
      </c>
      <c r="C608" s="12">
        <v>1</v>
      </c>
      <c r="D608" s="12">
        <v>12</v>
      </c>
      <c r="E608" s="12" t="b">
        <v>0</v>
      </c>
      <c r="F608" s="12">
        <v>5</v>
      </c>
      <c r="G608" s="12">
        <v>3</v>
      </c>
      <c r="H608" s="12">
        <v>0.18</v>
      </c>
      <c r="I608" s="12">
        <v>0.21210000000000001</v>
      </c>
      <c r="J608" s="12">
        <v>0.93</v>
      </c>
      <c r="K608" s="12">
        <v>0.1045</v>
      </c>
      <c r="L608" s="12">
        <v>1</v>
      </c>
      <c r="M608" s="12">
        <v>28</v>
      </c>
      <c r="N608" s="12">
        <v>29</v>
      </c>
      <c r="O608" s="12" t="str">
        <f>VLOOKUP(G608,calculate_field!$B$2:$C$5,2,FALSE)</f>
        <v xml:space="preserve">Light Snow / Rain </v>
      </c>
      <c r="P608" s="12" t="str">
        <f t="shared" si="65"/>
        <v>Friday</v>
      </c>
      <c r="Q608" s="12" t="str">
        <f t="shared" si="66"/>
        <v>Weekday</v>
      </c>
      <c r="R608" s="12" t="str">
        <f t="shared" si="67"/>
        <v>Afternoon</v>
      </c>
      <c r="S608" s="28" t="str">
        <f>INDEX(calculate_field!$F$2:$F$4, MATCH(H608, calculate_field!$E$2:$E$4, 1))</f>
        <v>Cold</v>
      </c>
      <c r="T608" s="33">
        <f t="shared" si="68"/>
        <v>45.041666666666664</v>
      </c>
      <c r="U608" s="33">
        <f t="shared" si="69"/>
        <v>36.164454283497605</v>
      </c>
      <c r="V608" s="33">
        <f t="shared" si="70"/>
        <v>0.79730366865904123</v>
      </c>
      <c r="W608" s="12" t="b">
        <f t="shared" si="71"/>
        <v>0</v>
      </c>
    </row>
    <row r="609" spans="1:23">
      <c r="A609" s="26">
        <v>608</v>
      </c>
      <c r="B609" s="27">
        <v>40571</v>
      </c>
      <c r="C609" s="12">
        <v>1</v>
      </c>
      <c r="D609" s="12">
        <v>13</v>
      </c>
      <c r="E609" s="12" t="b">
        <v>0</v>
      </c>
      <c r="F609" s="12">
        <v>5</v>
      </c>
      <c r="G609" s="12">
        <v>3</v>
      </c>
      <c r="H609" s="12">
        <v>0.18</v>
      </c>
      <c r="I609" s="12">
        <v>0.21210000000000001</v>
      </c>
      <c r="J609" s="12">
        <v>0.93</v>
      </c>
      <c r="K609" s="12">
        <v>0.1045</v>
      </c>
      <c r="L609" s="12">
        <v>0</v>
      </c>
      <c r="M609" s="12">
        <v>31</v>
      </c>
      <c r="N609" s="12">
        <v>31</v>
      </c>
      <c r="O609" s="12" t="str">
        <f>VLOOKUP(G609,calculate_field!$B$2:$C$5,2,FALSE)</f>
        <v xml:space="preserve">Light Snow / Rain </v>
      </c>
      <c r="P609" s="12" t="str">
        <f t="shared" si="65"/>
        <v>Friday</v>
      </c>
      <c r="Q609" s="12" t="str">
        <f t="shared" si="66"/>
        <v>Weekday</v>
      </c>
      <c r="R609" s="12" t="str">
        <f t="shared" si="67"/>
        <v>Afternoon</v>
      </c>
      <c r="S609" s="28" t="str">
        <f>INDEX(calculate_field!$F$2:$F$4, MATCH(H609, calculate_field!$E$2:$E$4, 1))</f>
        <v>Cold</v>
      </c>
      <c r="T609" s="33">
        <f t="shared" si="68"/>
        <v>46.541666666666664</v>
      </c>
      <c r="U609" s="33">
        <f t="shared" si="69"/>
        <v>36.216713853120922</v>
      </c>
      <c r="V609" s="33">
        <f t="shared" si="70"/>
        <v>0.42392054610211527</v>
      </c>
      <c r="W609" s="12" t="b">
        <f t="shared" si="71"/>
        <v>0</v>
      </c>
    </row>
    <row r="610" spans="1:23">
      <c r="A610" s="26">
        <v>609</v>
      </c>
      <c r="B610" s="27">
        <v>40571</v>
      </c>
      <c r="C610" s="12">
        <v>1</v>
      </c>
      <c r="D610" s="12">
        <v>14</v>
      </c>
      <c r="E610" s="12" t="b">
        <v>0</v>
      </c>
      <c r="F610" s="12">
        <v>5</v>
      </c>
      <c r="G610" s="12">
        <v>3</v>
      </c>
      <c r="H610" s="12">
        <v>0.22</v>
      </c>
      <c r="I610" s="12">
        <v>0.2727</v>
      </c>
      <c r="J610" s="12">
        <v>0.8</v>
      </c>
      <c r="K610" s="12">
        <v>0</v>
      </c>
      <c r="L610" s="12">
        <v>2</v>
      </c>
      <c r="M610" s="12">
        <v>36</v>
      </c>
      <c r="N610" s="12">
        <v>38</v>
      </c>
      <c r="O610" s="12" t="str">
        <f>VLOOKUP(G610,calculate_field!$B$2:$C$5,2,FALSE)</f>
        <v xml:space="preserve">Light Snow / Rain </v>
      </c>
      <c r="P610" s="12" t="str">
        <f t="shared" si="65"/>
        <v>Friday</v>
      </c>
      <c r="Q610" s="12" t="str">
        <f t="shared" si="66"/>
        <v>Weekday</v>
      </c>
      <c r="R610" s="12" t="str">
        <f t="shared" si="67"/>
        <v>Afternoon</v>
      </c>
      <c r="S610" s="28" t="str">
        <f>INDEX(calculate_field!$F$2:$F$4, MATCH(H610, calculate_field!$E$2:$E$4, 1))</f>
        <v>Mild</v>
      </c>
      <c r="T610" s="33">
        <f t="shared" si="68"/>
        <v>49.375</v>
      </c>
      <c r="U610" s="33">
        <f t="shared" si="69"/>
        <v>37.582156381198637</v>
      </c>
      <c r="V610" s="33">
        <f t="shared" si="70"/>
        <v>1.2082667851545188</v>
      </c>
      <c r="W610" s="12" t="b">
        <f t="shared" si="71"/>
        <v>0</v>
      </c>
    </row>
    <row r="611" spans="1:23">
      <c r="A611" s="26">
        <v>610</v>
      </c>
      <c r="B611" s="27">
        <v>40571</v>
      </c>
      <c r="C611" s="12">
        <v>1</v>
      </c>
      <c r="D611" s="12">
        <v>15</v>
      </c>
      <c r="E611" s="12" t="b">
        <v>0</v>
      </c>
      <c r="F611" s="12">
        <v>5</v>
      </c>
      <c r="G611" s="12">
        <v>2</v>
      </c>
      <c r="H611" s="12">
        <v>0.2</v>
      </c>
      <c r="I611" s="12">
        <v>0.2576</v>
      </c>
      <c r="J611" s="12">
        <v>0.86</v>
      </c>
      <c r="K611" s="12">
        <v>0</v>
      </c>
      <c r="L611" s="12">
        <v>1</v>
      </c>
      <c r="M611" s="12">
        <v>40</v>
      </c>
      <c r="N611" s="12">
        <v>41</v>
      </c>
      <c r="O611" s="12" t="str">
        <f>VLOOKUP(G611,calculate_field!$B$2:$C$5,2,FALSE)</f>
        <v xml:space="preserve">Mist / cloudy </v>
      </c>
      <c r="P611" s="12" t="str">
        <f t="shared" si="65"/>
        <v>Friday</v>
      </c>
      <c r="Q611" s="12" t="str">
        <f t="shared" si="66"/>
        <v>Weekday</v>
      </c>
      <c r="R611" s="12" t="str">
        <f t="shared" si="67"/>
        <v>Afternoon</v>
      </c>
      <c r="S611" s="28" t="str">
        <f>INDEX(calculate_field!$F$2:$F$4, MATCH(H611, calculate_field!$E$2:$E$4, 1))</f>
        <v>Mild</v>
      </c>
      <c r="T611" s="33">
        <f t="shared" si="68"/>
        <v>52.791666666666664</v>
      </c>
      <c r="U611" s="33">
        <f t="shared" si="69"/>
        <v>40.143199290482094</v>
      </c>
      <c r="V611" s="33">
        <f t="shared" si="70"/>
        <v>1.71344438142278</v>
      </c>
      <c r="W611" s="12" t="b">
        <f t="shared" si="71"/>
        <v>0</v>
      </c>
    </row>
    <row r="612" spans="1:23">
      <c r="A612" s="26">
        <v>611</v>
      </c>
      <c r="B612" s="27">
        <v>40571</v>
      </c>
      <c r="C612" s="12">
        <v>1</v>
      </c>
      <c r="D612" s="12">
        <v>16</v>
      </c>
      <c r="E612" s="12" t="b">
        <v>0</v>
      </c>
      <c r="F612" s="12">
        <v>5</v>
      </c>
      <c r="G612" s="12">
        <v>1</v>
      </c>
      <c r="H612" s="12">
        <v>0.22</v>
      </c>
      <c r="I612" s="12">
        <v>0.2727</v>
      </c>
      <c r="J612" s="12">
        <v>0.8</v>
      </c>
      <c r="K612" s="12">
        <v>0</v>
      </c>
      <c r="L612" s="12">
        <v>10</v>
      </c>
      <c r="M612" s="12">
        <v>70</v>
      </c>
      <c r="N612" s="12">
        <v>80</v>
      </c>
      <c r="O612" s="12" t="str">
        <f>VLOOKUP(G612,calculate_field!$B$2:$C$5,2,FALSE)</f>
        <v>Clear/Partly Cloudy</v>
      </c>
      <c r="P612" s="12" t="str">
        <f t="shared" si="65"/>
        <v>Friday</v>
      </c>
      <c r="Q612" s="12" t="str">
        <f t="shared" si="66"/>
        <v>Weekday</v>
      </c>
      <c r="R612" s="12" t="str">
        <f t="shared" si="67"/>
        <v>Afternoon</v>
      </c>
      <c r="S612" s="28" t="str">
        <f>INDEX(calculate_field!$F$2:$F$4, MATCH(H612, calculate_field!$E$2:$E$4, 1))</f>
        <v>Mild</v>
      </c>
      <c r="T612" s="33">
        <f t="shared" si="68"/>
        <v>55.541666666666664</v>
      </c>
      <c r="U612" s="33">
        <f t="shared" si="69"/>
        <v>41.536761263149586</v>
      </c>
      <c r="V612" s="33">
        <f t="shared" si="70"/>
        <v>1.3721365554969434</v>
      </c>
      <c r="W612" s="12" t="b">
        <f t="shared" si="71"/>
        <v>0</v>
      </c>
    </row>
    <row r="613" spans="1:23">
      <c r="A613" s="26">
        <v>612</v>
      </c>
      <c r="B613" s="27">
        <v>40571</v>
      </c>
      <c r="C613" s="12">
        <v>1</v>
      </c>
      <c r="D613" s="12">
        <v>17</v>
      </c>
      <c r="E613" s="12" t="b">
        <v>0</v>
      </c>
      <c r="F613" s="12">
        <v>5</v>
      </c>
      <c r="G613" s="12">
        <v>1</v>
      </c>
      <c r="H613" s="12">
        <v>0.24</v>
      </c>
      <c r="I613" s="12">
        <v>0.2424</v>
      </c>
      <c r="J613" s="12">
        <v>0.75</v>
      </c>
      <c r="K613" s="12">
        <v>0.1343</v>
      </c>
      <c r="L613" s="12">
        <v>2</v>
      </c>
      <c r="M613" s="12">
        <v>147</v>
      </c>
      <c r="N613" s="12">
        <v>149</v>
      </c>
      <c r="O613" s="12" t="str">
        <f>VLOOKUP(G613,calculate_field!$B$2:$C$5,2,FALSE)</f>
        <v>Clear/Partly Cloudy</v>
      </c>
      <c r="P613" s="12" t="str">
        <f t="shared" si="65"/>
        <v>Friday</v>
      </c>
      <c r="Q613" s="12" t="str">
        <f t="shared" si="66"/>
        <v>Weekday</v>
      </c>
      <c r="R613" s="12" t="str">
        <f t="shared" si="67"/>
        <v>Evening</v>
      </c>
      <c r="S613" s="28" t="str">
        <f>INDEX(calculate_field!$F$2:$F$4, MATCH(H613, calculate_field!$E$2:$E$4, 1))</f>
        <v>Mild</v>
      </c>
      <c r="T613" s="33">
        <f t="shared" si="68"/>
        <v>56</v>
      </c>
      <c r="U613" s="33">
        <f t="shared" si="69"/>
        <v>41.877668636575059</v>
      </c>
      <c r="V613" s="33">
        <f t="shared" si="70"/>
        <v>1.0346217334880863</v>
      </c>
      <c r="W613" s="12" t="b">
        <f t="shared" si="71"/>
        <v>0</v>
      </c>
    </row>
    <row r="614" spans="1:23">
      <c r="A614" s="26">
        <v>613</v>
      </c>
      <c r="B614" s="27">
        <v>40571</v>
      </c>
      <c r="C614" s="12">
        <v>1</v>
      </c>
      <c r="D614" s="12">
        <v>18</v>
      </c>
      <c r="E614" s="12" t="b">
        <v>0</v>
      </c>
      <c r="F614" s="12">
        <v>5</v>
      </c>
      <c r="G614" s="12">
        <v>1</v>
      </c>
      <c r="H614" s="12">
        <v>0.24</v>
      </c>
      <c r="I614" s="12">
        <v>0.2273</v>
      </c>
      <c r="J614" s="12">
        <v>0.75</v>
      </c>
      <c r="K614" s="12">
        <v>0.19400000000000001</v>
      </c>
      <c r="L614" s="12">
        <v>2</v>
      </c>
      <c r="M614" s="12">
        <v>107</v>
      </c>
      <c r="N614" s="12">
        <v>109</v>
      </c>
      <c r="O614" s="12" t="str">
        <f>VLOOKUP(G614,calculate_field!$B$2:$C$5,2,FALSE)</f>
        <v>Clear/Partly Cloudy</v>
      </c>
      <c r="P614" s="12" t="str">
        <f t="shared" si="65"/>
        <v>Friday</v>
      </c>
      <c r="Q614" s="12" t="str">
        <f t="shared" si="66"/>
        <v>Weekday</v>
      </c>
      <c r="R614" s="12" t="str">
        <f t="shared" si="67"/>
        <v>Evening</v>
      </c>
      <c r="S614" s="28" t="str">
        <f>INDEX(calculate_field!$F$2:$F$4, MATCH(H614, calculate_field!$E$2:$E$4, 1))</f>
        <v>Mild</v>
      </c>
      <c r="T614" s="33">
        <f t="shared" si="68"/>
        <v>52.625</v>
      </c>
      <c r="U614" s="33">
        <f t="shared" si="69"/>
        <v>37.041472057329379</v>
      </c>
      <c r="V614" s="33">
        <f t="shared" si="70"/>
        <v>0.47175636204832472</v>
      </c>
      <c r="W614" s="12" t="b">
        <f t="shared" si="71"/>
        <v>0</v>
      </c>
    </row>
    <row r="615" spans="1:23">
      <c r="A615" s="26">
        <v>614</v>
      </c>
      <c r="B615" s="27">
        <v>40571</v>
      </c>
      <c r="C615" s="12">
        <v>1</v>
      </c>
      <c r="D615" s="12">
        <v>19</v>
      </c>
      <c r="E615" s="12" t="b">
        <v>0</v>
      </c>
      <c r="F615" s="12">
        <v>5</v>
      </c>
      <c r="G615" s="12">
        <v>2</v>
      </c>
      <c r="H615" s="12">
        <v>0.24</v>
      </c>
      <c r="I615" s="12">
        <v>0.2424</v>
      </c>
      <c r="J615" s="12">
        <v>0.75</v>
      </c>
      <c r="K615" s="12">
        <v>0.1343</v>
      </c>
      <c r="L615" s="12">
        <v>5</v>
      </c>
      <c r="M615" s="12">
        <v>84</v>
      </c>
      <c r="N615" s="12">
        <v>89</v>
      </c>
      <c r="O615" s="12" t="str">
        <f>VLOOKUP(G615,calculate_field!$B$2:$C$5,2,FALSE)</f>
        <v xml:space="preserve">Mist / cloudy </v>
      </c>
      <c r="P615" s="12" t="str">
        <f t="shared" si="65"/>
        <v>Friday</v>
      </c>
      <c r="Q615" s="12" t="str">
        <f t="shared" si="66"/>
        <v>Weekday</v>
      </c>
      <c r="R615" s="12" t="str">
        <f t="shared" si="67"/>
        <v>Evening</v>
      </c>
      <c r="S615" s="28" t="str">
        <f>INDEX(calculate_field!$F$2:$F$4, MATCH(H615, calculate_field!$E$2:$E$4, 1))</f>
        <v>Mild</v>
      </c>
      <c r="T615" s="33">
        <f t="shared" si="68"/>
        <v>50.5</v>
      </c>
      <c r="U615" s="33">
        <f t="shared" si="69"/>
        <v>35.077553828747746</v>
      </c>
      <c r="V615" s="33">
        <f t="shared" si="70"/>
        <v>0.22020612232689604</v>
      </c>
      <c r="W615" s="12" t="b">
        <f t="shared" si="71"/>
        <v>0</v>
      </c>
    </row>
    <row r="616" spans="1:23">
      <c r="A616" s="26">
        <v>615</v>
      </c>
      <c r="B616" s="27">
        <v>40571</v>
      </c>
      <c r="C616" s="12">
        <v>1</v>
      </c>
      <c r="D616" s="12">
        <v>20</v>
      </c>
      <c r="E616" s="12" t="b">
        <v>0</v>
      </c>
      <c r="F616" s="12">
        <v>5</v>
      </c>
      <c r="G616" s="12">
        <v>2</v>
      </c>
      <c r="H616" s="12">
        <v>0.24</v>
      </c>
      <c r="I616" s="12">
        <v>0.2273</v>
      </c>
      <c r="J616" s="12">
        <v>0.7</v>
      </c>
      <c r="K616" s="12">
        <v>0.19400000000000001</v>
      </c>
      <c r="L616" s="12">
        <v>1</v>
      </c>
      <c r="M616" s="12">
        <v>61</v>
      </c>
      <c r="N616" s="12">
        <v>62</v>
      </c>
      <c r="O616" s="12" t="str">
        <f>VLOOKUP(G616,calculate_field!$B$2:$C$5,2,FALSE)</f>
        <v xml:space="preserve">Mist / cloudy </v>
      </c>
      <c r="P616" s="12" t="str">
        <f t="shared" si="65"/>
        <v>Friday</v>
      </c>
      <c r="Q616" s="12" t="str">
        <f t="shared" si="66"/>
        <v>Weekday</v>
      </c>
      <c r="R616" s="12" t="str">
        <f t="shared" si="67"/>
        <v>Evening</v>
      </c>
      <c r="S616" s="28" t="str">
        <f>INDEX(calculate_field!$F$2:$F$4, MATCH(H616, calculate_field!$E$2:$E$4, 1))</f>
        <v>Mild</v>
      </c>
      <c r="T616" s="33">
        <f t="shared" si="68"/>
        <v>48.583333333333336</v>
      </c>
      <c r="U616" s="33">
        <f t="shared" si="69"/>
        <v>34.126257475371695</v>
      </c>
      <c r="V616" s="33">
        <f t="shared" si="70"/>
        <v>-0.15380303837408221</v>
      </c>
      <c r="W616" s="12" t="b">
        <f t="shared" si="71"/>
        <v>0</v>
      </c>
    </row>
    <row r="617" spans="1:23">
      <c r="A617" s="26">
        <v>616</v>
      </c>
      <c r="B617" s="27">
        <v>40571</v>
      </c>
      <c r="C617" s="12">
        <v>1</v>
      </c>
      <c r="D617" s="12">
        <v>21</v>
      </c>
      <c r="E617" s="12" t="b">
        <v>0</v>
      </c>
      <c r="F617" s="12">
        <v>5</v>
      </c>
      <c r="G617" s="12">
        <v>2</v>
      </c>
      <c r="H617" s="12">
        <v>0.22</v>
      </c>
      <c r="I617" s="12">
        <v>0.2273</v>
      </c>
      <c r="J617" s="12">
        <v>0.75</v>
      </c>
      <c r="K617" s="12">
        <v>0.1343</v>
      </c>
      <c r="L617" s="12">
        <v>1</v>
      </c>
      <c r="M617" s="12">
        <v>57</v>
      </c>
      <c r="N617" s="12">
        <v>58</v>
      </c>
      <c r="O617" s="12" t="str">
        <f>VLOOKUP(G617,calculate_field!$B$2:$C$5,2,FALSE)</f>
        <v xml:space="preserve">Mist / cloudy </v>
      </c>
      <c r="P617" s="12" t="str">
        <f t="shared" si="65"/>
        <v>Friday</v>
      </c>
      <c r="Q617" s="12" t="str">
        <f t="shared" si="66"/>
        <v>Weekday</v>
      </c>
      <c r="R617" s="12" t="str">
        <f t="shared" si="67"/>
        <v>Night</v>
      </c>
      <c r="S617" s="28" t="str">
        <f>INDEX(calculate_field!$F$2:$F$4, MATCH(H617, calculate_field!$E$2:$E$4, 1))</f>
        <v>Mild</v>
      </c>
      <c r="T617" s="33">
        <f t="shared" si="68"/>
        <v>47.5</v>
      </c>
      <c r="U617" s="33">
        <f t="shared" si="69"/>
        <v>34.094497834822199</v>
      </c>
      <c r="V617" s="33">
        <f t="shared" si="70"/>
        <v>-0.32238346782632599</v>
      </c>
      <c r="W617" s="12" t="b">
        <f t="shared" si="71"/>
        <v>0</v>
      </c>
    </row>
    <row r="618" spans="1:23">
      <c r="A618" s="26">
        <v>617</v>
      </c>
      <c r="B618" s="27">
        <v>40571</v>
      </c>
      <c r="C618" s="12">
        <v>1</v>
      </c>
      <c r="D618" s="12">
        <v>22</v>
      </c>
      <c r="E618" s="12" t="b">
        <v>0</v>
      </c>
      <c r="F618" s="12">
        <v>5</v>
      </c>
      <c r="G618" s="12">
        <v>1</v>
      </c>
      <c r="H618" s="12">
        <v>0.24</v>
      </c>
      <c r="I618" s="12">
        <v>0.21210000000000001</v>
      </c>
      <c r="J618" s="12">
        <v>0.65</v>
      </c>
      <c r="K618" s="12">
        <v>0.35820000000000002</v>
      </c>
      <c r="L618" s="12">
        <v>0</v>
      </c>
      <c r="M618" s="12">
        <v>26</v>
      </c>
      <c r="N618" s="12">
        <v>26</v>
      </c>
      <c r="O618" s="12" t="str">
        <f>VLOOKUP(G618,calculate_field!$B$2:$C$5,2,FALSE)</f>
        <v>Clear/Partly Cloudy</v>
      </c>
      <c r="P618" s="12" t="str">
        <f t="shared" si="65"/>
        <v>Friday</v>
      </c>
      <c r="Q618" s="12" t="str">
        <f t="shared" si="66"/>
        <v>Weekday</v>
      </c>
      <c r="R618" s="12" t="str">
        <f t="shared" si="67"/>
        <v>Night</v>
      </c>
      <c r="S618" s="28" t="str">
        <f>INDEX(calculate_field!$F$2:$F$4, MATCH(H618, calculate_field!$E$2:$E$4, 1))</f>
        <v>Mild</v>
      </c>
      <c r="T618" s="33">
        <f t="shared" si="68"/>
        <v>46.416666666666664</v>
      </c>
      <c r="U618" s="33">
        <f t="shared" si="69"/>
        <v>34.159366487693823</v>
      </c>
      <c r="V618" s="33">
        <f t="shared" si="70"/>
        <v>-0.40849786773281949</v>
      </c>
      <c r="W618" s="12" t="b">
        <f t="shared" si="71"/>
        <v>0</v>
      </c>
    </row>
    <row r="619" spans="1:23">
      <c r="A619" s="26">
        <v>618</v>
      </c>
      <c r="B619" s="27">
        <v>40571</v>
      </c>
      <c r="C619" s="12">
        <v>1</v>
      </c>
      <c r="D619" s="12">
        <v>23</v>
      </c>
      <c r="E619" s="12" t="b">
        <v>0</v>
      </c>
      <c r="F619" s="12">
        <v>5</v>
      </c>
      <c r="G619" s="12">
        <v>1</v>
      </c>
      <c r="H619" s="12">
        <v>0.24</v>
      </c>
      <c r="I619" s="12">
        <v>0.2273</v>
      </c>
      <c r="J619" s="12">
        <v>0.6</v>
      </c>
      <c r="K619" s="12">
        <v>0.22389999999999999</v>
      </c>
      <c r="L619" s="12">
        <v>1</v>
      </c>
      <c r="M619" s="12">
        <v>22</v>
      </c>
      <c r="N619" s="12">
        <v>23</v>
      </c>
      <c r="O619" s="12" t="str">
        <f>VLOOKUP(G619,calculate_field!$B$2:$C$5,2,FALSE)</f>
        <v>Clear/Partly Cloudy</v>
      </c>
      <c r="P619" s="12" t="str">
        <f t="shared" si="65"/>
        <v>Friday</v>
      </c>
      <c r="Q619" s="12" t="str">
        <f t="shared" si="66"/>
        <v>Weekday</v>
      </c>
      <c r="R619" s="12" t="str">
        <f t="shared" si="67"/>
        <v>Night</v>
      </c>
      <c r="S619" s="28" t="str">
        <f>INDEX(calculate_field!$F$2:$F$4, MATCH(H619, calculate_field!$E$2:$E$4, 1))</f>
        <v>Mild</v>
      </c>
      <c r="T619" s="33">
        <f t="shared" si="68"/>
        <v>46.708333333333336</v>
      </c>
      <c r="U619" s="33">
        <f t="shared" si="69"/>
        <v>34.007005885190225</v>
      </c>
      <c r="V619" s="33">
        <f t="shared" si="70"/>
        <v>-0.36753669665482364</v>
      </c>
      <c r="W619" s="12" t="b">
        <f t="shared" si="71"/>
        <v>1</v>
      </c>
    </row>
    <row r="620" spans="1:23">
      <c r="A620" s="26">
        <v>619</v>
      </c>
      <c r="B620" s="27">
        <v>40572</v>
      </c>
      <c r="C620" s="12">
        <v>1</v>
      </c>
      <c r="D620" s="12">
        <v>0</v>
      </c>
      <c r="E620" s="12" t="b">
        <v>0</v>
      </c>
      <c r="F620" s="12">
        <v>6</v>
      </c>
      <c r="G620" s="12">
        <v>1</v>
      </c>
      <c r="H620" s="12">
        <v>0.22</v>
      </c>
      <c r="I620" s="12">
        <v>0.19700000000000001</v>
      </c>
      <c r="J620" s="12">
        <v>0.64</v>
      </c>
      <c r="K620" s="12">
        <v>0.35820000000000002</v>
      </c>
      <c r="L620" s="12">
        <v>2</v>
      </c>
      <c r="M620" s="12">
        <v>26</v>
      </c>
      <c r="N620" s="12">
        <v>28</v>
      </c>
      <c r="O620" s="12" t="str">
        <f>VLOOKUP(G620,calculate_field!$B$2:$C$5,2,FALSE)</f>
        <v>Clear/Partly Cloudy</v>
      </c>
      <c r="P620" s="12" t="str">
        <f t="shared" si="65"/>
        <v>Saturday</v>
      </c>
      <c r="Q620" s="12" t="str">
        <f t="shared" si="66"/>
        <v>Weekend</v>
      </c>
      <c r="R620" s="12" t="str">
        <f t="shared" si="67"/>
        <v>Night</v>
      </c>
      <c r="S620" s="28" t="str">
        <f>INDEX(calculate_field!$F$2:$F$4, MATCH(H620, calculate_field!$E$2:$E$4, 1))</f>
        <v>Mild</v>
      </c>
      <c r="T620" s="33">
        <f t="shared" si="68"/>
        <v>47.125</v>
      </c>
      <c r="U620" s="33">
        <f t="shared" si="69"/>
        <v>33.76428844079264</v>
      </c>
      <c r="V620" s="33">
        <f t="shared" si="70"/>
        <v>-0.33242673747952795</v>
      </c>
      <c r="W620" s="12" t="b">
        <f t="shared" si="71"/>
        <v>0</v>
      </c>
    </row>
    <row r="621" spans="1:23">
      <c r="A621" s="26">
        <v>620</v>
      </c>
      <c r="B621" s="27">
        <v>40572</v>
      </c>
      <c r="C621" s="12">
        <v>1</v>
      </c>
      <c r="D621" s="12">
        <v>1</v>
      </c>
      <c r="E621" s="12" t="b">
        <v>0</v>
      </c>
      <c r="F621" s="12">
        <v>6</v>
      </c>
      <c r="G621" s="12">
        <v>1</v>
      </c>
      <c r="H621" s="12">
        <v>0.22</v>
      </c>
      <c r="I621" s="12">
        <v>0.2273</v>
      </c>
      <c r="J621" s="12">
        <v>0.64</v>
      </c>
      <c r="K621" s="12">
        <v>0.19400000000000001</v>
      </c>
      <c r="L621" s="12">
        <v>0</v>
      </c>
      <c r="M621" s="12">
        <v>20</v>
      </c>
      <c r="N621" s="12">
        <v>20</v>
      </c>
      <c r="O621" s="12" t="str">
        <f>VLOOKUP(G621,calculate_field!$B$2:$C$5,2,FALSE)</f>
        <v>Clear/Partly Cloudy</v>
      </c>
      <c r="P621" s="12" t="str">
        <f t="shared" si="65"/>
        <v>Saturday</v>
      </c>
      <c r="Q621" s="12" t="str">
        <f t="shared" si="66"/>
        <v>Weekend</v>
      </c>
      <c r="R621" s="12" t="str">
        <f t="shared" si="67"/>
        <v>Night</v>
      </c>
      <c r="S621" s="28" t="str">
        <f>INDEX(calculate_field!$F$2:$F$4, MATCH(H621, calculate_field!$E$2:$E$4, 1))</f>
        <v>Mild</v>
      </c>
      <c r="T621" s="33">
        <f t="shared" si="68"/>
        <v>47.166666666666664</v>
      </c>
      <c r="U621" s="33">
        <f t="shared" si="69"/>
        <v>33.740269665511704</v>
      </c>
      <c r="V621" s="33">
        <f t="shared" si="70"/>
        <v>-0.39976073263652262</v>
      </c>
      <c r="W621" s="12" t="b">
        <f t="shared" si="71"/>
        <v>0</v>
      </c>
    </row>
    <row r="622" spans="1:23">
      <c r="A622" s="26">
        <v>621</v>
      </c>
      <c r="B622" s="27">
        <v>40572</v>
      </c>
      <c r="C622" s="12">
        <v>1</v>
      </c>
      <c r="D622" s="12">
        <v>2</v>
      </c>
      <c r="E622" s="12" t="b">
        <v>0</v>
      </c>
      <c r="F622" s="12">
        <v>6</v>
      </c>
      <c r="G622" s="12">
        <v>1</v>
      </c>
      <c r="H622" s="12">
        <v>0.22</v>
      </c>
      <c r="I622" s="12">
        <v>0.2273</v>
      </c>
      <c r="J622" s="12">
        <v>0.64</v>
      </c>
      <c r="K622" s="12">
        <v>0.16420000000000001</v>
      </c>
      <c r="L622" s="12">
        <v>0</v>
      </c>
      <c r="M622" s="12">
        <v>15</v>
      </c>
      <c r="N622" s="12">
        <v>15</v>
      </c>
      <c r="O622" s="12" t="str">
        <f>VLOOKUP(G622,calculate_field!$B$2:$C$5,2,FALSE)</f>
        <v>Clear/Partly Cloudy</v>
      </c>
      <c r="P622" s="12" t="str">
        <f t="shared" si="65"/>
        <v>Saturday</v>
      </c>
      <c r="Q622" s="12" t="str">
        <f t="shared" si="66"/>
        <v>Weekend</v>
      </c>
      <c r="R622" s="12" t="str">
        <f t="shared" si="67"/>
        <v>Night</v>
      </c>
      <c r="S622" s="28" t="str">
        <f>INDEX(calculate_field!$F$2:$F$4, MATCH(H622, calculate_field!$E$2:$E$4, 1))</f>
        <v>Mild</v>
      </c>
      <c r="T622" s="33">
        <f t="shared" si="68"/>
        <v>46.791666666666664</v>
      </c>
      <c r="U622" s="33">
        <f t="shared" si="69"/>
        <v>34.103396702772393</v>
      </c>
      <c r="V622" s="33">
        <f t="shared" si="70"/>
        <v>-0.80563801659416612</v>
      </c>
      <c r="W622" s="12" t="b">
        <f t="shared" si="71"/>
        <v>0</v>
      </c>
    </row>
    <row r="623" spans="1:23">
      <c r="A623" s="26">
        <v>622</v>
      </c>
      <c r="B623" s="27">
        <v>40572</v>
      </c>
      <c r="C623" s="12">
        <v>1</v>
      </c>
      <c r="D623" s="12">
        <v>3</v>
      </c>
      <c r="E623" s="12" t="b">
        <v>0</v>
      </c>
      <c r="F623" s="12">
        <v>6</v>
      </c>
      <c r="G623" s="12">
        <v>1</v>
      </c>
      <c r="H623" s="12">
        <v>0.2</v>
      </c>
      <c r="I623" s="12">
        <v>0.21210000000000001</v>
      </c>
      <c r="J623" s="12">
        <v>0.64</v>
      </c>
      <c r="K623" s="12">
        <v>0.1343</v>
      </c>
      <c r="L623" s="12">
        <v>3</v>
      </c>
      <c r="M623" s="12">
        <v>5</v>
      </c>
      <c r="N623" s="12">
        <v>8</v>
      </c>
      <c r="O623" s="12" t="str">
        <f>VLOOKUP(G623,calculate_field!$B$2:$C$5,2,FALSE)</f>
        <v>Clear/Partly Cloudy</v>
      </c>
      <c r="P623" s="12" t="str">
        <f t="shared" si="65"/>
        <v>Saturday</v>
      </c>
      <c r="Q623" s="12" t="str">
        <f t="shared" si="66"/>
        <v>Weekend</v>
      </c>
      <c r="R623" s="12" t="str">
        <f t="shared" si="67"/>
        <v>Night</v>
      </c>
      <c r="S623" s="28" t="str">
        <f>INDEX(calculate_field!$F$2:$F$4, MATCH(H623, calculate_field!$E$2:$E$4, 1))</f>
        <v>Mild</v>
      </c>
      <c r="T623" s="33">
        <f t="shared" si="68"/>
        <v>46.5</v>
      </c>
      <c r="U623" s="33">
        <f t="shared" si="69"/>
        <v>34.415618294732056</v>
      </c>
      <c r="V623" s="33">
        <f t="shared" si="70"/>
        <v>-0.8627449517179927</v>
      </c>
      <c r="W623" s="12" t="b">
        <f t="shared" si="71"/>
        <v>0</v>
      </c>
    </row>
    <row r="624" spans="1:23">
      <c r="A624" s="26">
        <v>623</v>
      </c>
      <c r="B624" s="27">
        <v>40572</v>
      </c>
      <c r="C624" s="12">
        <v>1</v>
      </c>
      <c r="D624" s="12">
        <v>4</v>
      </c>
      <c r="E624" s="12" t="b">
        <v>0</v>
      </c>
      <c r="F624" s="12">
        <v>6</v>
      </c>
      <c r="G624" s="12">
        <v>1</v>
      </c>
      <c r="H624" s="12">
        <v>0.16</v>
      </c>
      <c r="I624" s="12">
        <v>0.18179999999999999</v>
      </c>
      <c r="J624" s="12">
        <v>0.69</v>
      </c>
      <c r="K624" s="12">
        <v>0.1045</v>
      </c>
      <c r="L624" s="12">
        <v>1</v>
      </c>
      <c r="M624" s="12">
        <v>2</v>
      </c>
      <c r="N624" s="12">
        <v>3</v>
      </c>
      <c r="O624" s="12" t="str">
        <f>VLOOKUP(G624,calculate_field!$B$2:$C$5,2,FALSE)</f>
        <v>Clear/Partly Cloudy</v>
      </c>
      <c r="P624" s="12" t="str">
        <f t="shared" si="65"/>
        <v>Saturday</v>
      </c>
      <c r="Q624" s="12" t="str">
        <f t="shared" si="66"/>
        <v>Weekend</v>
      </c>
      <c r="R624" s="12" t="str">
        <f t="shared" si="67"/>
        <v>Night</v>
      </c>
      <c r="S624" s="28" t="str">
        <f>INDEX(calculate_field!$F$2:$F$4, MATCH(H624, calculate_field!$E$2:$E$4, 1))</f>
        <v>Cold</v>
      </c>
      <c r="T624" s="33">
        <f t="shared" si="68"/>
        <v>46.208333333333336</v>
      </c>
      <c r="U624" s="33">
        <f t="shared" si="69"/>
        <v>34.783778286495242</v>
      </c>
      <c r="V624" s="33">
        <f t="shared" si="70"/>
        <v>-1.0215092944990145</v>
      </c>
      <c r="W624" s="12" t="b">
        <f t="shared" si="71"/>
        <v>0</v>
      </c>
    </row>
    <row r="625" spans="1:23">
      <c r="A625" s="26">
        <v>624</v>
      </c>
      <c r="B625" s="27">
        <v>40572</v>
      </c>
      <c r="C625" s="12">
        <v>1</v>
      </c>
      <c r="D625" s="12">
        <v>6</v>
      </c>
      <c r="E625" s="12" t="b">
        <v>0</v>
      </c>
      <c r="F625" s="12">
        <v>6</v>
      </c>
      <c r="G625" s="12">
        <v>1</v>
      </c>
      <c r="H625" s="12">
        <v>0.16</v>
      </c>
      <c r="I625" s="12">
        <v>0.18179999999999999</v>
      </c>
      <c r="J625" s="12">
        <v>0.64</v>
      </c>
      <c r="K625" s="12">
        <v>0.1343</v>
      </c>
      <c r="L625" s="12">
        <v>0</v>
      </c>
      <c r="M625" s="12">
        <v>2</v>
      </c>
      <c r="N625" s="12">
        <v>2</v>
      </c>
      <c r="O625" s="12" t="str">
        <f>VLOOKUP(G625,calculate_field!$B$2:$C$5,2,FALSE)</f>
        <v>Clear/Partly Cloudy</v>
      </c>
      <c r="P625" s="12" t="str">
        <f t="shared" si="65"/>
        <v>Saturday</v>
      </c>
      <c r="Q625" s="12" t="str">
        <f t="shared" si="66"/>
        <v>Weekend</v>
      </c>
      <c r="R625" s="12" t="str">
        <f t="shared" si="67"/>
        <v>Morning</v>
      </c>
      <c r="S625" s="28" t="str">
        <f>INDEX(calculate_field!$F$2:$F$4, MATCH(H625, calculate_field!$E$2:$E$4, 1))</f>
        <v>Cold</v>
      </c>
      <c r="T625" s="33">
        <f t="shared" si="68"/>
        <v>46.208333333333336</v>
      </c>
      <c r="U625" s="33">
        <f t="shared" si="69"/>
        <v>34.783778286495242</v>
      </c>
      <c r="V625" s="33">
        <f t="shared" si="70"/>
        <v>-0.98692022202180696</v>
      </c>
      <c r="W625" s="12" t="b">
        <f t="shared" si="71"/>
        <v>0</v>
      </c>
    </row>
    <row r="626" spans="1:23">
      <c r="A626" s="26">
        <v>625</v>
      </c>
      <c r="B626" s="27">
        <v>40572</v>
      </c>
      <c r="C626" s="12">
        <v>1</v>
      </c>
      <c r="D626" s="12">
        <v>7</v>
      </c>
      <c r="E626" s="12" t="b">
        <v>0</v>
      </c>
      <c r="F626" s="12">
        <v>6</v>
      </c>
      <c r="G626" s="12">
        <v>1</v>
      </c>
      <c r="H626" s="12">
        <v>0.16</v>
      </c>
      <c r="I626" s="12">
        <v>0.18179999999999999</v>
      </c>
      <c r="J626" s="12">
        <v>0.59</v>
      </c>
      <c r="K626" s="12">
        <v>0.1045</v>
      </c>
      <c r="L626" s="12">
        <v>1</v>
      </c>
      <c r="M626" s="12">
        <v>4</v>
      </c>
      <c r="N626" s="12">
        <v>5</v>
      </c>
      <c r="O626" s="12" t="str">
        <f>VLOOKUP(G626,calculate_field!$B$2:$C$5,2,FALSE)</f>
        <v>Clear/Partly Cloudy</v>
      </c>
      <c r="P626" s="12" t="str">
        <f t="shared" si="65"/>
        <v>Saturday</v>
      </c>
      <c r="Q626" s="12" t="str">
        <f t="shared" si="66"/>
        <v>Weekend</v>
      </c>
      <c r="R626" s="12" t="str">
        <f t="shared" si="67"/>
        <v>Morning</v>
      </c>
      <c r="S626" s="28" t="str">
        <f>INDEX(calculate_field!$F$2:$F$4, MATCH(H626, calculate_field!$E$2:$E$4, 1))</f>
        <v>Cold</v>
      </c>
      <c r="T626" s="33">
        <f t="shared" si="68"/>
        <v>46.25</v>
      </c>
      <c r="U626" s="33">
        <f t="shared" si="69"/>
        <v>34.729075652141596</v>
      </c>
      <c r="V626" s="33">
        <f t="shared" si="70"/>
        <v>-1.0439982127503331</v>
      </c>
      <c r="W626" s="12" t="b">
        <f t="shared" si="71"/>
        <v>0</v>
      </c>
    </row>
    <row r="627" spans="1:23">
      <c r="A627" s="26">
        <v>626</v>
      </c>
      <c r="B627" s="27">
        <v>40572</v>
      </c>
      <c r="C627" s="12">
        <v>1</v>
      </c>
      <c r="D627" s="12">
        <v>8</v>
      </c>
      <c r="E627" s="12" t="b">
        <v>0</v>
      </c>
      <c r="F627" s="12">
        <v>6</v>
      </c>
      <c r="G627" s="12">
        <v>1</v>
      </c>
      <c r="H627" s="12">
        <v>0.18</v>
      </c>
      <c r="I627" s="12">
        <v>0.19700000000000001</v>
      </c>
      <c r="J627" s="12">
        <v>0.55000000000000004</v>
      </c>
      <c r="K627" s="12">
        <v>0.16420000000000001</v>
      </c>
      <c r="L627" s="12">
        <v>3</v>
      </c>
      <c r="M627" s="12">
        <v>31</v>
      </c>
      <c r="N627" s="12">
        <v>34</v>
      </c>
      <c r="O627" s="12" t="str">
        <f>VLOOKUP(G627,calculate_field!$B$2:$C$5,2,FALSE)</f>
        <v>Clear/Partly Cloudy</v>
      </c>
      <c r="P627" s="12" t="str">
        <f t="shared" si="65"/>
        <v>Saturday</v>
      </c>
      <c r="Q627" s="12" t="str">
        <f t="shared" si="66"/>
        <v>Weekend</v>
      </c>
      <c r="R627" s="12" t="str">
        <f t="shared" si="67"/>
        <v>Morning</v>
      </c>
      <c r="S627" s="28" t="str">
        <f>INDEX(calculate_field!$F$2:$F$4, MATCH(H627, calculate_field!$E$2:$E$4, 1))</f>
        <v>Cold</v>
      </c>
      <c r="T627" s="33">
        <f t="shared" si="68"/>
        <v>46.541666666666664</v>
      </c>
      <c r="U627" s="33">
        <f t="shared" si="69"/>
        <v>34.395372750802785</v>
      </c>
      <c r="V627" s="33">
        <f t="shared" si="70"/>
        <v>-0.90591729847647506</v>
      </c>
      <c r="W627" s="12" t="b">
        <f t="shared" si="71"/>
        <v>0</v>
      </c>
    </row>
    <row r="628" spans="1:23">
      <c r="A628" s="26">
        <v>627</v>
      </c>
      <c r="B628" s="27">
        <v>40572</v>
      </c>
      <c r="C628" s="12">
        <v>1</v>
      </c>
      <c r="D628" s="12">
        <v>9</v>
      </c>
      <c r="E628" s="12" t="b">
        <v>0</v>
      </c>
      <c r="F628" s="12">
        <v>6</v>
      </c>
      <c r="G628" s="12">
        <v>1</v>
      </c>
      <c r="H628" s="12">
        <v>0.18</v>
      </c>
      <c r="I628" s="12">
        <v>0.21210000000000001</v>
      </c>
      <c r="J628" s="12">
        <v>0.59</v>
      </c>
      <c r="K628" s="12">
        <v>8.9599999999999999E-2</v>
      </c>
      <c r="L628" s="12">
        <v>0</v>
      </c>
      <c r="M628" s="12">
        <v>34</v>
      </c>
      <c r="N628" s="12">
        <v>34</v>
      </c>
      <c r="O628" s="12" t="str">
        <f>VLOOKUP(G628,calculate_field!$B$2:$C$5,2,FALSE)</f>
        <v>Clear/Partly Cloudy</v>
      </c>
      <c r="P628" s="12" t="str">
        <f t="shared" si="65"/>
        <v>Saturday</v>
      </c>
      <c r="Q628" s="12" t="str">
        <f t="shared" si="66"/>
        <v>Weekend</v>
      </c>
      <c r="R628" s="12" t="str">
        <f t="shared" si="67"/>
        <v>Morning</v>
      </c>
      <c r="S628" s="28" t="str">
        <f>INDEX(calculate_field!$F$2:$F$4, MATCH(H628, calculate_field!$E$2:$E$4, 1))</f>
        <v>Cold</v>
      </c>
      <c r="T628" s="33">
        <f t="shared" si="68"/>
        <v>46.708333333333336</v>
      </c>
      <c r="U628" s="33">
        <f t="shared" si="69"/>
        <v>34.341607628251097</v>
      </c>
      <c r="V628" s="33">
        <f t="shared" si="70"/>
        <v>-0.35492519303120218</v>
      </c>
      <c r="W628" s="12" t="b">
        <f t="shared" si="71"/>
        <v>0</v>
      </c>
    </row>
    <row r="629" spans="1:23">
      <c r="A629" s="26">
        <v>628</v>
      </c>
      <c r="B629" s="27">
        <v>40572</v>
      </c>
      <c r="C629" s="12">
        <v>1</v>
      </c>
      <c r="D629" s="12">
        <v>10</v>
      </c>
      <c r="E629" s="12" t="b">
        <v>0</v>
      </c>
      <c r="F629" s="12">
        <v>6</v>
      </c>
      <c r="G629" s="12">
        <v>2</v>
      </c>
      <c r="H629" s="12">
        <v>0.18</v>
      </c>
      <c r="I629" s="12">
        <v>0.21210000000000001</v>
      </c>
      <c r="J629" s="12">
        <v>0.64</v>
      </c>
      <c r="K629" s="12">
        <v>0.1045</v>
      </c>
      <c r="L629" s="12">
        <v>4</v>
      </c>
      <c r="M629" s="12">
        <v>51</v>
      </c>
      <c r="N629" s="12">
        <v>55</v>
      </c>
      <c r="O629" s="12" t="str">
        <f>VLOOKUP(G629,calculate_field!$B$2:$C$5,2,FALSE)</f>
        <v xml:space="preserve">Mist / cloudy </v>
      </c>
      <c r="P629" s="12" t="str">
        <f t="shared" si="65"/>
        <v>Saturday</v>
      </c>
      <c r="Q629" s="12" t="str">
        <f t="shared" si="66"/>
        <v>Weekend</v>
      </c>
      <c r="R629" s="12" t="str">
        <f t="shared" si="67"/>
        <v>Morning</v>
      </c>
      <c r="S629" s="28" t="str">
        <f>INDEX(calculate_field!$F$2:$F$4, MATCH(H629, calculate_field!$E$2:$E$4, 1))</f>
        <v>Cold</v>
      </c>
      <c r="T629" s="33">
        <f t="shared" si="68"/>
        <v>47.958333333333336</v>
      </c>
      <c r="U629" s="33">
        <f t="shared" si="69"/>
        <v>34.40485199182973</v>
      </c>
      <c r="V629" s="33">
        <f t="shared" si="70"/>
        <v>0.12383874636566571</v>
      </c>
      <c r="W629" s="12" t="b">
        <f t="shared" si="71"/>
        <v>0</v>
      </c>
    </row>
    <row r="630" spans="1:23">
      <c r="A630" s="26">
        <v>629</v>
      </c>
      <c r="B630" s="27">
        <v>40572</v>
      </c>
      <c r="C630" s="12">
        <v>1</v>
      </c>
      <c r="D630" s="12">
        <v>11</v>
      </c>
      <c r="E630" s="12" t="b">
        <v>0</v>
      </c>
      <c r="F630" s="12">
        <v>6</v>
      </c>
      <c r="G630" s="12">
        <v>2</v>
      </c>
      <c r="H630" s="12">
        <v>0.18</v>
      </c>
      <c r="I630" s="12">
        <v>0.19700000000000001</v>
      </c>
      <c r="J630" s="12">
        <v>0.64</v>
      </c>
      <c r="K630" s="12">
        <v>0.1343</v>
      </c>
      <c r="L630" s="12">
        <v>4</v>
      </c>
      <c r="M630" s="12">
        <v>60</v>
      </c>
      <c r="N630" s="12">
        <v>64</v>
      </c>
      <c r="O630" s="12" t="str">
        <f>VLOOKUP(G630,calculate_field!$B$2:$C$5,2,FALSE)</f>
        <v xml:space="preserve">Mist / cloudy </v>
      </c>
      <c r="P630" s="12" t="str">
        <f t="shared" si="65"/>
        <v>Saturday</v>
      </c>
      <c r="Q630" s="12" t="str">
        <f t="shared" si="66"/>
        <v>Weekend</v>
      </c>
      <c r="R630" s="12" t="str">
        <f t="shared" si="67"/>
        <v>Morning</v>
      </c>
      <c r="S630" s="28" t="str">
        <f>INDEX(calculate_field!$F$2:$F$4, MATCH(H630, calculate_field!$E$2:$E$4, 1))</f>
        <v>Cold</v>
      </c>
      <c r="T630" s="33">
        <f t="shared" si="68"/>
        <v>48.125</v>
      </c>
      <c r="U630" s="33">
        <f t="shared" si="69"/>
        <v>34.450105698077266</v>
      </c>
      <c r="V630" s="33">
        <f t="shared" si="70"/>
        <v>1.7068058010936787E-2</v>
      </c>
      <c r="W630" s="12" t="b">
        <f t="shared" si="71"/>
        <v>0</v>
      </c>
    </row>
    <row r="631" spans="1:23">
      <c r="A631" s="26">
        <v>630</v>
      </c>
      <c r="B631" s="27">
        <v>40572</v>
      </c>
      <c r="C631" s="12">
        <v>1</v>
      </c>
      <c r="D631" s="12">
        <v>12</v>
      </c>
      <c r="E631" s="12" t="b">
        <v>0</v>
      </c>
      <c r="F631" s="12">
        <v>6</v>
      </c>
      <c r="G631" s="12">
        <v>2</v>
      </c>
      <c r="H631" s="12">
        <v>0.2</v>
      </c>
      <c r="I631" s="12">
        <v>0.19700000000000001</v>
      </c>
      <c r="J631" s="12">
        <v>0.59</v>
      </c>
      <c r="K631" s="12">
        <v>0.19400000000000001</v>
      </c>
      <c r="L631" s="12">
        <v>12</v>
      </c>
      <c r="M631" s="12">
        <v>66</v>
      </c>
      <c r="N631" s="12">
        <v>78</v>
      </c>
      <c r="O631" s="12" t="str">
        <f>VLOOKUP(G631,calculate_field!$B$2:$C$5,2,FALSE)</f>
        <v xml:space="preserve">Mist / cloudy </v>
      </c>
      <c r="P631" s="12" t="str">
        <f t="shared" si="65"/>
        <v>Saturday</v>
      </c>
      <c r="Q631" s="12" t="str">
        <f t="shared" si="66"/>
        <v>Weekend</v>
      </c>
      <c r="R631" s="12" t="str">
        <f t="shared" si="67"/>
        <v>Afternoon</v>
      </c>
      <c r="S631" s="28" t="str">
        <f>INDEX(calculate_field!$F$2:$F$4, MATCH(H631, calculate_field!$E$2:$E$4, 1))</f>
        <v>Mild</v>
      </c>
      <c r="T631" s="33">
        <f t="shared" si="68"/>
        <v>49.5</v>
      </c>
      <c r="U631" s="33">
        <f t="shared" si="69"/>
        <v>35.745477062626854</v>
      </c>
      <c r="V631" s="33">
        <f t="shared" si="70"/>
        <v>0.80404341776090038</v>
      </c>
      <c r="W631" s="12" t="b">
        <f t="shared" si="71"/>
        <v>0</v>
      </c>
    </row>
    <row r="632" spans="1:23">
      <c r="A632" s="26">
        <v>631</v>
      </c>
      <c r="B632" s="27">
        <v>40572</v>
      </c>
      <c r="C632" s="12">
        <v>1</v>
      </c>
      <c r="D632" s="12">
        <v>13</v>
      </c>
      <c r="E632" s="12" t="b">
        <v>0</v>
      </c>
      <c r="F632" s="12">
        <v>6</v>
      </c>
      <c r="G632" s="12">
        <v>2</v>
      </c>
      <c r="H632" s="12">
        <v>0.22</v>
      </c>
      <c r="I632" s="12">
        <v>0.2273</v>
      </c>
      <c r="J632" s="12">
        <v>0.55000000000000004</v>
      </c>
      <c r="K632" s="12">
        <v>0.16420000000000001</v>
      </c>
      <c r="L632" s="12">
        <v>9</v>
      </c>
      <c r="M632" s="12">
        <v>56</v>
      </c>
      <c r="N632" s="12">
        <v>65</v>
      </c>
      <c r="O632" s="12" t="str">
        <f>VLOOKUP(G632,calculate_field!$B$2:$C$5,2,FALSE)</f>
        <v xml:space="preserve">Mist / cloudy </v>
      </c>
      <c r="P632" s="12" t="str">
        <f t="shared" si="65"/>
        <v>Saturday</v>
      </c>
      <c r="Q632" s="12" t="str">
        <f t="shared" si="66"/>
        <v>Weekend</v>
      </c>
      <c r="R632" s="12" t="str">
        <f t="shared" si="67"/>
        <v>Afternoon</v>
      </c>
      <c r="S632" s="28" t="str">
        <f>INDEX(calculate_field!$F$2:$F$4, MATCH(H632, calculate_field!$E$2:$E$4, 1))</f>
        <v>Mild</v>
      </c>
      <c r="T632" s="33">
        <f t="shared" si="68"/>
        <v>49.75</v>
      </c>
      <c r="U632" s="33">
        <f t="shared" si="69"/>
        <v>35.973722293532177</v>
      </c>
      <c r="V632" s="33">
        <f t="shared" si="70"/>
        <v>0.57044612188095278</v>
      </c>
      <c r="W632" s="12" t="b">
        <f t="shared" si="71"/>
        <v>0</v>
      </c>
    </row>
    <row r="633" spans="1:23">
      <c r="A633" s="26">
        <v>632</v>
      </c>
      <c r="B633" s="27">
        <v>40572</v>
      </c>
      <c r="C633" s="12">
        <v>1</v>
      </c>
      <c r="D633" s="12">
        <v>14</v>
      </c>
      <c r="E633" s="12" t="b">
        <v>0</v>
      </c>
      <c r="F633" s="12">
        <v>6</v>
      </c>
      <c r="G633" s="12">
        <v>2</v>
      </c>
      <c r="H633" s="12">
        <v>0.22</v>
      </c>
      <c r="I633" s="12">
        <v>0.2273</v>
      </c>
      <c r="J633" s="12">
        <v>0.6</v>
      </c>
      <c r="K633" s="12">
        <v>0.1343</v>
      </c>
      <c r="L633" s="12">
        <v>10</v>
      </c>
      <c r="M633" s="12">
        <v>89</v>
      </c>
      <c r="N633" s="12">
        <v>99</v>
      </c>
      <c r="O633" s="12" t="str">
        <f>VLOOKUP(G633,calculate_field!$B$2:$C$5,2,FALSE)</f>
        <v xml:space="preserve">Mist / cloudy </v>
      </c>
      <c r="P633" s="12" t="str">
        <f t="shared" si="65"/>
        <v>Saturday</v>
      </c>
      <c r="Q633" s="12" t="str">
        <f t="shared" si="66"/>
        <v>Weekend</v>
      </c>
      <c r="R633" s="12" t="str">
        <f t="shared" si="67"/>
        <v>Afternoon</v>
      </c>
      <c r="S633" s="28" t="str">
        <f>INDEX(calculate_field!$F$2:$F$4, MATCH(H633, calculate_field!$E$2:$E$4, 1))</f>
        <v>Mild</v>
      </c>
      <c r="T633" s="33">
        <f t="shared" si="68"/>
        <v>52.125</v>
      </c>
      <c r="U633" s="33">
        <f t="shared" si="69"/>
        <v>38.795240071095229</v>
      </c>
      <c r="V633" s="33">
        <f t="shared" si="70"/>
        <v>1.3949421761390077</v>
      </c>
      <c r="W633" s="12" t="b">
        <f t="shared" si="71"/>
        <v>0</v>
      </c>
    </row>
    <row r="634" spans="1:23">
      <c r="A634" s="26">
        <v>633</v>
      </c>
      <c r="B634" s="27">
        <v>40572</v>
      </c>
      <c r="C634" s="12">
        <v>1</v>
      </c>
      <c r="D634" s="12">
        <v>15</v>
      </c>
      <c r="E634" s="12" t="b">
        <v>0</v>
      </c>
      <c r="F634" s="12">
        <v>6</v>
      </c>
      <c r="G634" s="12">
        <v>1</v>
      </c>
      <c r="H634" s="12">
        <v>0.22</v>
      </c>
      <c r="I634" s="12">
        <v>0.21210000000000001</v>
      </c>
      <c r="J634" s="12">
        <v>0.69</v>
      </c>
      <c r="K634" s="12">
        <v>0.25369999999999998</v>
      </c>
      <c r="L634" s="12">
        <v>22</v>
      </c>
      <c r="M634" s="12">
        <v>98</v>
      </c>
      <c r="N634" s="12">
        <v>120</v>
      </c>
      <c r="O634" s="12" t="str">
        <f>VLOOKUP(G634,calculate_field!$B$2:$C$5,2,FALSE)</f>
        <v>Clear/Partly Cloudy</v>
      </c>
      <c r="P634" s="12" t="str">
        <f t="shared" si="65"/>
        <v>Saturday</v>
      </c>
      <c r="Q634" s="12" t="str">
        <f t="shared" si="66"/>
        <v>Weekend</v>
      </c>
      <c r="R634" s="12" t="str">
        <f t="shared" si="67"/>
        <v>Afternoon</v>
      </c>
      <c r="S634" s="28" t="str">
        <f>INDEX(calculate_field!$F$2:$F$4, MATCH(H634, calculate_field!$E$2:$E$4, 1))</f>
        <v>Mild</v>
      </c>
      <c r="T634" s="33">
        <f t="shared" si="68"/>
        <v>52.541666666666664</v>
      </c>
      <c r="U634" s="33">
        <f t="shared" si="69"/>
        <v>39.370016362782941</v>
      </c>
      <c r="V634" s="33">
        <f t="shared" si="70"/>
        <v>1.1957853902624742</v>
      </c>
      <c r="W634" s="12" t="b">
        <f t="shared" si="71"/>
        <v>0</v>
      </c>
    </row>
    <row r="635" spans="1:23">
      <c r="A635" s="26">
        <v>634</v>
      </c>
      <c r="B635" s="27">
        <v>40572</v>
      </c>
      <c r="C635" s="12">
        <v>1</v>
      </c>
      <c r="D635" s="12">
        <v>16</v>
      </c>
      <c r="E635" s="12" t="b">
        <v>0</v>
      </c>
      <c r="F635" s="12">
        <v>6</v>
      </c>
      <c r="G635" s="12">
        <v>1</v>
      </c>
      <c r="H635" s="12">
        <v>0.24</v>
      </c>
      <c r="I635" s="12">
        <v>0.2424</v>
      </c>
      <c r="J635" s="12">
        <v>0.6</v>
      </c>
      <c r="K635" s="12">
        <v>0.16420000000000001</v>
      </c>
      <c r="L635" s="12">
        <v>19</v>
      </c>
      <c r="M635" s="12">
        <v>88</v>
      </c>
      <c r="N635" s="12">
        <v>107</v>
      </c>
      <c r="O635" s="12" t="str">
        <f>VLOOKUP(G635,calculate_field!$B$2:$C$5,2,FALSE)</f>
        <v>Clear/Partly Cloudy</v>
      </c>
      <c r="P635" s="12" t="str">
        <f t="shared" si="65"/>
        <v>Saturday</v>
      </c>
      <c r="Q635" s="12" t="str">
        <f t="shared" si="66"/>
        <v>Weekend</v>
      </c>
      <c r="R635" s="12" t="str">
        <f t="shared" si="67"/>
        <v>Afternoon</v>
      </c>
      <c r="S635" s="28" t="str">
        <f>INDEX(calculate_field!$F$2:$F$4, MATCH(H635, calculate_field!$E$2:$E$4, 1))</f>
        <v>Mild</v>
      </c>
      <c r="T635" s="33">
        <f t="shared" si="68"/>
        <v>52.666666666666664</v>
      </c>
      <c r="U635" s="33">
        <f t="shared" si="69"/>
        <v>39.597613747456471</v>
      </c>
      <c r="V635" s="33">
        <f t="shared" si="70"/>
        <v>1.6096154437106387</v>
      </c>
      <c r="W635" s="12" t="b">
        <f t="shared" si="71"/>
        <v>1</v>
      </c>
    </row>
    <row r="636" spans="1:23">
      <c r="A636" s="26">
        <v>635</v>
      </c>
      <c r="B636" s="27">
        <v>40572</v>
      </c>
      <c r="C636" s="12">
        <v>1</v>
      </c>
      <c r="D636" s="12">
        <v>17</v>
      </c>
      <c r="E636" s="12" t="b">
        <v>0</v>
      </c>
      <c r="F636" s="12">
        <v>6</v>
      </c>
      <c r="G636" s="12">
        <v>1</v>
      </c>
      <c r="H636" s="12">
        <v>0.24</v>
      </c>
      <c r="I636" s="12">
        <v>0.28789999999999999</v>
      </c>
      <c r="J636" s="12">
        <v>0.6</v>
      </c>
      <c r="K636" s="12">
        <v>0</v>
      </c>
      <c r="L636" s="12">
        <v>9</v>
      </c>
      <c r="M636" s="12">
        <v>82</v>
      </c>
      <c r="N636" s="12">
        <v>91</v>
      </c>
      <c r="O636" s="12" t="str">
        <f>VLOOKUP(G636,calculate_field!$B$2:$C$5,2,FALSE)</f>
        <v>Clear/Partly Cloudy</v>
      </c>
      <c r="P636" s="12" t="str">
        <f t="shared" si="65"/>
        <v>Saturday</v>
      </c>
      <c r="Q636" s="12" t="str">
        <f t="shared" si="66"/>
        <v>Weekend</v>
      </c>
      <c r="R636" s="12" t="str">
        <f t="shared" si="67"/>
        <v>Evening</v>
      </c>
      <c r="S636" s="28" t="str">
        <f>INDEX(calculate_field!$F$2:$F$4, MATCH(H636, calculate_field!$E$2:$E$4, 1))</f>
        <v>Mild</v>
      </c>
      <c r="T636" s="33">
        <f t="shared" si="68"/>
        <v>51.416666666666664</v>
      </c>
      <c r="U636" s="33">
        <f t="shared" si="69"/>
        <v>38.258749117789662</v>
      </c>
      <c r="V636" s="33">
        <f t="shared" si="70"/>
        <v>0.64388739745222345</v>
      </c>
      <c r="W636" s="12" t="b">
        <f t="shared" si="71"/>
        <v>0</v>
      </c>
    </row>
    <row r="637" spans="1:23">
      <c r="A637" s="26">
        <v>636</v>
      </c>
      <c r="B637" s="27">
        <v>40572</v>
      </c>
      <c r="C637" s="12">
        <v>1</v>
      </c>
      <c r="D637" s="12">
        <v>18</v>
      </c>
      <c r="E637" s="12" t="b">
        <v>0</v>
      </c>
      <c r="F637" s="12">
        <v>6</v>
      </c>
      <c r="G637" s="12">
        <v>1</v>
      </c>
      <c r="H637" s="12">
        <v>0.22</v>
      </c>
      <c r="I637" s="12">
        <v>0.2273</v>
      </c>
      <c r="J637" s="12">
        <v>0.69</v>
      </c>
      <c r="K637" s="12">
        <v>0.1343</v>
      </c>
      <c r="L637" s="12">
        <v>9</v>
      </c>
      <c r="M637" s="12">
        <v>59</v>
      </c>
      <c r="N637" s="12">
        <v>68</v>
      </c>
      <c r="O637" s="12" t="str">
        <f>VLOOKUP(G637,calculate_field!$B$2:$C$5,2,FALSE)</f>
        <v>Clear/Partly Cloudy</v>
      </c>
      <c r="P637" s="12" t="str">
        <f t="shared" si="65"/>
        <v>Saturday</v>
      </c>
      <c r="Q637" s="12" t="str">
        <f t="shared" si="66"/>
        <v>Weekend</v>
      </c>
      <c r="R637" s="12" t="str">
        <f t="shared" si="67"/>
        <v>Evening</v>
      </c>
      <c r="S637" s="28" t="str">
        <f>INDEX(calculate_field!$F$2:$F$4, MATCH(H637, calculate_field!$E$2:$E$4, 1))</f>
        <v>Mild</v>
      </c>
      <c r="T637" s="33">
        <f t="shared" si="68"/>
        <v>50.333333333333336</v>
      </c>
      <c r="U637" s="33">
        <f t="shared" si="69"/>
        <v>37.44870888430534</v>
      </c>
      <c r="V637" s="33">
        <f t="shared" si="70"/>
        <v>0.24919248615325912</v>
      </c>
      <c r="W637" s="12" t="b">
        <f t="shared" si="71"/>
        <v>0</v>
      </c>
    </row>
    <row r="638" spans="1:23">
      <c r="A638" s="26">
        <v>637</v>
      </c>
      <c r="B638" s="27">
        <v>40572</v>
      </c>
      <c r="C638" s="12">
        <v>1</v>
      </c>
      <c r="D638" s="12">
        <v>19</v>
      </c>
      <c r="E638" s="12" t="b">
        <v>0</v>
      </c>
      <c r="F638" s="12">
        <v>6</v>
      </c>
      <c r="G638" s="12">
        <v>2</v>
      </c>
      <c r="H638" s="12">
        <v>0.22</v>
      </c>
      <c r="I638" s="12">
        <v>0.21210000000000001</v>
      </c>
      <c r="J638" s="12">
        <v>0.69</v>
      </c>
      <c r="K638" s="12">
        <v>0.25369999999999998</v>
      </c>
      <c r="L638" s="12">
        <v>6</v>
      </c>
      <c r="M638" s="12">
        <v>52</v>
      </c>
      <c r="N638" s="12">
        <v>58</v>
      </c>
      <c r="O638" s="12" t="str">
        <f>VLOOKUP(G638,calculate_field!$B$2:$C$5,2,FALSE)</f>
        <v xml:space="preserve">Mist / cloudy </v>
      </c>
      <c r="P638" s="12" t="str">
        <f t="shared" si="65"/>
        <v>Saturday</v>
      </c>
      <c r="Q638" s="12" t="str">
        <f t="shared" si="66"/>
        <v>Weekend</v>
      </c>
      <c r="R638" s="12" t="str">
        <f t="shared" si="67"/>
        <v>Evening</v>
      </c>
      <c r="S638" s="28" t="str">
        <f>INDEX(calculate_field!$F$2:$F$4, MATCH(H638, calculate_field!$E$2:$E$4, 1))</f>
        <v>Mild</v>
      </c>
      <c r="T638" s="33">
        <f t="shared" si="68"/>
        <v>49.791666666666664</v>
      </c>
      <c r="U638" s="33">
        <f t="shared" si="69"/>
        <v>37.275681741255418</v>
      </c>
      <c r="V638" s="33">
        <f t="shared" si="70"/>
        <v>-3.411025202312995E-2</v>
      </c>
      <c r="W638" s="12" t="b">
        <f t="shared" si="71"/>
        <v>0</v>
      </c>
    </row>
    <row r="639" spans="1:23">
      <c r="A639" s="26">
        <v>638</v>
      </c>
      <c r="B639" s="27">
        <v>40572</v>
      </c>
      <c r="C639" s="12">
        <v>1</v>
      </c>
      <c r="D639" s="12">
        <v>20</v>
      </c>
      <c r="E639" s="12" t="b">
        <v>0</v>
      </c>
      <c r="F639" s="12">
        <v>6</v>
      </c>
      <c r="G639" s="12">
        <v>1</v>
      </c>
      <c r="H639" s="12">
        <v>0.18</v>
      </c>
      <c r="I639" s="12">
        <v>0.21210000000000001</v>
      </c>
      <c r="J639" s="12">
        <v>0.74</v>
      </c>
      <c r="K639" s="12">
        <v>8.9599999999999999E-2</v>
      </c>
      <c r="L639" s="12">
        <v>1</v>
      </c>
      <c r="M639" s="12">
        <v>42</v>
      </c>
      <c r="N639" s="12">
        <v>43</v>
      </c>
      <c r="O639" s="12" t="str">
        <f>VLOOKUP(G639,calculate_field!$B$2:$C$5,2,FALSE)</f>
        <v>Clear/Partly Cloudy</v>
      </c>
      <c r="P639" s="12" t="str">
        <f t="shared" si="65"/>
        <v>Saturday</v>
      </c>
      <c r="Q639" s="12" t="str">
        <f t="shared" si="66"/>
        <v>Weekend</v>
      </c>
      <c r="R639" s="12" t="str">
        <f t="shared" si="67"/>
        <v>Evening</v>
      </c>
      <c r="S639" s="28" t="str">
        <f>INDEX(calculate_field!$F$2:$F$4, MATCH(H639, calculate_field!$E$2:$E$4, 1))</f>
        <v>Cold</v>
      </c>
      <c r="T639" s="33">
        <f t="shared" si="68"/>
        <v>48.75</v>
      </c>
      <c r="U639" s="33">
        <f t="shared" si="69"/>
        <v>37.385477301266036</v>
      </c>
      <c r="V639" s="33">
        <f t="shared" si="70"/>
        <v>-0.48673486172895597</v>
      </c>
      <c r="W639" s="12" t="b">
        <f t="shared" si="71"/>
        <v>0</v>
      </c>
    </row>
    <row r="640" spans="1:23">
      <c r="A640" s="26">
        <v>639</v>
      </c>
      <c r="B640" s="27">
        <v>40572</v>
      </c>
      <c r="C640" s="12">
        <v>1</v>
      </c>
      <c r="D640" s="12">
        <v>21</v>
      </c>
      <c r="E640" s="12" t="b">
        <v>0</v>
      </c>
      <c r="F640" s="12">
        <v>6</v>
      </c>
      <c r="G640" s="12">
        <v>1</v>
      </c>
      <c r="H640" s="12">
        <v>0.18</v>
      </c>
      <c r="I640" s="12">
        <v>0.21210000000000001</v>
      </c>
      <c r="J640" s="12">
        <v>0.74</v>
      </c>
      <c r="K640" s="12">
        <v>8.9599999999999999E-2</v>
      </c>
      <c r="L640" s="12">
        <v>1</v>
      </c>
      <c r="M640" s="12">
        <v>35</v>
      </c>
      <c r="N640" s="12">
        <v>36</v>
      </c>
      <c r="O640" s="12" t="str">
        <f>VLOOKUP(G640,calculate_field!$B$2:$C$5,2,FALSE)</f>
        <v>Clear/Partly Cloudy</v>
      </c>
      <c r="P640" s="12" t="str">
        <f t="shared" si="65"/>
        <v>Saturday</v>
      </c>
      <c r="Q640" s="12" t="str">
        <f t="shared" si="66"/>
        <v>Weekend</v>
      </c>
      <c r="R640" s="12" t="str">
        <f t="shared" si="67"/>
        <v>Night</v>
      </c>
      <c r="S640" s="28" t="str">
        <f>INDEX(calculate_field!$F$2:$F$4, MATCH(H640, calculate_field!$E$2:$E$4, 1))</f>
        <v>Cold</v>
      </c>
      <c r="T640" s="33">
        <f t="shared" si="68"/>
        <v>48.125</v>
      </c>
      <c r="U640" s="33">
        <f t="shared" si="69"/>
        <v>37.610489401807556</v>
      </c>
      <c r="V640" s="33">
        <f t="shared" si="70"/>
        <v>-0.61673694934913947</v>
      </c>
      <c r="W640" s="12" t="b">
        <f t="shared" si="71"/>
        <v>0</v>
      </c>
    </row>
    <row r="641" spans="1:23">
      <c r="A641" s="26">
        <v>640</v>
      </c>
      <c r="B641" s="27">
        <v>40572</v>
      </c>
      <c r="C641" s="12">
        <v>1</v>
      </c>
      <c r="D641" s="12">
        <v>22</v>
      </c>
      <c r="E641" s="12" t="b">
        <v>0</v>
      </c>
      <c r="F641" s="12">
        <v>6</v>
      </c>
      <c r="G641" s="12">
        <v>1</v>
      </c>
      <c r="H641" s="12">
        <v>0.16</v>
      </c>
      <c r="I641" s="12">
        <v>0.19700000000000001</v>
      </c>
      <c r="J641" s="12">
        <v>0.8</v>
      </c>
      <c r="K641" s="12">
        <v>8.9599999999999999E-2</v>
      </c>
      <c r="L641" s="12">
        <v>4</v>
      </c>
      <c r="M641" s="12">
        <v>28</v>
      </c>
      <c r="N641" s="12">
        <v>32</v>
      </c>
      <c r="O641" s="12" t="str">
        <f>VLOOKUP(G641,calculate_field!$B$2:$C$5,2,FALSE)</f>
        <v>Clear/Partly Cloudy</v>
      </c>
      <c r="P641" s="12" t="str">
        <f t="shared" si="65"/>
        <v>Saturday</v>
      </c>
      <c r="Q641" s="12" t="str">
        <f t="shared" si="66"/>
        <v>Weekend</v>
      </c>
      <c r="R641" s="12" t="str">
        <f t="shared" si="67"/>
        <v>Night</v>
      </c>
      <c r="S641" s="28" t="str">
        <f>INDEX(calculate_field!$F$2:$F$4, MATCH(H641, calculate_field!$E$2:$E$4, 1))</f>
        <v>Cold</v>
      </c>
      <c r="T641" s="33">
        <f t="shared" si="68"/>
        <v>47.5</v>
      </c>
      <c r="U641" s="33">
        <f t="shared" si="69"/>
        <v>37.943894508007247</v>
      </c>
      <c r="V641" s="33">
        <f t="shared" si="70"/>
        <v>-0.77585141412216307</v>
      </c>
      <c r="W641" s="12" t="b">
        <f t="shared" si="71"/>
        <v>0</v>
      </c>
    </row>
    <row r="642" spans="1:23">
      <c r="A642" s="26">
        <v>641</v>
      </c>
      <c r="B642" s="27">
        <v>40572</v>
      </c>
      <c r="C642" s="12">
        <v>1</v>
      </c>
      <c r="D642" s="12">
        <v>23</v>
      </c>
      <c r="E642" s="12" t="b">
        <v>0</v>
      </c>
      <c r="F642" s="12">
        <v>6</v>
      </c>
      <c r="G642" s="12">
        <v>1</v>
      </c>
      <c r="H642" s="12">
        <v>0.16</v>
      </c>
      <c r="I642" s="12">
        <v>0.19700000000000001</v>
      </c>
      <c r="J642" s="12">
        <v>0.8</v>
      </c>
      <c r="K642" s="12">
        <v>8.9599999999999999E-2</v>
      </c>
      <c r="L642" s="12">
        <v>3</v>
      </c>
      <c r="M642" s="12">
        <v>30</v>
      </c>
      <c r="N642" s="12">
        <v>33</v>
      </c>
      <c r="O642" s="12" t="str">
        <f>VLOOKUP(G642,calculate_field!$B$2:$C$5,2,FALSE)</f>
        <v>Clear/Partly Cloudy</v>
      </c>
      <c r="P642" s="12" t="str">
        <f t="shared" ref="P642:P705" si="72">CHOOSE(F642+1,"Sunday","Monday","Tuesday","Wednesday","Thursday","Friday","Saturday")</f>
        <v>Saturday</v>
      </c>
      <c r="Q642" s="12" t="str">
        <f t="shared" ref="Q642:Q705" si="73">IF(OR(F642=0,F642=6),"Weekend","Weekday")</f>
        <v>Weekend</v>
      </c>
      <c r="R642" s="12" t="str">
        <f t="shared" ref="R642:R705" si="74">IF(D642&lt;6,"Night",IF(D642&lt;12,"Morning",IF(D642&lt;17,"Afternoon",IF(D642&lt;21,"Evening","Night"))))</f>
        <v>Night</v>
      </c>
      <c r="S642" s="28" t="str">
        <f>INDEX(calculate_field!$F$2:$F$4, MATCH(H642, calculate_field!$E$2:$E$4, 1))</f>
        <v>Cold</v>
      </c>
      <c r="T642" s="33">
        <f t="shared" ref="T642:T705" si="75">AVERAGE(N642:N665)</f>
        <v>47.041666666666664</v>
      </c>
      <c r="U642" s="33">
        <f t="shared" ref="U642:U705" si="76">_xlfn.STDEV.S(N642:N665)</f>
        <v>38.204801845553014</v>
      </c>
      <c r="V642" s="33">
        <f t="shared" ref="V642:V705" si="77">(N665-T665)/U665</f>
        <v>-0.79163219785075811</v>
      </c>
      <c r="W642" s="12" t="b">
        <f t="shared" ref="W642:W705" si="78">IFERROR(ABS(V658)&gt;1.5,FALSE)</f>
        <v>0</v>
      </c>
    </row>
    <row r="643" spans="1:23">
      <c r="A643" s="26">
        <v>642</v>
      </c>
      <c r="B643" s="27">
        <v>40573</v>
      </c>
      <c r="C643" s="12">
        <v>1</v>
      </c>
      <c r="D643" s="12">
        <v>0</v>
      </c>
      <c r="E643" s="12" t="b">
        <v>0</v>
      </c>
      <c r="F643" s="12">
        <v>0</v>
      </c>
      <c r="G643" s="12">
        <v>1</v>
      </c>
      <c r="H643" s="12">
        <v>0.16</v>
      </c>
      <c r="I643" s="12">
        <v>0.18179999999999999</v>
      </c>
      <c r="J643" s="12">
        <v>0.8</v>
      </c>
      <c r="K643" s="12">
        <v>0.1045</v>
      </c>
      <c r="L643" s="12">
        <v>0</v>
      </c>
      <c r="M643" s="12">
        <v>33</v>
      </c>
      <c r="N643" s="12">
        <v>33</v>
      </c>
      <c r="O643" s="12" t="str">
        <f>VLOOKUP(G643,calculate_field!$B$2:$C$5,2,FALSE)</f>
        <v>Clear/Partly Cloudy</v>
      </c>
      <c r="P643" s="12" t="str">
        <f t="shared" si="72"/>
        <v>Sunday</v>
      </c>
      <c r="Q643" s="12" t="str">
        <f t="shared" si="73"/>
        <v>Weekend</v>
      </c>
      <c r="R643" s="12" t="str">
        <f t="shared" si="74"/>
        <v>Night</v>
      </c>
      <c r="S643" s="28" t="str">
        <f>INDEX(calculate_field!$F$2:$F$4, MATCH(H643, calculate_field!$E$2:$E$4, 1))</f>
        <v>Cold</v>
      </c>
      <c r="T643" s="33">
        <f t="shared" si="75"/>
        <v>45.958333333333336</v>
      </c>
      <c r="U643" s="33">
        <f t="shared" si="76"/>
        <v>38.981020093581847</v>
      </c>
      <c r="V643" s="33">
        <f t="shared" si="77"/>
        <v>-1.0513219882215277</v>
      </c>
      <c r="W643" s="12" t="b">
        <f t="shared" si="78"/>
        <v>0</v>
      </c>
    </row>
    <row r="644" spans="1:23">
      <c r="A644" s="26">
        <v>643</v>
      </c>
      <c r="B644" s="27">
        <v>40573</v>
      </c>
      <c r="C644" s="12">
        <v>1</v>
      </c>
      <c r="D644" s="12">
        <v>1</v>
      </c>
      <c r="E644" s="12" t="b">
        <v>0</v>
      </c>
      <c r="F644" s="12">
        <v>0</v>
      </c>
      <c r="G644" s="12">
        <v>1</v>
      </c>
      <c r="H644" s="12">
        <v>0.14000000000000001</v>
      </c>
      <c r="I644" s="12">
        <v>0.21210000000000001</v>
      </c>
      <c r="J644" s="12">
        <v>0.8</v>
      </c>
      <c r="K644" s="12">
        <v>0</v>
      </c>
      <c r="L644" s="12">
        <v>7</v>
      </c>
      <c r="M644" s="12">
        <v>22</v>
      </c>
      <c r="N644" s="12">
        <v>29</v>
      </c>
      <c r="O644" s="12" t="str">
        <f>VLOOKUP(G644,calculate_field!$B$2:$C$5,2,FALSE)</f>
        <v>Clear/Partly Cloudy</v>
      </c>
      <c r="P644" s="12" t="str">
        <f t="shared" si="72"/>
        <v>Sunday</v>
      </c>
      <c r="Q644" s="12" t="str">
        <f t="shared" si="73"/>
        <v>Weekend</v>
      </c>
      <c r="R644" s="12" t="str">
        <f t="shared" si="74"/>
        <v>Night</v>
      </c>
      <c r="S644" s="28" t="str">
        <f>INDEX(calculate_field!$F$2:$F$4, MATCH(H644, calculate_field!$E$2:$E$4, 1))</f>
        <v>Cold</v>
      </c>
      <c r="T644" s="33">
        <f t="shared" si="75"/>
        <v>44.875</v>
      </c>
      <c r="U644" s="33">
        <f t="shared" si="76"/>
        <v>39.711254017622942</v>
      </c>
      <c r="V644" s="33">
        <f t="shared" si="77"/>
        <v>-1.0530142897653691</v>
      </c>
      <c r="W644" s="12" t="b">
        <f t="shared" si="78"/>
        <v>1</v>
      </c>
    </row>
    <row r="645" spans="1:23">
      <c r="A645" s="26">
        <v>644</v>
      </c>
      <c r="B645" s="27">
        <v>40573</v>
      </c>
      <c r="C645" s="12">
        <v>1</v>
      </c>
      <c r="D645" s="12">
        <v>2</v>
      </c>
      <c r="E645" s="12" t="b">
        <v>0</v>
      </c>
      <c r="F645" s="12">
        <v>0</v>
      </c>
      <c r="G645" s="12">
        <v>1</v>
      </c>
      <c r="H645" s="12">
        <v>0.16</v>
      </c>
      <c r="I645" s="12">
        <v>0.2273</v>
      </c>
      <c r="J645" s="12">
        <v>0.8</v>
      </c>
      <c r="K645" s="12">
        <v>0</v>
      </c>
      <c r="L645" s="12">
        <v>1</v>
      </c>
      <c r="M645" s="12">
        <v>10</v>
      </c>
      <c r="N645" s="12">
        <v>11</v>
      </c>
      <c r="O645" s="12" t="str">
        <f>VLOOKUP(G645,calculate_field!$B$2:$C$5,2,FALSE)</f>
        <v>Clear/Partly Cloudy</v>
      </c>
      <c r="P645" s="12" t="str">
        <f t="shared" si="72"/>
        <v>Sunday</v>
      </c>
      <c r="Q645" s="12" t="str">
        <f t="shared" si="73"/>
        <v>Weekend</v>
      </c>
      <c r="R645" s="12" t="str">
        <f t="shared" si="74"/>
        <v>Night</v>
      </c>
      <c r="S645" s="28" t="str">
        <f>INDEX(calculate_field!$F$2:$F$4, MATCH(H645, calculate_field!$E$2:$E$4, 1))</f>
        <v>Cold</v>
      </c>
      <c r="T645" s="33">
        <f t="shared" si="75"/>
        <v>43.708333333333336</v>
      </c>
      <c r="U645" s="33">
        <f t="shared" si="76"/>
        <v>40.599292311958891</v>
      </c>
      <c r="V645" s="33">
        <f t="shared" si="77"/>
        <v>-1.1593719326292193</v>
      </c>
      <c r="W645" s="12" t="b">
        <f t="shared" si="78"/>
        <v>1</v>
      </c>
    </row>
    <row r="646" spans="1:23">
      <c r="A646" s="26">
        <v>645</v>
      </c>
      <c r="B646" s="27">
        <v>40573</v>
      </c>
      <c r="C646" s="12">
        <v>1</v>
      </c>
      <c r="D646" s="12">
        <v>3</v>
      </c>
      <c r="E646" s="12" t="b">
        <v>0</v>
      </c>
      <c r="F646" s="12">
        <v>0</v>
      </c>
      <c r="G646" s="12">
        <v>1</v>
      </c>
      <c r="H646" s="12">
        <v>0.14000000000000001</v>
      </c>
      <c r="I646" s="12">
        <v>0.21210000000000001</v>
      </c>
      <c r="J646" s="12">
        <v>0.93</v>
      </c>
      <c r="K646" s="12">
        <v>0</v>
      </c>
      <c r="L646" s="12">
        <v>1</v>
      </c>
      <c r="M646" s="12">
        <v>7</v>
      </c>
      <c r="N646" s="12">
        <v>8</v>
      </c>
      <c r="O646" s="12" t="str">
        <f>VLOOKUP(G646,calculate_field!$B$2:$C$5,2,FALSE)</f>
        <v>Clear/Partly Cloudy</v>
      </c>
      <c r="P646" s="12" t="str">
        <f t="shared" si="72"/>
        <v>Sunday</v>
      </c>
      <c r="Q646" s="12" t="str">
        <f t="shared" si="73"/>
        <v>Weekend</v>
      </c>
      <c r="R646" s="12" t="str">
        <f t="shared" si="74"/>
        <v>Night</v>
      </c>
      <c r="S646" s="28" t="str">
        <f>INDEX(calculate_field!$F$2:$F$4, MATCH(H646, calculate_field!$E$2:$E$4, 1))</f>
        <v>Cold</v>
      </c>
      <c r="T646" s="33">
        <f t="shared" si="75"/>
        <v>43.333333333333336</v>
      </c>
      <c r="U646" s="33">
        <f t="shared" si="76"/>
        <v>40.954552400421136</v>
      </c>
      <c r="V646" s="33">
        <f t="shared" si="77"/>
        <v>-1.1423603673530378</v>
      </c>
      <c r="W646" s="12" t="b">
        <f t="shared" si="78"/>
        <v>0</v>
      </c>
    </row>
    <row r="647" spans="1:23">
      <c r="A647" s="26">
        <v>646</v>
      </c>
      <c r="B647" s="27">
        <v>40573</v>
      </c>
      <c r="C647" s="12">
        <v>1</v>
      </c>
      <c r="D647" s="12">
        <v>4</v>
      </c>
      <c r="E647" s="12" t="b">
        <v>0</v>
      </c>
      <c r="F647" s="12">
        <v>0</v>
      </c>
      <c r="G647" s="12">
        <v>1</v>
      </c>
      <c r="H647" s="12">
        <v>0.14000000000000001</v>
      </c>
      <c r="I647" s="12">
        <v>0.21210000000000001</v>
      </c>
      <c r="J647" s="12">
        <v>0.93</v>
      </c>
      <c r="K647" s="12">
        <v>0</v>
      </c>
      <c r="L647" s="12">
        <v>0</v>
      </c>
      <c r="M647" s="12">
        <v>1</v>
      </c>
      <c r="N647" s="12">
        <v>1</v>
      </c>
      <c r="O647" s="12" t="str">
        <f>VLOOKUP(G647,calculate_field!$B$2:$C$5,2,FALSE)</f>
        <v>Clear/Partly Cloudy</v>
      </c>
      <c r="P647" s="12" t="str">
        <f t="shared" si="72"/>
        <v>Sunday</v>
      </c>
      <c r="Q647" s="12" t="str">
        <f t="shared" si="73"/>
        <v>Weekend</v>
      </c>
      <c r="R647" s="12" t="str">
        <f t="shared" si="74"/>
        <v>Night</v>
      </c>
      <c r="S647" s="28" t="str">
        <f>INDEX(calculate_field!$F$2:$F$4, MATCH(H647, calculate_field!$E$2:$E$4, 1))</f>
        <v>Cold</v>
      </c>
      <c r="T647" s="33">
        <f t="shared" si="75"/>
        <v>43.083333333333336</v>
      </c>
      <c r="U647" s="33">
        <f t="shared" si="76"/>
        <v>41.197210402253404</v>
      </c>
      <c r="V647" s="33">
        <f t="shared" si="77"/>
        <v>-1.1423603673530378</v>
      </c>
      <c r="W647" s="12" t="b">
        <f t="shared" si="78"/>
        <v>0</v>
      </c>
    </row>
    <row r="648" spans="1:23">
      <c r="A648" s="26">
        <v>647</v>
      </c>
      <c r="B648" s="27">
        <v>40573</v>
      </c>
      <c r="C648" s="12">
        <v>1</v>
      </c>
      <c r="D648" s="12">
        <v>5</v>
      </c>
      <c r="E648" s="12" t="b">
        <v>0</v>
      </c>
      <c r="F648" s="12">
        <v>0</v>
      </c>
      <c r="G648" s="12">
        <v>1</v>
      </c>
      <c r="H648" s="12">
        <v>0.14000000000000001</v>
      </c>
      <c r="I648" s="12">
        <v>0.21210000000000001</v>
      </c>
      <c r="J648" s="12">
        <v>0.86</v>
      </c>
      <c r="K648" s="12">
        <v>0</v>
      </c>
      <c r="L648" s="12">
        <v>0</v>
      </c>
      <c r="M648" s="12">
        <v>3</v>
      </c>
      <c r="N648" s="12">
        <v>3</v>
      </c>
      <c r="O648" s="12" t="str">
        <f>VLOOKUP(G648,calculate_field!$B$2:$C$5,2,FALSE)</f>
        <v>Clear/Partly Cloudy</v>
      </c>
      <c r="P648" s="12" t="str">
        <f t="shared" si="72"/>
        <v>Sunday</v>
      </c>
      <c r="Q648" s="12" t="str">
        <f t="shared" si="73"/>
        <v>Weekend</v>
      </c>
      <c r="R648" s="12" t="str">
        <f t="shared" si="74"/>
        <v>Night</v>
      </c>
      <c r="S648" s="28" t="str">
        <f>INDEX(calculate_field!$F$2:$F$4, MATCH(H648, calculate_field!$E$2:$E$4, 1))</f>
        <v>Cold</v>
      </c>
      <c r="T648" s="33">
        <f t="shared" si="75"/>
        <v>43.375</v>
      </c>
      <c r="U648" s="33">
        <f t="shared" si="76"/>
        <v>40.910094959132245</v>
      </c>
      <c r="V648" s="33">
        <f t="shared" si="77"/>
        <v>-1.0307377445155286</v>
      </c>
      <c r="W648" s="12" t="b">
        <f t="shared" si="78"/>
        <v>0</v>
      </c>
    </row>
    <row r="649" spans="1:23">
      <c r="A649" s="26">
        <v>648</v>
      </c>
      <c r="B649" s="27">
        <v>40573</v>
      </c>
      <c r="C649" s="12">
        <v>1</v>
      </c>
      <c r="D649" s="12">
        <v>7</v>
      </c>
      <c r="E649" s="12" t="b">
        <v>0</v>
      </c>
      <c r="F649" s="12">
        <v>0</v>
      </c>
      <c r="G649" s="12">
        <v>1</v>
      </c>
      <c r="H649" s="12">
        <v>0.14000000000000001</v>
      </c>
      <c r="I649" s="12">
        <v>0.21210000000000001</v>
      </c>
      <c r="J649" s="12">
        <v>0.86</v>
      </c>
      <c r="K649" s="12">
        <v>0</v>
      </c>
      <c r="L649" s="12">
        <v>0</v>
      </c>
      <c r="M649" s="12">
        <v>3</v>
      </c>
      <c r="N649" s="12">
        <v>3</v>
      </c>
      <c r="O649" s="12" t="str">
        <f>VLOOKUP(G649,calculate_field!$B$2:$C$5,2,FALSE)</f>
        <v>Clear/Partly Cloudy</v>
      </c>
      <c r="P649" s="12" t="str">
        <f t="shared" si="72"/>
        <v>Sunday</v>
      </c>
      <c r="Q649" s="12" t="str">
        <f t="shared" si="73"/>
        <v>Weekend</v>
      </c>
      <c r="R649" s="12" t="str">
        <f t="shared" si="74"/>
        <v>Morning</v>
      </c>
      <c r="S649" s="28" t="str">
        <f>INDEX(calculate_field!$F$2:$F$4, MATCH(H649, calculate_field!$E$2:$E$4, 1))</f>
        <v>Cold</v>
      </c>
      <c r="T649" s="33">
        <f t="shared" si="75"/>
        <v>44.791666666666664</v>
      </c>
      <c r="U649" s="33">
        <f t="shared" si="76"/>
        <v>40.030400585236379</v>
      </c>
      <c r="V649" s="33">
        <f t="shared" si="77"/>
        <v>-0.49851867170155945</v>
      </c>
      <c r="W649" s="12" t="b">
        <f t="shared" si="78"/>
        <v>0</v>
      </c>
    </row>
    <row r="650" spans="1:23">
      <c r="A650" s="26">
        <v>649</v>
      </c>
      <c r="B650" s="27">
        <v>40573</v>
      </c>
      <c r="C650" s="12">
        <v>1</v>
      </c>
      <c r="D650" s="12">
        <v>8</v>
      </c>
      <c r="E650" s="12" t="b">
        <v>0</v>
      </c>
      <c r="F650" s="12">
        <v>0</v>
      </c>
      <c r="G650" s="12">
        <v>2</v>
      </c>
      <c r="H650" s="12">
        <v>0.14000000000000001</v>
      </c>
      <c r="I650" s="12">
        <v>0.21210000000000001</v>
      </c>
      <c r="J650" s="12">
        <v>0.86</v>
      </c>
      <c r="K650" s="12">
        <v>0</v>
      </c>
      <c r="L650" s="12">
        <v>1</v>
      </c>
      <c r="M650" s="12">
        <v>11</v>
      </c>
      <c r="N650" s="12">
        <v>12</v>
      </c>
      <c r="O650" s="12" t="str">
        <f>VLOOKUP(G650,calculate_field!$B$2:$C$5,2,FALSE)</f>
        <v xml:space="preserve">Mist / cloudy </v>
      </c>
      <c r="P650" s="12" t="str">
        <f t="shared" si="72"/>
        <v>Sunday</v>
      </c>
      <c r="Q650" s="12" t="str">
        <f t="shared" si="73"/>
        <v>Weekend</v>
      </c>
      <c r="R650" s="12" t="str">
        <f t="shared" si="74"/>
        <v>Morning</v>
      </c>
      <c r="S650" s="28" t="str">
        <f>INDEX(calculate_field!$F$2:$F$4, MATCH(H650, calculate_field!$E$2:$E$4, 1))</f>
        <v>Cold</v>
      </c>
      <c r="T650" s="33">
        <f t="shared" si="75"/>
        <v>47.666666666666664</v>
      </c>
      <c r="U650" s="33">
        <f t="shared" si="76"/>
        <v>39.370775595795578</v>
      </c>
      <c r="V650" s="33">
        <f t="shared" si="77"/>
        <v>0.1591930277749232</v>
      </c>
      <c r="W650" s="12" t="b">
        <f t="shared" si="78"/>
        <v>0</v>
      </c>
    </row>
    <row r="651" spans="1:23">
      <c r="A651" s="26">
        <v>650</v>
      </c>
      <c r="B651" s="27">
        <v>40573</v>
      </c>
      <c r="C651" s="12">
        <v>1</v>
      </c>
      <c r="D651" s="12">
        <v>9</v>
      </c>
      <c r="E651" s="12" t="b">
        <v>0</v>
      </c>
      <c r="F651" s="12">
        <v>0</v>
      </c>
      <c r="G651" s="12">
        <v>2</v>
      </c>
      <c r="H651" s="12">
        <v>0.16</v>
      </c>
      <c r="I651" s="12">
        <v>0.2273</v>
      </c>
      <c r="J651" s="12">
        <v>0.8</v>
      </c>
      <c r="K651" s="12">
        <v>0</v>
      </c>
      <c r="L651" s="12">
        <v>4</v>
      </c>
      <c r="M651" s="12">
        <v>34</v>
      </c>
      <c r="N651" s="12">
        <v>38</v>
      </c>
      <c r="O651" s="12" t="str">
        <f>VLOOKUP(G651,calculate_field!$B$2:$C$5,2,FALSE)</f>
        <v xml:space="preserve">Mist / cloudy </v>
      </c>
      <c r="P651" s="12" t="str">
        <f t="shared" si="72"/>
        <v>Sunday</v>
      </c>
      <c r="Q651" s="12" t="str">
        <f t="shared" si="73"/>
        <v>Weekend</v>
      </c>
      <c r="R651" s="12" t="str">
        <f t="shared" si="74"/>
        <v>Morning</v>
      </c>
      <c r="S651" s="28" t="str">
        <f>INDEX(calculate_field!$F$2:$F$4, MATCH(H651, calculate_field!$E$2:$E$4, 1))</f>
        <v>Cold</v>
      </c>
      <c r="T651" s="33">
        <f t="shared" si="75"/>
        <v>54.875</v>
      </c>
      <c r="U651" s="33">
        <f t="shared" si="76"/>
        <v>47.545230181832949</v>
      </c>
      <c r="V651" s="33">
        <f t="shared" si="77"/>
        <v>2.1946313861914999</v>
      </c>
      <c r="W651" s="12" t="b">
        <f t="shared" si="78"/>
        <v>0</v>
      </c>
    </row>
    <row r="652" spans="1:23">
      <c r="A652" s="26">
        <v>651</v>
      </c>
      <c r="B652" s="27">
        <v>40573</v>
      </c>
      <c r="C652" s="12">
        <v>1</v>
      </c>
      <c r="D652" s="12">
        <v>10</v>
      </c>
      <c r="E652" s="12" t="b">
        <v>0</v>
      </c>
      <c r="F652" s="12">
        <v>0</v>
      </c>
      <c r="G652" s="12">
        <v>2</v>
      </c>
      <c r="H652" s="12">
        <v>0.18</v>
      </c>
      <c r="I652" s="12">
        <v>0.2424</v>
      </c>
      <c r="J652" s="12">
        <v>0.8</v>
      </c>
      <c r="K652" s="12">
        <v>0</v>
      </c>
      <c r="L652" s="12">
        <v>7</v>
      </c>
      <c r="M652" s="12">
        <v>57</v>
      </c>
      <c r="N652" s="12">
        <v>64</v>
      </c>
      <c r="O652" s="12" t="str">
        <f>VLOOKUP(G652,calculate_field!$B$2:$C$5,2,FALSE)</f>
        <v xml:space="preserve">Mist / cloudy </v>
      </c>
      <c r="P652" s="12" t="str">
        <f t="shared" si="72"/>
        <v>Sunday</v>
      </c>
      <c r="Q652" s="12" t="str">
        <f t="shared" si="73"/>
        <v>Weekend</v>
      </c>
      <c r="R652" s="12" t="str">
        <f t="shared" si="74"/>
        <v>Morning</v>
      </c>
      <c r="S652" s="28" t="str">
        <f>INDEX(calculate_field!$F$2:$F$4, MATCH(H652, calculate_field!$E$2:$E$4, 1))</f>
        <v>Cold</v>
      </c>
      <c r="T652" s="33">
        <f t="shared" si="75"/>
        <v>57.958333333333336</v>
      </c>
      <c r="U652" s="33">
        <f t="shared" si="76"/>
        <v>48.786561911948716</v>
      </c>
      <c r="V652" s="33">
        <f t="shared" si="77"/>
        <v>0.98877730737706204</v>
      </c>
      <c r="W652" s="12" t="b">
        <f t="shared" si="78"/>
        <v>0</v>
      </c>
    </row>
    <row r="653" spans="1:23">
      <c r="A653" s="26">
        <v>652</v>
      </c>
      <c r="B653" s="27">
        <v>40573</v>
      </c>
      <c r="C653" s="12">
        <v>1</v>
      </c>
      <c r="D653" s="12">
        <v>11</v>
      </c>
      <c r="E653" s="12" t="b">
        <v>0</v>
      </c>
      <c r="F653" s="12">
        <v>0</v>
      </c>
      <c r="G653" s="12">
        <v>1</v>
      </c>
      <c r="H653" s="12">
        <v>0.22</v>
      </c>
      <c r="I653" s="12">
        <v>0.2727</v>
      </c>
      <c r="J653" s="12">
        <v>0.75</v>
      </c>
      <c r="K653" s="12">
        <v>0</v>
      </c>
      <c r="L653" s="12">
        <v>9</v>
      </c>
      <c r="M653" s="12">
        <v>50</v>
      </c>
      <c r="N653" s="12">
        <v>59</v>
      </c>
      <c r="O653" s="12" t="str">
        <f>VLOOKUP(G653,calculate_field!$B$2:$C$5,2,FALSE)</f>
        <v>Clear/Partly Cloudy</v>
      </c>
      <c r="P653" s="12" t="str">
        <f t="shared" si="72"/>
        <v>Sunday</v>
      </c>
      <c r="Q653" s="12" t="str">
        <f t="shared" si="73"/>
        <v>Weekend</v>
      </c>
      <c r="R653" s="12" t="str">
        <f t="shared" si="74"/>
        <v>Morning</v>
      </c>
      <c r="S653" s="28" t="str">
        <f>INDEX(calculate_field!$F$2:$F$4, MATCH(H653, calculate_field!$E$2:$E$4, 1))</f>
        <v>Mild</v>
      </c>
      <c r="T653" s="33">
        <f t="shared" si="75"/>
        <v>58.166666666666664</v>
      </c>
      <c r="U653" s="33">
        <f t="shared" si="76"/>
        <v>48.82414465660689</v>
      </c>
      <c r="V653" s="33">
        <f t="shared" si="77"/>
        <v>0.17158625455190052</v>
      </c>
      <c r="W653" s="12" t="b">
        <f t="shared" si="78"/>
        <v>0</v>
      </c>
    </row>
    <row r="654" spans="1:23">
      <c r="A654" s="26">
        <v>653</v>
      </c>
      <c r="B654" s="27">
        <v>40573</v>
      </c>
      <c r="C654" s="12">
        <v>1</v>
      </c>
      <c r="D654" s="12">
        <v>12</v>
      </c>
      <c r="E654" s="12" t="b">
        <v>0</v>
      </c>
      <c r="F654" s="12">
        <v>0</v>
      </c>
      <c r="G654" s="12">
        <v>1</v>
      </c>
      <c r="H654" s="12">
        <v>0.3</v>
      </c>
      <c r="I654" s="12">
        <v>0.31819999999999998</v>
      </c>
      <c r="J654" s="12">
        <v>0.52</v>
      </c>
      <c r="K654" s="12">
        <v>0.1045</v>
      </c>
      <c r="L654" s="12">
        <v>10</v>
      </c>
      <c r="M654" s="12">
        <v>87</v>
      </c>
      <c r="N654" s="12">
        <v>97</v>
      </c>
      <c r="O654" s="12" t="str">
        <f>VLOOKUP(G654,calculate_field!$B$2:$C$5,2,FALSE)</f>
        <v>Clear/Partly Cloudy</v>
      </c>
      <c r="P654" s="12" t="str">
        <f t="shared" si="72"/>
        <v>Sunday</v>
      </c>
      <c r="Q654" s="12" t="str">
        <f t="shared" si="73"/>
        <v>Weekend</v>
      </c>
      <c r="R654" s="12" t="str">
        <f t="shared" si="74"/>
        <v>Afternoon</v>
      </c>
      <c r="S654" s="28" t="str">
        <f>INDEX(calculate_field!$F$2:$F$4, MATCH(H654, calculate_field!$E$2:$E$4, 1))</f>
        <v>Warm</v>
      </c>
      <c r="T654" s="33">
        <f t="shared" si="75"/>
        <v>57.708333333333336</v>
      </c>
      <c r="U654" s="33">
        <f t="shared" si="76"/>
        <v>48.867593215408782</v>
      </c>
      <c r="V654" s="33">
        <f t="shared" si="77"/>
        <v>-0.24954832844771155</v>
      </c>
      <c r="W654" s="12" t="b">
        <f t="shared" si="78"/>
        <v>0</v>
      </c>
    </row>
    <row r="655" spans="1:23">
      <c r="A655" s="26">
        <v>654</v>
      </c>
      <c r="B655" s="27">
        <v>40573</v>
      </c>
      <c r="C655" s="12">
        <v>1</v>
      </c>
      <c r="D655" s="12">
        <v>13</v>
      </c>
      <c r="E655" s="12" t="b">
        <v>0</v>
      </c>
      <c r="F655" s="12">
        <v>0</v>
      </c>
      <c r="G655" s="12">
        <v>1</v>
      </c>
      <c r="H655" s="12">
        <v>0.28000000000000003</v>
      </c>
      <c r="I655" s="12">
        <v>0.28789999999999999</v>
      </c>
      <c r="J655" s="12">
        <v>0.61</v>
      </c>
      <c r="K655" s="12">
        <v>0.1045</v>
      </c>
      <c r="L655" s="12">
        <v>13</v>
      </c>
      <c r="M655" s="12">
        <v>71</v>
      </c>
      <c r="N655" s="12">
        <v>84</v>
      </c>
      <c r="O655" s="12" t="str">
        <f>VLOOKUP(G655,calculate_field!$B$2:$C$5,2,FALSE)</f>
        <v>Clear/Partly Cloudy</v>
      </c>
      <c r="P655" s="12" t="str">
        <f t="shared" si="72"/>
        <v>Sunday</v>
      </c>
      <c r="Q655" s="12" t="str">
        <f t="shared" si="73"/>
        <v>Weekend</v>
      </c>
      <c r="R655" s="12" t="str">
        <f t="shared" si="74"/>
        <v>Afternoon</v>
      </c>
      <c r="S655" s="28" t="str">
        <f>INDEX(calculate_field!$F$2:$F$4, MATCH(H655, calculate_field!$E$2:$E$4, 1))</f>
        <v>Mild</v>
      </c>
      <c r="T655" s="33">
        <f t="shared" si="75"/>
        <v>56.5</v>
      </c>
      <c r="U655" s="33">
        <f t="shared" si="76"/>
        <v>48.207883172775801</v>
      </c>
      <c r="V655" s="33">
        <f t="shared" si="77"/>
        <v>0.16048286734565942</v>
      </c>
      <c r="W655" s="12" t="b">
        <f t="shared" si="78"/>
        <v>0</v>
      </c>
    </row>
    <row r="656" spans="1:23">
      <c r="A656" s="26">
        <v>655</v>
      </c>
      <c r="B656" s="27">
        <v>40573</v>
      </c>
      <c r="C656" s="12">
        <v>1</v>
      </c>
      <c r="D656" s="12">
        <v>14</v>
      </c>
      <c r="E656" s="12" t="b">
        <v>0</v>
      </c>
      <c r="F656" s="12">
        <v>0</v>
      </c>
      <c r="G656" s="12">
        <v>1</v>
      </c>
      <c r="H656" s="12">
        <v>0.28000000000000003</v>
      </c>
      <c r="I656" s="12">
        <v>0.30299999999999999</v>
      </c>
      <c r="J656" s="12">
        <v>0.61</v>
      </c>
      <c r="K656" s="12">
        <v>8.9599999999999999E-2</v>
      </c>
      <c r="L656" s="12">
        <v>18</v>
      </c>
      <c r="M656" s="12">
        <v>104</v>
      </c>
      <c r="N656" s="12">
        <v>122</v>
      </c>
      <c r="O656" s="12" t="str">
        <f>VLOOKUP(G656,calculate_field!$B$2:$C$5,2,FALSE)</f>
        <v>Clear/Partly Cloudy</v>
      </c>
      <c r="P656" s="12" t="str">
        <f t="shared" si="72"/>
        <v>Sunday</v>
      </c>
      <c r="Q656" s="12" t="str">
        <f t="shared" si="73"/>
        <v>Weekend</v>
      </c>
      <c r="R656" s="12" t="str">
        <f t="shared" si="74"/>
        <v>Afternoon</v>
      </c>
      <c r="S656" s="28" t="str">
        <f>INDEX(calculate_field!$F$2:$F$4, MATCH(H656, calculate_field!$E$2:$E$4, 1))</f>
        <v>Mild</v>
      </c>
      <c r="T656" s="33">
        <f t="shared" si="75"/>
        <v>55.25</v>
      </c>
      <c r="U656" s="33">
        <f t="shared" si="76"/>
        <v>47.851445846131099</v>
      </c>
      <c r="V656" s="33">
        <f t="shared" si="77"/>
        <v>-0.11711059076503867</v>
      </c>
      <c r="W656" s="12" t="b">
        <f t="shared" si="78"/>
        <v>0</v>
      </c>
    </row>
    <row r="657" spans="1:23">
      <c r="A657" s="26">
        <v>656</v>
      </c>
      <c r="B657" s="27">
        <v>40573</v>
      </c>
      <c r="C657" s="12">
        <v>1</v>
      </c>
      <c r="D657" s="12">
        <v>15</v>
      </c>
      <c r="E657" s="12" t="b">
        <v>0</v>
      </c>
      <c r="F657" s="12">
        <v>0</v>
      </c>
      <c r="G657" s="12">
        <v>1</v>
      </c>
      <c r="H657" s="12">
        <v>0.3</v>
      </c>
      <c r="I657" s="12">
        <v>0.33329999999999999</v>
      </c>
      <c r="J657" s="12">
        <v>0.56000000000000005</v>
      </c>
      <c r="K657" s="12">
        <v>0</v>
      </c>
      <c r="L657" s="12">
        <v>14</v>
      </c>
      <c r="M657" s="12">
        <v>95</v>
      </c>
      <c r="N657" s="12">
        <v>109</v>
      </c>
      <c r="O657" s="12" t="str">
        <f>VLOOKUP(G657,calculate_field!$B$2:$C$5,2,FALSE)</f>
        <v>Clear/Partly Cloudy</v>
      </c>
      <c r="P657" s="12" t="str">
        <f t="shared" si="72"/>
        <v>Sunday</v>
      </c>
      <c r="Q657" s="12" t="str">
        <f t="shared" si="73"/>
        <v>Weekend</v>
      </c>
      <c r="R657" s="12" t="str">
        <f t="shared" si="74"/>
        <v>Afternoon</v>
      </c>
      <c r="S657" s="28" t="str">
        <f>INDEX(calculate_field!$F$2:$F$4, MATCH(H657, calculate_field!$E$2:$E$4, 1))</f>
        <v>Warm</v>
      </c>
      <c r="T657" s="33">
        <f t="shared" si="75"/>
        <v>53.75</v>
      </c>
      <c r="U657" s="33">
        <f t="shared" si="76"/>
        <v>46.203942990031564</v>
      </c>
      <c r="V657" s="33">
        <f t="shared" si="77"/>
        <v>0.5491185478094035</v>
      </c>
      <c r="W657" s="12" t="b">
        <f t="shared" si="78"/>
        <v>0</v>
      </c>
    </row>
    <row r="658" spans="1:23">
      <c r="A658" s="26">
        <v>657</v>
      </c>
      <c r="B658" s="27">
        <v>40573</v>
      </c>
      <c r="C658" s="12">
        <v>1</v>
      </c>
      <c r="D658" s="12">
        <v>16</v>
      </c>
      <c r="E658" s="12" t="b">
        <v>0</v>
      </c>
      <c r="F658" s="12">
        <v>0</v>
      </c>
      <c r="G658" s="12">
        <v>1</v>
      </c>
      <c r="H658" s="12">
        <v>0.3</v>
      </c>
      <c r="I658" s="12">
        <v>0.33329999999999999</v>
      </c>
      <c r="J658" s="12">
        <v>0.56000000000000005</v>
      </c>
      <c r="K658" s="12">
        <v>0</v>
      </c>
      <c r="L658" s="12">
        <v>19</v>
      </c>
      <c r="M658" s="12">
        <v>104</v>
      </c>
      <c r="N658" s="12">
        <v>123</v>
      </c>
      <c r="O658" s="12" t="str">
        <f>VLOOKUP(G658,calculate_field!$B$2:$C$5,2,FALSE)</f>
        <v>Clear/Partly Cloudy</v>
      </c>
      <c r="P658" s="12" t="str">
        <f t="shared" si="72"/>
        <v>Sunday</v>
      </c>
      <c r="Q658" s="12" t="str">
        <f t="shared" si="73"/>
        <v>Weekend</v>
      </c>
      <c r="R658" s="12" t="str">
        <f t="shared" si="74"/>
        <v>Afternoon</v>
      </c>
      <c r="S658" s="28" t="str">
        <f>INDEX(calculate_field!$F$2:$F$4, MATCH(H658, calculate_field!$E$2:$E$4, 1))</f>
        <v>Warm</v>
      </c>
      <c r="T658" s="33">
        <f t="shared" si="75"/>
        <v>51.041666666666664</v>
      </c>
      <c r="U658" s="33">
        <f t="shared" si="76"/>
        <v>44.705295053238395</v>
      </c>
      <c r="V658" s="33">
        <f t="shared" si="77"/>
        <v>-0.29774266006211481</v>
      </c>
      <c r="W658" s="12" t="b">
        <f t="shared" si="78"/>
        <v>1</v>
      </c>
    </row>
    <row r="659" spans="1:23">
      <c r="A659" s="26">
        <v>658</v>
      </c>
      <c r="B659" s="27">
        <v>40573</v>
      </c>
      <c r="C659" s="12">
        <v>1</v>
      </c>
      <c r="D659" s="12">
        <v>17</v>
      </c>
      <c r="E659" s="12" t="b">
        <v>0</v>
      </c>
      <c r="F659" s="12">
        <v>0</v>
      </c>
      <c r="G659" s="12">
        <v>1</v>
      </c>
      <c r="H659" s="12">
        <v>0.3</v>
      </c>
      <c r="I659" s="12">
        <v>0.28789999999999999</v>
      </c>
      <c r="J659" s="12">
        <v>0.56000000000000005</v>
      </c>
      <c r="K659" s="12">
        <v>0.19400000000000001</v>
      </c>
      <c r="L659" s="12">
        <v>6</v>
      </c>
      <c r="M659" s="12">
        <v>71</v>
      </c>
      <c r="N659" s="12">
        <v>77</v>
      </c>
      <c r="O659" s="12" t="str">
        <f>VLOOKUP(G659,calculate_field!$B$2:$C$5,2,FALSE)</f>
        <v>Clear/Partly Cloudy</v>
      </c>
      <c r="P659" s="12" t="str">
        <f t="shared" si="72"/>
        <v>Sunday</v>
      </c>
      <c r="Q659" s="12" t="str">
        <f t="shared" si="73"/>
        <v>Weekend</v>
      </c>
      <c r="R659" s="12" t="str">
        <f t="shared" si="74"/>
        <v>Evening</v>
      </c>
      <c r="S659" s="28" t="str">
        <f>INDEX(calculate_field!$F$2:$F$4, MATCH(H659, calculate_field!$E$2:$E$4, 1))</f>
        <v>Warm</v>
      </c>
      <c r="T659" s="33">
        <f t="shared" si="75"/>
        <v>49.5</v>
      </c>
      <c r="U659" s="33">
        <f t="shared" si="76"/>
        <v>42.709331024048353</v>
      </c>
      <c r="V659" s="33">
        <f t="shared" si="77"/>
        <v>0.56592557559080081</v>
      </c>
      <c r="W659" s="12" t="b">
        <f t="shared" si="78"/>
        <v>0</v>
      </c>
    </row>
    <row r="660" spans="1:23">
      <c r="A660" s="26">
        <v>659</v>
      </c>
      <c r="B660" s="27">
        <v>40573</v>
      </c>
      <c r="C660" s="12">
        <v>1</v>
      </c>
      <c r="D660" s="12">
        <v>18</v>
      </c>
      <c r="E660" s="12" t="b">
        <v>0</v>
      </c>
      <c r="F660" s="12">
        <v>0</v>
      </c>
      <c r="G660" s="12">
        <v>1</v>
      </c>
      <c r="H660" s="12">
        <v>0.26</v>
      </c>
      <c r="I660" s="12">
        <v>0.2576</v>
      </c>
      <c r="J660" s="12">
        <v>0.65</v>
      </c>
      <c r="K660" s="12">
        <v>0.16420000000000001</v>
      </c>
      <c r="L660" s="12">
        <v>8</v>
      </c>
      <c r="M660" s="12">
        <v>57</v>
      </c>
      <c r="N660" s="12">
        <v>65</v>
      </c>
      <c r="O660" s="12" t="str">
        <f>VLOOKUP(G660,calculate_field!$B$2:$C$5,2,FALSE)</f>
        <v>Clear/Partly Cloudy</v>
      </c>
      <c r="P660" s="12" t="str">
        <f t="shared" si="72"/>
        <v>Sunday</v>
      </c>
      <c r="Q660" s="12" t="str">
        <f t="shared" si="73"/>
        <v>Weekend</v>
      </c>
      <c r="R660" s="12" t="str">
        <f t="shared" si="74"/>
        <v>Evening</v>
      </c>
      <c r="S660" s="28" t="str">
        <f>INDEX(calculate_field!$F$2:$F$4, MATCH(H660, calculate_field!$E$2:$E$4, 1))</f>
        <v>Mild</v>
      </c>
      <c r="T660" s="33">
        <f t="shared" si="75"/>
        <v>53</v>
      </c>
      <c r="U660" s="33">
        <f t="shared" si="76"/>
        <v>48.155545077790684</v>
      </c>
      <c r="V660" s="33">
        <f t="shared" si="77"/>
        <v>1.8501408414424596</v>
      </c>
      <c r="W660" s="12" t="b">
        <f t="shared" si="78"/>
        <v>0</v>
      </c>
    </row>
    <row r="661" spans="1:23">
      <c r="A661" s="26">
        <v>660</v>
      </c>
      <c r="B661" s="27">
        <v>40573</v>
      </c>
      <c r="C661" s="12">
        <v>1</v>
      </c>
      <c r="D661" s="12">
        <v>19</v>
      </c>
      <c r="E661" s="12" t="b">
        <v>0</v>
      </c>
      <c r="F661" s="12">
        <v>0</v>
      </c>
      <c r="G661" s="12">
        <v>1</v>
      </c>
      <c r="H661" s="12">
        <v>0.26</v>
      </c>
      <c r="I661" s="12">
        <v>0.2576</v>
      </c>
      <c r="J661" s="12">
        <v>0.65</v>
      </c>
      <c r="K661" s="12">
        <v>0.19400000000000001</v>
      </c>
      <c r="L661" s="12">
        <v>9</v>
      </c>
      <c r="M661" s="12">
        <v>46</v>
      </c>
      <c r="N661" s="12">
        <v>55</v>
      </c>
      <c r="O661" s="12" t="str">
        <f>VLOOKUP(G661,calculate_field!$B$2:$C$5,2,FALSE)</f>
        <v>Clear/Partly Cloudy</v>
      </c>
      <c r="P661" s="12" t="str">
        <f t="shared" si="72"/>
        <v>Sunday</v>
      </c>
      <c r="Q661" s="12" t="str">
        <f t="shared" si="73"/>
        <v>Weekend</v>
      </c>
      <c r="R661" s="12" t="str">
        <f t="shared" si="74"/>
        <v>Evening</v>
      </c>
      <c r="S661" s="28" t="str">
        <f>INDEX(calculate_field!$F$2:$F$4, MATCH(H661, calculate_field!$E$2:$E$4, 1))</f>
        <v>Mild</v>
      </c>
      <c r="T661" s="33">
        <f t="shared" si="75"/>
        <v>56.791666666666664</v>
      </c>
      <c r="U661" s="33">
        <f t="shared" si="76"/>
        <v>52.525752827969328</v>
      </c>
      <c r="V661" s="33">
        <f t="shared" si="77"/>
        <v>1.731558887373192</v>
      </c>
      <c r="W661" s="12" t="b">
        <f t="shared" si="78"/>
        <v>0</v>
      </c>
    </row>
    <row r="662" spans="1:23">
      <c r="A662" s="26">
        <v>661</v>
      </c>
      <c r="B662" s="27">
        <v>40573</v>
      </c>
      <c r="C662" s="12">
        <v>1</v>
      </c>
      <c r="D662" s="12">
        <v>20</v>
      </c>
      <c r="E662" s="12" t="b">
        <v>0</v>
      </c>
      <c r="F662" s="12">
        <v>0</v>
      </c>
      <c r="G662" s="12">
        <v>2</v>
      </c>
      <c r="H662" s="12">
        <v>0.26</v>
      </c>
      <c r="I662" s="12">
        <v>0.2727</v>
      </c>
      <c r="J662" s="12">
        <v>0.65</v>
      </c>
      <c r="K662" s="12">
        <v>0.1045</v>
      </c>
      <c r="L662" s="12">
        <v>3</v>
      </c>
      <c r="M662" s="12">
        <v>30</v>
      </c>
      <c r="N662" s="12">
        <v>33</v>
      </c>
      <c r="O662" s="12" t="str">
        <f>VLOOKUP(G662,calculate_field!$B$2:$C$5,2,FALSE)</f>
        <v xml:space="preserve">Mist / cloudy </v>
      </c>
      <c r="P662" s="12" t="str">
        <f t="shared" si="72"/>
        <v>Sunday</v>
      </c>
      <c r="Q662" s="12" t="str">
        <f t="shared" si="73"/>
        <v>Weekend</v>
      </c>
      <c r="R662" s="12" t="str">
        <f t="shared" si="74"/>
        <v>Evening</v>
      </c>
      <c r="S662" s="28" t="str">
        <f>INDEX(calculate_field!$F$2:$F$4, MATCH(H662, calculate_field!$E$2:$E$4, 1))</f>
        <v>Mild</v>
      </c>
      <c r="T662" s="33">
        <f t="shared" si="75"/>
        <v>59.125</v>
      </c>
      <c r="U662" s="33">
        <f t="shared" si="76"/>
        <v>53.673985683293864</v>
      </c>
      <c r="V662" s="33">
        <f t="shared" si="77"/>
        <v>0.98128064971390461</v>
      </c>
      <c r="W662" s="12" t="b">
        <f t="shared" si="78"/>
        <v>0</v>
      </c>
    </row>
    <row r="663" spans="1:23">
      <c r="A663" s="26">
        <v>662</v>
      </c>
      <c r="B663" s="27">
        <v>40573</v>
      </c>
      <c r="C663" s="12">
        <v>1</v>
      </c>
      <c r="D663" s="12">
        <v>21</v>
      </c>
      <c r="E663" s="12" t="b">
        <v>0</v>
      </c>
      <c r="F663" s="12">
        <v>0</v>
      </c>
      <c r="G663" s="12">
        <v>2</v>
      </c>
      <c r="H663" s="12">
        <v>0.24</v>
      </c>
      <c r="I663" s="12">
        <v>0.2424</v>
      </c>
      <c r="J663" s="12">
        <v>0.7</v>
      </c>
      <c r="K663" s="12">
        <v>0.16420000000000001</v>
      </c>
      <c r="L663" s="12">
        <v>3</v>
      </c>
      <c r="M663" s="12">
        <v>25</v>
      </c>
      <c r="N663" s="12">
        <v>28</v>
      </c>
      <c r="O663" s="12" t="str">
        <f>VLOOKUP(G663,calculate_field!$B$2:$C$5,2,FALSE)</f>
        <v xml:space="preserve">Mist / cloudy </v>
      </c>
      <c r="P663" s="12" t="str">
        <f t="shared" si="72"/>
        <v>Sunday</v>
      </c>
      <c r="Q663" s="12" t="str">
        <f t="shared" si="73"/>
        <v>Weekend</v>
      </c>
      <c r="R663" s="12" t="str">
        <f t="shared" si="74"/>
        <v>Night</v>
      </c>
      <c r="S663" s="28" t="str">
        <f>INDEX(calculate_field!$F$2:$F$4, MATCH(H663, calculate_field!$E$2:$E$4, 1))</f>
        <v>Mild</v>
      </c>
      <c r="T663" s="33">
        <f t="shared" si="75"/>
        <v>61</v>
      </c>
      <c r="U663" s="33">
        <f t="shared" si="76"/>
        <v>53.507415170804776</v>
      </c>
      <c r="V663" s="33">
        <f t="shared" si="77"/>
        <v>0.37034735360466625</v>
      </c>
      <c r="W663" s="12" t="b">
        <f t="shared" si="78"/>
        <v>0</v>
      </c>
    </row>
    <row r="664" spans="1:23">
      <c r="A664" s="26">
        <v>663</v>
      </c>
      <c r="B664" s="27">
        <v>40573</v>
      </c>
      <c r="C664" s="12">
        <v>1</v>
      </c>
      <c r="D664" s="12">
        <v>22</v>
      </c>
      <c r="E664" s="12" t="b">
        <v>0</v>
      </c>
      <c r="F664" s="12">
        <v>0</v>
      </c>
      <c r="G664" s="12">
        <v>2</v>
      </c>
      <c r="H664" s="12">
        <v>0.24</v>
      </c>
      <c r="I664" s="12">
        <v>0.2273</v>
      </c>
      <c r="J664" s="12">
        <v>0.7</v>
      </c>
      <c r="K664" s="12">
        <v>0.19400000000000001</v>
      </c>
      <c r="L664" s="12">
        <v>2</v>
      </c>
      <c r="M664" s="12">
        <v>19</v>
      </c>
      <c r="N664" s="12">
        <v>21</v>
      </c>
      <c r="O664" s="12" t="str">
        <f>VLOOKUP(G664,calculate_field!$B$2:$C$5,2,FALSE)</f>
        <v xml:space="preserve">Mist / cloudy </v>
      </c>
      <c r="P664" s="12" t="str">
        <f t="shared" si="72"/>
        <v>Sunday</v>
      </c>
      <c r="Q664" s="12" t="str">
        <f t="shared" si="73"/>
        <v>Weekend</v>
      </c>
      <c r="R664" s="12" t="str">
        <f t="shared" si="74"/>
        <v>Night</v>
      </c>
      <c r="S664" s="28" t="str">
        <f>INDEX(calculate_field!$F$2:$F$4, MATCH(H664, calculate_field!$E$2:$E$4, 1))</f>
        <v>Mild</v>
      </c>
      <c r="T664" s="33">
        <f t="shared" si="75"/>
        <v>62.166666666666664</v>
      </c>
      <c r="U664" s="33">
        <f t="shared" si="76"/>
        <v>53.059987927256252</v>
      </c>
      <c r="V664" s="33">
        <f t="shared" si="77"/>
        <v>-5.9527535433098001E-2</v>
      </c>
      <c r="W664" s="12" t="b">
        <f t="shared" si="78"/>
        <v>0</v>
      </c>
    </row>
    <row r="665" spans="1:23">
      <c r="A665" s="26">
        <v>664</v>
      </c>
      <c r="B665" s="27">
        <v>40573</v>
      </c>
      <c r="C665" s="12">
        <v>1</v>
      </c>
      <c r="D665" s="12">
        <v>23</v>
      </c>
      <c r="E665" s="12" t="b">
        <v>0</v>
      </c>
      <c r="F665" s="12">
        <v>0</v>
      </c>
      <c r="G665" s="12">
        <v>2</v>
      </c>
      <c r="H665" s="12">
        <v>0.24</v>
      </c>
      <c r="I665" s="12">
        <v>0.21210000000000001</v>
      </c>
      <c r="J665" s="12">
        <v>0.65</v>
      </c>
      <c r="K665" s="12">
        <v>0.28360000000000002</v>
      </c>
      <c r="L665" s="12">
        <v>5</v>
      </c>
      <c r="M665" s="12">
        <v>16</v>
      </c>
      <c r="N665" s="12">
        <v>21</v>
      </c>
      <c r="O665" s="12" t="str">
        <f>VLOOKUP(G665,calculate_field!$B$2:$C$5,2,FALSE)</f>
        <v xml:space="preserve">Mist / cloudy </v>
      </c>
      <c r="P665" s="12" t="str">
        <f t="shared" si="72"/>
        <v>Sunday</v>
      </c>
      <c r="Q665" s="12" t="str">
        <f t="shared" si="73"/>
        <v>Weekend</v>
      </c>
      <c r="R665" s="12" t="str">
        <f t="shared" si="74"/>
        <v>Night</v>
      </c>
      <c r="S665" s="28" t="str">
        <f>INDEX(calculate_field!$F$2:$F$4, MATCH(H665, calculate_field!$E$2:$E$4, 1))</f>
        <v>Mild</v>
      </c>
      <c r="T665" s="33">
        <f t="shared" si="75"/>
        <v>62.708333333333336</v>
      </c>
      <c r="U665" s="33">
        <f t="shared" si="76"/>
        <v>52.686504473377127</v>
      </c>
      <c r="V665" s="33">
        <f t="shared" si="77"/>
        <v>-0.48331338640544952</v>
      </c>
      <c r="W665" s="12" t="b">
        <f t="shared" si="78"/>
        <v>0</v>
      </c>
    </row>
    <row r="666" spans="1:23">
      <c r="A666" s="26">
        <v>665</v>
      </c>
      <c r="B666" s="27">
        <v>40574</v>
      </c>
      <c r="C666" s="12">
        <v>1</v>
      </c>
      <c r="D666" s="12">
        <v>0</v>
      </c>
      <c r="E666" s="12" t="b">
        <v>0</v>
      </c>
      <c r="F666" s="12">
        <v>1</v>
      </c>
      <c r="G666" s="12">
        <v>2</v>
      </c>
      <c r="H666" s="12">
        <v>0.24</v>
      </c>
      <c r="I666" s="12">
        <v>0.2273</v>
      </c>
      <c r="J666" s="12">
        <v>0.65</v>
      </c>
      <c r="K666" s="12">
        <v>0.22389999999999999</v>
      </c>
      <c r="L666" s="12">
        <v>1</v>
      </c>
      <c r="M666" s="12">
        <v>6</v>
      </c>
      <c r="N666" s="12">
        <v>7</v>
      </c>
      <c r="O666" s="12" t="str">
        <f>VLOOKUP(G666,calculate_field!$B$2:$C$5,2,FALSE)</f>
        <v xml:space="preserve">Mist / cloudy </v>
      </c>
      <c r="P666" s="12" t="str">
        <f t="shared" si="72"/>
        <v>Monday</v>
      </c>
      <c r="Q666" s="12" t="str">
        <f t="shared" si="73"/>
        <v>Weekday</v>
      </c>
      <c r="R666" s="12" t="str">
        <f t="shared" si="74"/>
        <v>Night</v>
      </c>
      <c r="S666" s="28" t="str">
        <f>INDEX(calculate_field!$F$2:$F$4, MATCH(H666, calculate_field!$E$2:$E$4, 1))</f>
        <v>Mild</v>
      </c>
      <c r="T666" s="33">
        <f t="shared" si="75"/>
        <v>62.541666666666664</v>
      </c>
      <c r="U666" s="33">
        <f t="shared" si="76"/>
        <v>52.830310113292605</v>
      </c>
      <c r="V666" s="33">
        <f t="shared" si="77"/>
        <v>-0.80066691988030536</v>
      </c>
      <c r="W666" s="12" t="b">
        <f t="shared" si="78"/>
        <v>0</v>
      </c>
    </row>
    <row r="667" spans="1:23">
      <c r="A667" s="26">
        <v>666</v>
      </c>
      <c r="B667" s="27">
        <v>40574</v>
      </c>
      <c r="C667" s="12">
        <v>1</v>
      </c>
      <c r="D667" s="12">
        <v>1</v>
      </c>
      <c r="E667" s="12" t="b">
        <v>0</v>
      </c>
      <c r="F667" s="12">
        <v>1</v>
      </c>
      <c r="G667" s="12">
        <v>1</v>
      </c>
      <c r="H667" s="12">
        <v>0.22</v>
      </c>
      <c r="I667" s="12">
        <v>0.21210000000000001</v>
      </c>
      <c r="J667" s="12">
        <v>0.64</v>
      </c>
      <c r="K667" s="12">
        <v>0.25369999999999998</v>
      </c>
      <c r="L667" s="12">
        <v>2</v>
      </c>
      <c r="M667" s="12">
        <v>5</v>
      </c>
      <c r="N667" s="12">
        <v>7</v>
      </c>
      <c r="O667" s="12" t="str">
        <f>VLOOKUP(G667,calculate_field!$B$2:$C$5,2,FALSE)</f>
        <v>Clear/Partly Cloudy</v>
      </c>
      <c r="P667" s="12" t="str">
        <f t="shared" si="72"/>
        <v>Monday</v>
      </c>
      <c r="Q667" s="12" t="str">
        <f t="shared" si="73"/>
        <v>Weekday</v>
      </c>
      <c r="R667" s="12" t="str">
        <f t="shared" si="74"/>
        <v>Night</v>
      </c>
      <c r="S667" s="28" t="str">
        <f>INDEX(calculate_field!$F$2:$F$4, MATCH(H667, calculate_field!$E$2:$E$4, 1))</f>
        <v>Mild</v>
      </c>
      <c r="T667" s="33">
        <f t="shared" si="75"/>
        <v>62.583333333333336</v>
      </c>
      <c r="U667" s="33">
        <f t="shared" si="76"/>
        <v>52.784975354625352</v>
      </c>
      <c r="V667" s="33">
        <f t="shared" si="77"/>
        <v>-0.95516811597361495</v>
      </c>
      <c r="W667" s="12" t="b">
        <f t="shared" si="78"/>
        <v>1</v>
      </c>
    </row>
    <row r="668" spans="1:23">
      <c r="A668" s="26">
        <v>667</v>
      </c>
      <c r="B668" s="27">
        <v>40574</v>
      </c>
      <c r="C668" s="12">
        <v>1</v>
      </c>
      <c r="D668" s="12">
        <v>2</v>
      </c>
      <c r="E668" s="12" t="b">
        <v>0</v>
      </c>
      <c r="F668" s="12">
        <v>1</v>
      </c>
      <c r="G668" s="12">
        <v>1</v>
      </c>
      <c r="H668" s="12">
        <v>0.22</v>
      </c>
      <c r="I668" s="12">
        <v>0.2273</v>
      </c>
      <c r="J668" s="12">
        <v>0.64</v>
      </c>
      <c r="K668" s="12">
        <v>0.19400000000000001</v>
      </c>
      <c r="L668" s="12">
        <v>0</v>
      </c>
      <c r="M668" s="12">
        <v>1</v>
      </c>
      <c r="N668" s="12">
        <v>1</v>
      </c>
      <c r="O668" s="12" t="str">
        <f>VLOOKUP(G668,calculate_field!$B$2:$C$5,2,FALSE)</f>
        <v>Clear/Partly Cloudy</v>
      </c>
      <c r="P668" s="12" t="str">
        <f t="shared" si="72"/>
        <v>Monday</v>
      </c>
      <c r="Q668" s="12" t="str">
        <f t="shared" si="73"/>
        <v>Weekday</v>
      </c>
      <c r="R668" s="12" t="str">
        <f t="shared" si="74"/>
        <v>Night</v>
      </c>
      <c r="S668" s="28" t="str">
        <f>INDEX(calculate_field!$F$2:$F$4, MATCH(H668, calculate_field!$E$2:$E$4, 1))</f>
        <v>Mild</v>
      </c>
      <c r="T668" s="33">
        <f t="shared" si="75"/>
        <v>62.416666666666664</v>
      </c>
      <c r="U668" s="33">
        <f t="shared" si="76"/>
        <v>52.974084448798223</v>
      </c>
      <c r="V668" s="33">
        <f t="shared" si="77"/>
        <v>-1.0446028775793583</v>
      </c>
      <c r="W668" s="12" t="b">
        <f t="shared" si="78"/>
        <v>1</v>
      </c>
    </row>
    <row r="669" spans="1:23">
      <c r="A669" s="26">
        <v>668</v>
      </c>
      <c r="B669" s="27">
        <v>40574</v>
      </c>
      <c r="C669" s="12">
        <v>1</v>
      </c>
      <c r="D669" s="12">
        <v>3</v>
      </c>
      <c r="E669" s="12" t="b">
        <v>0</v>
      </c>
      <c r="F669" s="12">
        <v>1</v>
      </c>
      <c r="G669" s="12">
        <v>1</v>
      </c>
      <c r="H669" s="12">
        <v>0.22</v>
      </c>
      <c r="I669" s="12">
        <v>0.2273</v>
      </c>
      <c r="J669" s="12">
        <v>0.64</v>
      </c>
      <c r="K669" s="12">
        <v>0.19400000000000001</v>
      </c>
      <c r="L669" s="12">
        <v>0</v>
      </c>
      <c r="M669" s="12">
        <v>2</v>
      </c>
      <c r="N669" s="12">
        <v>2</v>
      </c>
      <c r="O669" s="12" t="str">
        <f>VLOOKUP(G669,calculate_field!$B$2:$C$5,2,FALSE)</f>
        <v>Clear/Partly Cloudy</v>
      </c>
      <c r="P669" s="12" t="str">
        <f t="shared" si="72"/>
        <v>Monday</v>
      </c>
      <c r="Q669" s="12" t="str">
        <f t="shared" si="73"/>
        <v>Weekday</v>
      </c>
      <c r="R669" s="12" t="str">
        <f t="shared" si="74"/>
        <v>Night</v>
      </c>
      <c r="S669" s="28" t="str">
        <f>INDEX(calculate_field!$F$2:$F$4, MATCH(H669, calculate_field!$E$2:$E$4, 1))</f>
        <v>Mild</v>
      </c>
      <c r="T669" s="33">
        <f t="shared" si="75"/>
        <v>62.458333333333336</v>
      </c>
      <c r="U669" s="33">
        <f t="shared" si="76"/>
        <v>52.92404661536122</v>
      </c>
      <c r="V669" s="33">
        <f t="shared" si="77"/>
        <v>-1.065862310283147</v>
      </c>
      <c r="W669" s="12" t="b">
        <f t="shared" si="78"/>
        <v>0</v>
      </c>
    </row>
    <row r="670" spans="1:23">
      <c r="A670" s="26">
        <v>669</v>
      </c>
      <c r="B670" s="27">
        <v>40574</v>
      </c>
      <c r="C670" s="12">
        <v>1</v>
      </c>
      <c r="D670" s="12">
        <v>4</v>
      </c>
      <c r="E670" s="12" t="b">
        <v>0</v>
      </c>
      <c r="F670" s="12">
        <v>1</v>
      </c>
      <c r="G670" s="12">
        <v>1</v>
      </c>
      <c r="H670" s="12">
        <v>0.2</v>
      </c>
      <c r="I670" s="12">
        <v>0.19700000000000001</v>
      </c>
      <c r="J670" s="12">
        <v>0.59</v>
      </c>
      <c r="K670" s="12">
        <v>0.22389999999999999</v>
      </c>
      <c r="L670" s="12">
        <v>0</v>
      </c>
      <c r="M670" s="12">
        <v>2</v>
      </c>
      <c r="N670" s="12">
        <v>2</v>
      </c>
      <c r="O670" s="12" t="str">
        <f>VLOOKUP(G670,calculate_field!$B$2:$C$5,2,FALSE)</f>
        <v>Clear/Partly Cloudy</v>
      </c>
      <c r="P670" s="12" t="str">
        <f t="shared" si="72"/>
        <v>Monday</v>
      </c>
      <c r="Q670" s="12" t="str">
        <f t="shared" si="73"/>
        <v>Weekday</v>
      </c>
      <c r="R670" s="12" t="str">
        <f t="shared" si="74"/>
        <v>Night</v>
      </c>
      <c r="S670" s="28" t="str">
        <f>INDEX(calculate_field!$F$2:$F$4, MATCH(H670, calculate_field!$E$2:$E$4, 1))</f>
        <v>Mild</v>
      </c>
      <c r="T670" s="33">
        <f t="shared" si="75"/>
        <v>62.458333333333336</v>
      </c>
      <c r="U670" s="33">
        <f t="shared" si="76"/>
        <v>52.92404661536122</v>
      </c>
      <c r="V670" s="33">
        <f t="shared" si="77"/>
        <v>-1.0640777504253698</v>
      </c>
      <c r="W670" s="12" t="b">
        <f t="shared" si="78"/>
        <v>0</v>
      </c>
    </row>
    <row r="671" spans="1:23">
      <c r="A671" s="26">
        <v>670</v>
      </c>
      <c r="B671" s="27">
        <v>40574</v>
      </c>
      <c r="C671" s="12">
        <v>1</v>
      </c>
      <c r="D671" s="12">
        <v>5</v>
      </c>
      <c r="E671" s="12" t="b">
        <v>0</v>
      </c>
      <c r="F671" s="12">
        <v>1</v>
      </c>
      <c r="G671" s="12">
        <v>1</v>
      </c>
      <c r="H671" s="12">
        <v>0.18</v>
      </c>
      <c r="I671" s="12">
        <v>0.16669999999999999</v>
      </c>
      <c r="J671" s="12">
        <v>0.64</v>
      </c>
      <c r="K671" s="12">
        <v>0.28360000000000002</v>
      </c>
      <c r="L671" s="12">
        <v>0</v>
      </c>
      <c r="M671" s="12">
        <v>8</v>
      </c>
      <c r="N671" s="12">
        <v>8</v>
      </c>
      <c r="O671" s="12" t="str">
        <f>VLOOKUP(G671,calculate_field!$B$2:$C$5,2,FALSE)</f>
        <v>Clear/Partly Cloudy</v>
      </c>
      <c r="P671" s="12" t="str">
        <f t="shared" si="72"/>
        <v>Monday</v>
      </c>
      <c r="Q671" s="12" t="str">
        <f t="shared" si="73"/>
        <v>Weekday</v>
      </c>
      <c r="R671" s="12" t="str">
        <f t="shared" si="74"/>
        <v>Night</v>
      </c>
      <c r="S671" s="28" t="str">
        <f>INDEX(calculate_field!$F$2:$F$4, MATCH(H671, calculate_field!$E$2:$E$4, 1))</f>
        <v>Cold</v>
      </c>
      <c r="T671" s="33">
        <f t="shared" si="75"/>
        <v>62.5</v>
      </c>
      <c r="U671" s="33">
        <f t="shared" si="76"/>
        <v>52.87474945978262</v>
      </c>
      <c r="V671" s="33">
        <f t="shared" si="77"/>
        <v>-1.0428063462695967</v>
      </c>
      <c r="W671" s="12" t="b">
        <f t="shared" si="78"/>
        <v>0</v>
      </c>
    </row>
    <row r="672" spans="1:23">
      <c r="A672" s="26">
        <v>671</v>
      </c>
      <c r="B672" s="27">
        <v>40574</v>
      </c>
      <c r="C672" s="12">
        <v>1</v>
      </c>
      <c r="D672" s="12">
        <v>6</v>
      </c>
      <c r="E672" s="12" t="b">
        <v>0</v>
      </c>
      <c r="F672" s="12">
        <v>1</v>
      </c>
      <c r="G672" s="12">
        <v>1</v>
      </c>
      <c r="H672" s="12">
        <v>0.16</v>
      </c>
      <c r="I672" s="12">
        <v>0.13639999999999999</v>
      </c>
      <c r="J672" s="12">
        <v>0.69</v>
      </c>
      <c r="K672" s="12">
        <v>0.32840000000000003</v>
      </c>
      <c r="L672" s="12">
        <v>0</v>
      </c>
      <c r="M672" s="12">
        <v>37</v>
      </c>
      <c r="N672" s="12">
        <v>37</v>
      </c>
      <c r="O672" s="12" t="str">
        <f>VLOOKUP(G672,calculate_field!$B$2:$C$5,2,FALSE)</f>
        <v>Clear/Partly Cloudy</v>
      </c>
      <c r="P672" s="12" t="str">
        <f t="shared" si="72"/>
        <v>Monday</v>
      </c>
      <c r="Q672" s="12" t="str">
        <f t="shared" si="73"/>
        <v>Weekday</v>
      </c>
      <c r="R672" s="12" t="str">
        <f t="shared" si="74"/>
        <v>Morning</v>
      </c>
      <c r="S672" s="28" t="str">
        <f>INDEX(calculate_field!$F$2:$F$4, MATCH(H672, calculate_field!$E$2:$E$4, 1))</f>
        <v>Cold</v>
      </c>
      <c r="T672" s="33">
        <f t="shared" si="75"/>
        <v>63.083333333333336</v>
      </c>
      <c r="U672" s="33">
        <f t="shared" si="76"/>
        <v>52.321677830651538</v>
      </c>
      <c r="V672" s="33">
        <f t="shared" si="77"/>
        <v>-0.67246390553833801</v>
      </c>
      <c r="W672" s="12" t="b">
        <f t="shared" si="78"/>
        <v>0</v>
      </c>
    </row>
    <row r="673" spans="1:23">
      <c r="A673" s="26">
        <v>672</v>
      </c>
      <c r="B673" s="27">
        <v>40574</v>
      </c>
      <c r="C673" s="12">
        <v>1</v>
      </c>
      <c r="D673" s="12">
        <v>7</v>
      </c>
      <c r="E673" s="12" t="b">
        <v>0</v>
      </c>
      <c r="F673" s="12">
        <v>1</v>
      </c>
      <c r="G673" s="12">
        <v>2</v>
      </c>
      <c r="H673" s="12">
        <v>0.16</v>
      </c>
      <c r="I673" s="12">
        <v>0.13639999999999999</v>
      </c>
      <c r="J673" s="12">
        <v>0.64</v>
      </c>
      <c r="K673" s="12">
        <v>0.28360000000000002</v>
      </c>
      <c r="L673" s="12">
        <v>1</v>
      </c>
      <c r="M673" s="12">
        <v>71</v>
      </c>
      <c r="N673" s="12">
        <v>72</v>
      </c>
      <c r="O673" s="12" t="str">
        <f>VLOOKUP(G673,calculate_field!$B$2:$C$5,2,FALSE)</f>
        <v xml:space="preserve">Mist / cloudy </v>
      </c>
      <c r="P673" s="12" t="str">
        <f t="shared" si="72"/>
        <v>Monday</v>
      </c>
      <c r="Q673" s="12" t="str">
        <f t="shared" si="73"/>
        <v>Weekday</v>
      </c>
      <c r="R673" s="12" t="str">
        <f t="shared" si="74"/>
        <v>Morning</v>
      </c>
      <c r="S673" s="28" t="str">
        <f>INDEX(calculate_field!$F$2:$F$4, MATCH(H673, calculate_field!$E$2:$E$4, 1))</f>
        <v>Cold</v>
      </c>
      <c r="T673" s="33">
        <f t="shared" si="75"/>
        <v>63.708333333333336</v>
      </c>
      <c r="U673" s="33">
        <f t="shared" si="76"/>
        <v>52.085614442800399</v>
      </c>
      <c r="V673" s="33">
        <f t="shared" si="77"/>
        <v>-8.426155842958935E-2</v>
      </c>
      <c r="W673" s="12" t="b">
        <f t="shared" si="78"/>
        <v>0</v>
      </c>
    </row>
    <row r="674" spans="1:23">
      <c r="A674" s="26">
        <v>673</v>
      </c>
      <c r="B674" s="27">
        <v>40574</v>
      </c>
      <c r="C674" s="12">
        <v>1</v>
      </c>
      <c r="D674" s="12">
        <v>8</v>
      </c>
      <c r="E674" s="12" t="b">
        <v>0</v>
      </c>
      <c r="F674" s="12">
        <v>1</v>
      </c>
      <c r="G674" s="12">
        <v>2</v>
      </c>
      <c r="H674" s="12">
        <v>0.16</v>
      </c>
      <c r="I674" s="12">
        <v>0.13639999999999999</v>
      </c>
      <c r="J674" s="12">
        <v>0.59</v>
      </c>
      <c r="K674" s="12">
        <v>0.28360000000000002</v>
      </c>
      <c r="L674" s="12">
        <v>3</v>
      </c>
      <c r="M674" s="12">
        <v>182</v>
      </c>
      <c r="N674" s="12">
        <v>185</v>
      </c>
      <c r="O674" s="12" t="str">
        <f>VLOOKUP(G674,calculate_field!$B$2:$C$5,2,FALSE)</f>
        <v xml:space="preserve">Mist / cloudy </v>
      </c>
      <c r="P674" s="12" t="str">
        <f t="shared" si="72"/>
        <v>Monday</v>
      </c>
      <c r="Q674" s="12" t="str">
        <f t="shared" si="73"/>
        <v>Weekday</v>
      </c>
      <c r="R674" s="12" t="str">
        <f t="shared" si="74"/>
        <v>Morning</v>
      </c>
      <c r="S674" s="28" t="str">
        <f>INDEX(calculate_field!$F$2:$F$4, MATCH(H674, calculate_field!$E$2:$E$4, 1))</f>
        <v>Cold</v>
      </c>
      <c r="T674" s="33">
        <f t="shared" si="75"/>
        <v>66.333333333333329</v>
      </c>
      <c r="U674" s="33">
        <f t="shared" si="76"/>
        <v>54.071343102678114</v>
      </c>
      <c r="V674" s="33">
        <f t="shared" si="77"/>
        <v>1.5316661282496766</v>
      </c>
      <c r="W674" s="12" t="b">
        <f t="shared" si="78"/>
        <v>0</v>
      </c>
    </row>
    <row r="675" spans="1:23">
      <c r="A675" s="26">
        <v>674</v>
      </c>
      <c r="B675" s="27">
        <v>40574</v>
      </c>
      <c r="C675" s="12">
        <v>1</v>
      </c>
      <c r="D675" s="12">
        <v>9</v>
      </c>
      <c r="E675" s="12" t="b">
        <v>0</v>
      </c>
      <c r="F675" s="12">
        <v>1</v>
      </c>
      <c r="G675" s="12">
        <v>2</v>
      </c>
      <c r="H675" s="12">
        <v>0.16</v>
      </c>
      <c r="I675" s="12">
        <v>0.13639999999999999</v>
      </c>
      <c r="J675" s="12">
        <v>0.59</v>
      </c>
      <c r="K675" s="12">
        <v>0.29849999999999999</v>
      </c>
      <c r="L675" s="12">
        <v>0</v>
      </c>
      <c r="M675" s="12">
        <v>112</v>
      </c>
      <c r="N675" s="12">
        <v>112</v>
      </c>
      <c r="O675" s="12" t="str">
        <f>VLOOKUP(G675,calculate_field!$B$2:$C$5,2,FALSE)</f>
        <v xml:space="preserve">Mist / cloudy </v>
      </c>
      <c r="P675" s="12" t="str">
        <f t="shared" si="72"/>
        <v>Monday</v>
      </c>
      <c r="Q675" s="12" t="str">
        <f t="shared" si="73"/>
        <v>Weekday</v>
      </c>
      <c r="R675" s="12" t="str">
        <f t="shared" si="74"/>
        <v>Morning</v>
      </c>
      <c r="S675" s="28" t="str">
        <f>INDEX(calculate_field!$F$2:$F$4, MATCH(H675, calculate_field!$E$2:$E$4, 1))</f>
        <v>Cold</v>
      </c>
      <c r="T675" s="33">
        <f t="shared" si="75"/>
        <v>63.458333333333336</v>
      </c>
      <c r="U675" s="33">
        <f t="shared" si="76"/>
        <v>49.09261802885986</v>
      </c>
      <c r="V675" s="33">
        <f t="shared" si="77"/>
        <v>1.1142167806276011</v>
      </c>
      <c r="W675" s="12" t="b">
        <f t="shared" si="78"/>
        <v>0</v>
      </c>
    </row>
    <row r="676" spans="1:23">
      <c r="A676" s="26">
        <v>675</v>
      </c>
      <c r="B676" s="27">
        <v>40574</v>
      </c>
      <c r="C676" s="12">
        <v>1</v>
      </c>
      <c r="D676" s="12">
        <v>10</v>
      </c>
      <c r="E676" s="12" t="b">
        <v>0</v>
      </c>
      <c r="F676" s="12">
        <v>1</v>
      </c>
      <c r="G676" s="12">
        <v>2</v>
      </c>
      <c r="H676" s="12">
        <v>0.16</v>
      </c>
      <c r="I676" s="12">
        <v>0.1515</v>
      </c>
      <c r="J676" s="12">
        <v>0.59</v>
      </c>
      <c r="K676" s="12">
        <v>0.19400000000000001</v>
      </c>
      <c r="L676" s="12">
        <v>1</v>
      </c>
      <c r="M676" s="12">
        <v>68</v>
      </c>
      <c r="N676" s="12">
        <v>69</v>
      </c>
      <c r="O676" s="12" t="str">
        <f>VLOOKUP(G676,calculate_field!$B$2:$C$5,2,FALSE)</f>
        <v xml:space="preserve">Mist / cloudy </v>
      </c>
      <c r="P676" s="12" t="str">
        <f t="shared" si="72"/>
        <v>Monday</v>
      </c>
      <c r="Q676" s="12" t="str">
        <f t="shared" si="73"/>
        <v>Weekday</v>
      </c>
      <c r="R676" s="12" t="str">
        <f t="shared" si="74"/>
        <v>Morning</v>
      </c>
      <c r="S676" s="28" t="str">
        <f>INDEX(calculate_field!$F$2:$F$4, MATCH(H676, calculate_field!$E$2:$E$4, 1))</f>
        <v>Cold</v>
      </c>
      <c r="T676" s="33">
        <f t="shared" si="75"/>
        <v>60.75</v>
      </c>
      <c r="U676" s="33">
        <f t="shared" si="76"/>
        <v>48.080774427677611</v>
      </c>
      <c r="V676" s="33">
        <f t="shared" si="77"/>
        <v>-0.19397381836424601</v>
      </c>
      <c r="W676" s="12" t="b">
        <f t="shared" si="78"/>
        <v>0</v>
      </c>
    </row>
    <row r="677" spans="1:23">
      <c r="A677" s="26">
        <v>676</v>
      </c>
      <c r="B677" s="27">
        <v>40574</v>
      </c>
      <c r="C677" s="12">
        <v>1</v>
      </c>
      <c r="D677" s="12">
        <v>11</v>
      </c>
      <c r="E677" s="12" t="b">
        <v>0</v>
      </c>
      <c r="F677" s="12">
        <v>1</v>
      </c>
      <c r="G677" s="12">
        <v>2</v>
      </c>
      <c r="H677" s="12">
        <v>0.16</v>
      </c>
      <c r="I677" s="12">
        <v>0.1515</v>
      </c>
      <c r="J677" s="12">
        <v>0.59</v>
      </c>
      <c r="K677" s="12">
        <v>0.19400000000000001</v>
      </c>
      <c r="L677" s="12">
        <v>2</v>
      </c>
      <c r="M677" s="12">
        <v>46</v>
      </c>
      <c r="N677" s="12">
        <v>48</v>
      </c>
      <c r="O677" s="12" t="str">
        <f>VLOOKUP(G677,calculate_field!$B$2:$C$5,2,FALSE)</f>
        <v xml:space="preserve">Mist / cloudy </v>
      </c>
      <c r="P677" s="12" t="str">
        <f t="shared" si="72"/>
        <v>Monday</v>
      </c>
      <c r="Q677" s="12" t="str">
        <f t="shared" si="73"/>
        <v>Weekday</v>
      </c>
      <c r="R677" s="12" t="str">
        <f t="shared" si="74"/>
        <v>Morning</v>
      </c>
      <c r="S677" s="28" t="str">
        <f>INDEX(calculate_field!$F$2:$F$4, MATCH(H677, calculate_field!$E$2:$E$4, 1))</f>
        <v>Cold</v>
      </c>
      <c r="T677" s="33">
        <f t="shared" si="75"/>
        <v>60</v>
      </c>
      <c r="U677" s="33">
        <f t="shared" si="76"/>
        <v>48.086877899141641</v>
      </c>
      <c r="V677" s="33">
        <f t="shared" si="77"/>
        <v>-0.12993838336782507</v>
      </c>
      <c r="W677" s="12" t="b">
        <f t="shared" si="78"/>
        <v>0</v>
      </c>
    </row>
    <row r="678" spans="1:23">
      <c r="A678" s="26">
        <v>677</v>
      </c>
      <c r="B678" s="27">
        <v>40574</v>
      </c>
      <c r="C678" s="12">
        <v>1</v>
      </c>
      <c r="D678" s="12">
        <v>12</v>
      </c>
      <c r="E678" s="12" t="b">
        <v>0</v>
      </c>
      <c r="F678" s="12">
        <v>1</v>
      </c>
      <c r="G678" s="12">
        <v>2</v>
      </c>
      <c r="H678" s="12">
        <v>0.18</v>
      </c>
      <c r="I678" s="12">
        <v>0.21210000000000001</v>
      </c>
      <c r="J678" s="12">
        <v>0.55000000000000004</v>
      </c>
      <c r="K678" s="12">
        <v>0.1045</v>
      </c>
      <c r="L678" s="12">
        <v>6</v>
      </c>
      <c r="M678" s="12">
        <v>62</v>
      </c>
      <c r="N678" s="12">
        <v>68</v>
      </c>
      <c r="O678" s="12" t="str">
        <f>VLOOKUP(G678,calculate_field!$B$2:$C$5,2,FALSE)</f>
        <v xml:space="preserve">Mist / cloudy </v>
      </c>
      <c r="P678" s="12" t="str">
        <f t="shared" si="72"/>
        <v>Monday</v>
      </c>
      <c r="Q678" s="12" t="str">
        <f t="shared" si="73"/>
        <v>Weekday</v>
      </c>
      <c r="R678" s="12" t="str">
        <f t="shared" si="74"/>
        <v>Afternoon</v>
      </c>
      <c r="S678" s="28" t="str">
        <f>INDEX(calculate_field!$F$2:$F$4, MATCH(H678, calculate_field!$E$2:$E$4, 1))</f>
        <v>Cold</v>
      </c>
      <c r="T678" s="33">
        <f t="shared" si="75"/>
        <v>60.291666666666664</v>
      </c>
      <c r="U678" s="33">
        <f t="shared" si="76"/>
        <v>48.032126175379076</v>
      </c>
      <c r="V678" s="33">
        <f t="shared" si="77"/>
        <v>-5.5581546173521248E-2</v>
      </c>
      <c r="W678" s="12" t="b">
        <f t="shared" si="78"/>
        <v>0</v>
      </c>
    </row>
    <row r="679" spans="1:23">
      <c r="A679" s="26">
        <v>678</v>
      </c>
      <c r="B679" s="27">
        <v>40574</v>
      </c>
      <c r="C679" s="12">
        <v>1</v>
      </c>
      <c r="D679" s="12">
        <v>13</v>
      </c>
      <c r="E679" s="12" t="b">
        <v>0</v>
      </c>
      <c r="F679" s="12">
        <v>1</v>
      </c>
      <c r="G679" s="12">
        <v>2</v>
      </c>
      <c r="H679" s="12">
        <v>0.16</v>
      </c>
      <c r="I679" s="12">
        <v>0.2273</v>
      </c>
      <c r="J679" s="12">
        <v>0.59</v>
      </c>
      <c r="K679" s="12">
        <v>0</v>
      </c>
      <c r="L679" s="12">
        <v>2</v>
      </c>
      <c r="M679" s="12">
        <v>52</v>
      </c>
      <c r="N679" s="12">
        <v>54</v>
      </c>
      <c r="O679" s="12" t="str">
        <f>VLOOKUP(G679,calculate_field!$B$2:$C$5,2,FALSE)</f>
        <v xml:space="preserve">Mist / cloudy </v>
      </c>
      <c r="P679" s="12" t="str">
        <f t="shared" si="72"/>
        <v>Monday</v>
      </c>
      <c r="Q679" s="12" t="str">
        <f t="shared" si="73"/>
        <v>Weekday</v>
      </c>
      <c r="R679" s="12" t="str">
        <f t="shared" si="74"/>
        <v>Afternoon</v>
      </c>
      <c r="S679" s="28" t="str">
        <f>INDEX(calculate_field!$F$2:$F$4, MATCH(H679, calculate_field!$E$2:$E$4, 1))</f>
        <v>Cold</v>
      </c>
      <c r="T679" s="33">
        <f t="shared" si="75"/>
        <v>59.625</v>
      </c>
      <c r="U679" s="33">
        <f t="shared" si="76"/>
        <v>48.031522710747403</v>
      </c>
      <c r="V679" s="33">
        <f t="shared" si="77"/>
        <v>-0.11896922821783519</v>
      </c>
      <c r="W679" s="12" t="b">
        <f t="shared" si="78"/>
        <v>0</v>
      </c>
    </row>
    <row r="680" spans="1:23">
      <c r="A680" s="26">
        <v>679</v>
      </c>
      <c r="B680" s="27">
        <v>40574</v>
      </c>
      <c r="C680" s="12">
        <v>1</v>
      </c>
      <c r="D680" s="12">
        <v>14</v>
      </c>
      <c r="E680" s="12" t="b">
        <v>0</v>
      </c>
      <c r="F680" s="12">
        <v>1</v>
      </c>
      <c r="G680" s="12">
        <v>2</v>
      </c>
      <c r="H680" s="12">
        <v>0.18</v>
      </c>
      <c r="I680" s="12">
        <v>0.19700000000000001</v>
      </c>
      <c r="J680" s="12">
        <v>0.55000000000000004</v>
      </c>
      <c r="K680" s="12">
        <v>0.1343</v>
      </c>
      <c r="L680" s="12">
        <v>1</v>
      </c>
      <c r="M680" s="12">
        <v>85</v>
      </c>
      <c r="N680" s="12">
        <v>86</v>
      </c>
      <c r="O680" s="12" t="str">
        <f>VLOOKUP(G680,calculate_field!$B$2:$C$5,2,FALSE)</f>
        <v xml:space="preserve">Mist / cloudy </v>
      </c>
      <c r="P680" s="12" t="str">
        <f t="shared" si="72"/>
        <v>Monday</v>
      </c>
      <c r="Q680" s="12" t="str">
        <f t="shared" si="73"/>
        <v>Weekday</v>
      </c>
      <c r="R680" s="12" t="str">
        <f t="shared" si="74"/>
        <v>Afternoon</v>
      </c>
      <c r="S680" s="28" t="str">
        <f>INDEX(calculate_field!$F$2:$F$4, MATCH(H680, calculate_field!$E$2:$E$4, 1))</f>
        <v>Cold</v>
      </c>
      <c r="T680" s="33">
        <f t="shared" si="75"/>
        <v>59.625</v>
      </c>
      <c r="U680" s="33">
        <f t="shared" si="76"/>
        <v>48.031522710747403</v>
      </c>
      <c r="V680" s="33">
        <f t="shared" si="77"/>
        <v>-9.9237913042872689E-2</v>
      </c>
      <c r="W680" s="12" t="b">
        <f t="shared" si="78"/>
        <v>0</v>
      </c>
    </row>
    <row r="681" spans="1:23">
      <c r="A681" s="26">
        <v>680</v>
      </c>
      <c r="B681" s="27">
        <v>40574</v>
      </c>
      <c r="C681" s="12">
        <v>1</v>
      </c>
      <c r="D681" s="12">
        <v>15</v>
      </c>
      <c r="E681" s="12" t="b">
        <v>0</v>
      </c>
      <c r="F681" s="12">
        <v>1</v>
      </c>
      <c r="G681" s="12">
        <v>2</v>
      </c>
      <c r="H681" s="12">
        <v>0.16</v>
      </c>
      <c r="I681" s="12">
        <v>0.18179999999999999</v>
      </c>
      <c r="J681" s="12">
        <v>0.59</v>
      </c>
      <c r="K681" s="12">
        <v>0.1343</v>
      </c>
      <c r="L681" s="12">
        <v>3</v>
      </c>
      <c r="M681" s="12">
        <v>41</v>
      </c>
      <c r="N681" s="12">
        <v>44</v>
      </c>
      <c r="O681" s="12" t="str">
        <f>VLOOKUP(G681,calculate_field!$B$2:$C$5,2,FALSE)</f>
        <v xml:space="preserve">Mist / cloudy </v>
      </c>
      <c r="P681" s="12" t="str">
        <f t="shared" si="72"/>
        <v>Monday</v>
      </c>
      <c r="Q681" s="12" t="str">
        <f t="shared" si="73"/>
        <v>Weekday</v>
      </c>
      <c r="R681" s="12" t="str">
        <f t="shared" si="74"/>
        <v>Afternoon</v>
      </c>
      <c r="S681" s="28" t="str">
        <f>INDEX(calculate_field!$F$2:$F$4, MATCH(H681, calculate_field!$E$2:$E$4, 1))</f>
        <v>Cold</v>
      </c>
      <c r="T681" s="33">
        <f t="shared" si="75"/>
        <v>58.208333333333336</v>
      </c>
      <c r="U681" s="33">
        <f t="shared" si="76"/>
        <v>47.720180005005687</v>
      </c>
      <c r="V681" s="33">
        <f t="shared" si="77"/>
        <v>-0.14379714232073312</v>
      </c>
      <c r="W681" s="12" t="b">
        <f t="shared" si="78"/>
        <v>0</v>
      </c>
    </row>
    <row r="682" spans="1:23">
      <c r="A682" s="26">
        <v>681</v>
      </c>
      <c r="B682" s="27">
        <v>40574</v>
      </c>
      <c r="C682" s="12">
        <v>1</v>
      </c>
      <c r="D682" s="12">
        <v>16</v>
      </c>
      <c r="E682" s="12" t="b">
        <v>0</v>
      </c>
      <c r="F682" s="12">
        <v>1</v>
      </c>
      <c r="G682" s="12">
        <v>2</v>
      </c>
      <c r="H682" s="12">
        <v>0.16</v>
      </c>
      <c r="I682" s="12">
        <v>0.18179999999999999</v>
      </c>
      <c r="J682" s="12">
        <v>0.56000000000000005</v>
      </c>
      <c r="K682" s="12">
        <v>0.19400000000000001</v>
      </c>
      <c r="L682" s="12">
        <v>3</v>
      </c>
      <c r="M682" s="12">
        <v>83</v>
      </c>
      <c r="N682" s="12">
        <v>86</v>
      </c>
      <c r="O682" s="12" t="str">
        <f>VLOOKUP(G682,calculate_field!$B$2:$C$5,2,FALSE)</f>
        <v xml:space="preserve">Mist / cloudy </v>
      </c>
      <c r="P682" s="12" t="str">
        <f t="shared" si="72"/>
        <v>Monday</v>
      </c>
      <c r="Q682" s="12" t="str">
        <f t="shared" si="73"/>
        <v>Weekday</v>
      </c>
      <c r="R682" s="12" t="str">
        <f t="shared" si="74"/>
        <v>Afternoon</v>
      </c>
      <c r="S682" s="28" t="str">
        <f>INDEX(calculate_field!$F$2:$F$4, MATCH(H682, calculate_field!$E$2:$E$4, 1))</f>
        <v>Cold</v>
      </c>
      <c r="T682" s="33">
        <f t="shared" si="75"/>
        <v>59.041666666666664</v>
      </c>
      <c r="U682" s="33">
        <f t="shared" si="76"/>
        <v>47.635827918167593</v>
      </c>
      <c r="V682" s="33">
        <f t="shared" si="77"/>
        <v>6.2432704801575367E-2</v>
      </c>
      <c r="W682" s="12" t="b">
        <f t="shared" si="78"/>
        <v>0</v>
      </c>
    </row>
    <row r="683" spans="1:23">
      <c r="A683" s="26">
        <v>682</v>
      </c>
      <c r="B683" s="27">
        <v>40574</v>
      </c>
      <c r="C683" s="12">
        <v>1</v>
      </c>
      <c r="D683" s="12">
        <v>17</v>
      </c>
      <c r="E683" s="12" t="b">
        <v>0</v>
      </c>
      <c r="F683" s="12">
        <v>1</v>
      </c>
      <c r="G683" s="12">
        <v>2</v>
      </c>
      <c r="H683" s="12">
        <v>0.16</v>
      </c>
      <c r="I683" s="12">
        <v>0.1515</v>
      </c>
      <c r="J683" s="12">
        <v>0.59</v>
      </c>
      <c r="K683" s="12">
        <v>0.19400000000000001</v>
      </c>
      <c r="L683" s="12">
        <v>6</v>
      </c>
      <c r="M683" s="12">
        <v>155</v>
      </c>
      <c r="N683" s="12">
        <v>161</v>
      </c>
      <c r="O683" s="12" t="str">
        <f>VLOOKUP(G683,calculate_field!$B$2:$C$5,2,FALSE)</f>
        <v xml:space="preserve">Mist / cloudy </v>
      </c>
      <c r="P683" s="12" t="str">
        <f t="shared" si="72"/>
        <v>Monday</v>
      </c>
      <c r="Q683" s="12" t="str">
        <f t="shared" si="73"/>
        <v>Weekday</v>
      </c>
      <c r="R683" s="12" t="str">
        <f t="shared" si="74"/>
        <v>Evening</v>
      </c>
      <c r="S683" s="28" t="str">
        <f>INDEX(calculate_field!$F$2:$F$4, MATCH(H683, calculate_field!$E$2:$E$4, 1))</f>
        <v>Cold</v>
      </c>
      <c r="T683" s="33">
        <f t="shared" si="75"/>
        <v>62.791666666666664</v>
      </c>
      <c r="U683" s="33">
        <f t="shared" si="76"/>
        <v>53.081544460564075</v>
      </c>
      <c r="V683" s="33">
        <f t="shared" si="77"/>
        <v>2.1023747288125869</v>
      </c>
      <c r="W683" s="12" t="b">
        <f t="shared" si="78"/>
        <v>0</v>
      </c>
    </row>
    <row r="684" spans="1:23">
      <c r="A684" s="26">
        <v>683</v>
      </c>
      <c r="B684" s="27">
        <v>40574</v>
      </c>
      <c r="C684" s="12">
        <v>1</v>
      </c>
      <c r="D684" s="12">
        <v>18</v>
      </c>
      <c r="E684" s="12" t="b">
        <v>0</v>
      </c>
      <c r="F684" s="12">
        <v>1</v>
      </c>
      <c r="G684" s="12">
        <v>2</v>
      </c>
      <c r="H684" s="12">
        <v>0.16</v>
      </c>
      <c r="I684" s="12">
        <v>0.1515</v>
      </c>
      <c r="J684" s="12">
        <v>0.55000000000000004</v>
      </c>
      <c r="K684" s="12">
        <v>0.22389999999999999</v>
      </c>
      <c r="L684" s="12">
        <v>3</v>
      </c>
      <c r="M684" s="12">
        <v>153</v>
      </c>
      <c r="N684" s="12">
        <v>156</v>
      </c>
      <c r="O684" s="12" t="str">
        <f>VLOOKUP(G684,calculate_field!$B$2:$C$5,2,FALSE)</f>
        <v xml:space="preserve">Mist / cloudy </v>
      </c>
      <c r="P684" s="12" t="str">
        <f t="shared" si="72"/>
        <v>Monday</v>
      </c>
      <c r="Q684" s="12" t="str">
        <f t="shared" si="73"/>
        <v>Weekday</v>
      </c>
      <c r="R684" s="12" t="str">
        <f t="shared" si="74"/>
        <v>Evening</v>
      </c>
      <c r="S684" s="28" t="str">
        <f>INDEX(calculate_field!$F$2:$F$4, MATCH(H684, calculate_field!$E$2:$E$4, 1))</f>
        <v>Cold</v>
      </c>
      <c r="T684" s="33">
        <f t="shared" si="75"/>
        <v>63.083333333333336</v>
      </c>
      <c r="U684" s="33">
        <f t="shared" si="76"/>
        <v>53.660702702189369</v>
      </c>
      <c r="V684" s="33">
        <f t="shared" si="77"/>
        <v>1.8967311460491838</v>
      </c>
      <c r="W684" s="12" t="b">
        <f t="shared" si="78"/>
        <v>0</v>
      </c>
    </row>
    <row r="685" spans="1:23">
      <c r="A685" s="26">
        <v>684</v>
      </c>
      <c r="B685" s="27">
        <v>40574</v>
      </c>
      <c r="C685" s="12">
        <v>1</v>
      </c>
      <c r="D685" s="12">
        <v>19</v>
      </c>
      <c r="E685" s="12" t="b">
        <v>0</v>
      </c>
      <c r="F685" s="12">
        <v>1</v>
      </c>
      <c r="G685" s="12">
        <v>1</v>
      </c>
      <c r="H685" s="12">
        <v>0.3</v>
      </c>
      <c r="I685" s="12">
        <v>0.31819999999999998</v>
      </c>
      <c r="J685" s="12">
        <v>0.61</v>
      </c>
      <c r="K685" s="12">
        <v>0.1045</v>
      </c>
      <c r="L685" s="12">
        <v>3</v>
      </c>
      <c r="M685" s="12">
        <v>108</v>
      </c>
      <c r="N685" s="12">
        <v>111</v>
      </c>
      <c r="O685" s="12" t="str">
        <f>VLOOKUP(G685,calculate_field!$B$2:$C$5,2,FALSE)</f>
        <v>Clear/Partly Cloudy</v>
      </c>
      <c r="P685" s="12" t="str">
        <f t="shared" si="72"/>
        <v>Monday</v>
      </c>
      <c r="Q685" s="12" t="str">
        <f t="shared" si="73"/>
        <v>Weekday</v>
      </c>
      <c r="R685" s="12" t="str">
        <f t="shared" si="74"/>
        <v>Evening</v>
      </c>
      <c r="S685" s="28" t="str">
        <f>INDEX(calculate_field!$F$2:$F$4, MATCH(H685, calculate_field!$E$2:$E$4, 1))</f>
        <v>Warm</v>
      </c>
      <c r="T685" s="33">
        <f t="shared" si="75"/>
        <v>61.083333333333336</v>
      </c>
      <c r="U685" s="33">
        <f t="shared" si="76"/>
        <v>50.868899413455289</v>
      </c>
      <c r="V685" s="33">
        <f t="shared" si="77"/>
        <v>0.78641068621752674</v>
      </c>
      <c r="W685" s="12" t="b">
        <f t="shared" si="78"/>
        <v>0</v>
      </c>
    </row>
    <row r="686" spans="1:23">
      <c r="A686" s="26">
        <v>685</v>
      </c>
      <c r="B686" s="27">
        <v>40574</v>
      </c>
      <c r="C686" s="12">
        <v>1</v>
      </c>
      <c r="D686" s="12">
        <v>20</v>
      </c>
      <c r="E686" s="12" t="b">
        <v>0</v>
      </c>
      <c r="F686" s="12">
        <v>1</v>
      </c>
      <c r="G686" s="12">
        <v>3</v>
      </c>
      <c r="H686" s="12">
        <v>0.16</v>
      </c>
      <c r="I686" s="12">
        <v>0.16669999999999999</v>
      </c>
      <c r="J686" s="12">
        <v>0.59</v>
      </c>
      <c r="K686" s="12">
        <v>0.16420000000000001</v>
      </c>
      <c r="L686" s="12">
        <v>0</v>
      </c>
      <c r="M686" s="12">
        <v>78</v>
      </c>
      <c r="N686" s="12">
        <v>78</v>
      </c>
      <c r="O686" s="12" t="str">
        <f>VLOOKUP(G686,calculate_field!$B$2:$C$5,2,FALSE)</f>
        <v xml:space="preserve">Light Snow / Rain </v>
      </c>
      <c r="P686" s="12" t="str">
        <f t="shared" si="72"/>
        <v>Monday</v>
      </c>
      <c r="Q686" s="12" t="str">
        <f t="shared" si="73"/>
        <v>Weekday</v>
      </c>
      <c r="R686" s="12" t="str">
        <f t="shared" si="74"/>
        <v>Evening</v>
      </c>
      <c r="S686" s="28" t="str">
        <f>INDEX(calculate_field!$F$2:$F$4, MATCH(H686, calculate_field!$E$2:$E$4, 1))</f>
        <v>Cold</v>
      </c>
      <c r="T686" s="33">
        <f t="shared" si="75"/>
        <v>59.541666666666664</v>
      </c>
      <c r="U686" s="33">
        <f t="shared" si="76"/>
        <v>49.840597357250203</v>
      </c>
      <c r="V686" s="33">
        <f t="shared" si="77"/>
        <v>0.2003125723535889</v>
      </c>
      <c r="W686" s="12" t="b">
        <f t="shared" si="78"/>
        <v>0</v>
      </c>
    </row>
    <row r="687" spans="1:23">
      <c r="A687" s="26">
        <v>686</v>
      </c>
      <c r="B687" s="27">
        <v>40574</v>
      </c>
      <c r="C687" s="12">
        <v>1</v>
      </c>
      <c r="D687" s="12">
        <v>21</v>
      </c>
      <c r="E687" s="12" t="b">
        <v>0</v>
      </c>
      <c r="F687" s="12">
        <v>1</v>
      </c>
      <c r="G687" s="12">
        <v>3</v>
      </c>
      <c r="H687" s="12">
        <v>0.16</v>
      </c>
      <c r="I687" s="12">
        <v>0.19700000000000001</v>
      </c>
      <c r="J687" s="12">
        <v>0.59</v>
      </c>
      <c r="K687" s="12">
        <v>8.9599999999999999E-2</v>
      </c>
      <c r="L687" s="12">
        <v>3</v>
      </c>
      <c r="M687" s="12">
        <v>53</v>
      </c>
      <c r="N687" s="12">
        <v>56</v>
      </c>
      <c r="O687" s="12" t="str">
        <f>VLOOKUP(G687,calculate_field!$B$2:$C$5,2,FALSE)</f>
        <v xml:space="preserve">Light Snow / Rain </v>
      </c>
      <c r="P687" s="12" t="str">
        <f t="shared" si="72"/>
        <v>Monday</v>
      </c>
      <c r="Q687" s="12" t="str">
        <f t="shared" si="73"/>
        <v>Weekday</v>
      </c>
      <c r="R687" s="12" t="str">
        <f t="shared" si="74"/>
        <v>Night</v>
      </c>
      <c r="S687" s="28" t="str">
        <f>INDEX(calculate_field!$F$2:$F$4, MATCH(H687, calculate_field!$E$2:$E$4, 1))</f>
        <v>Cold</v>
      </c>
      <c r="T687" s="33">
        <f t="shared" si="75"/>
        <v>58.958333333333336</v>
      </c>
      <c r="U687" s="33">
        <f t="shared" si="76"/>
        <v>49.696889209501322</v>
      </c>
      <c r="V687" s="33">
        <f t="shared" si="77"/>
        <v>2.1511576401952337E-2</v>
      </c>
      <c r="W687" s="12" t="b">
        <f t="shared" si="78"/>
        <v>0</v>
      </c>
    </row>
    <row r="688" spans="1:23">
      <c r="A688" s="26">
        <v>687</v>
      </c>
      <c r="B688" s="27">
        <v>40574</v>
      </c>
      <c r="C688" s="12">
        <v>1</v>
      </c>
      <c r="D688" s="12">
        <v>22</v>
      </c>
      <c r="E688" s="12" t="b">
        <v>0</v>
      </c>
      <c r="F688" s="12">
        <v>1</v>
      </c>
      <c r="G688" s="12">
        <v>2</v>
      </c>
      <c r="H688" s="12">
        <v>0.16</v>
      </c>
      <c r="I688" s="12">
        <v>0.18179999999999999</v>
      </c>
      <c r="J688" s="12">
        <v>0.59</v>
      </c>
      <c r="K688" s="12">
        <v>0.1045</v>
      </c>
      <c r="L688" s="12">
        <v>0</v>
      </c>
      <c r="M688" s="12">
        <v>34</v>
      </c>
      <c r="N688" s="12">
        <v>34</v>
      </c>
      <c r="O688" s="12" t="str">
        <f>VLOOKUP(G688,calculate_field!$B$2:$C$5,2,FALSE)</f>
        <v xml:space="preserve">Mist / cloudy </v>
      </c>
      <c r="P688" s="12" t="str">
        <f t="shared" si="72"/>
        <v>Monday</v>
      </c>
      <c r="Q688" s="12" t="str">
        <f t="shared" si="73"/>
        <v>Weekday</v>
      </c>
      <c r="R688" s="12" t="str">
        <f t="shared" si="74"/>
        <v>Night</v>
      </c>
      <c r="S688" s="28" t="str">
        <f>INDEX(calculate_field!$F$2:$F$4, MATCH(H688, calculate_field!$E$2:$E$4, 1))</f>
        <v>Cold</v>
      </c>
      <c r="T688" s="33">
        <f t="shared" si="75"/>
        <v>58.125</v>
      </c>
      <c r="U688" s="33">
        <f t="shared" si="76"/>
        <v>49.915853106045859</v>
      </c>
      <c r="V688" s="33">
        <f t="shared" si="77"/>
        <v>-0.47622657987134143</v>
      </c>
      <c r="W688" s="12" t="b">
        <f t="shared" si="78"/>
        <v>0</v>
      </c>
    </row>
    <row r="689" spans="1:23">
      <c r="A689" s="26">
        <v>688</v>
      </c>
      <c r="B689" s="27">
        <v>40574</v>
      </c>
      <c r="C689" s="12">
        <v>1</v>
      </c>
      <c r="D689" s="12">
        <v>23</v>
      </c>
      <c r="E689" s="12" t="b">
        <v>0</v>
      </c>
      <c r="F689" s="12">
        <v>1</v>
      </c>
      <c r="G689" s="12">
        <v>2</v>
      </c>
      <c r="H689" s="12">
        <v>0.16</v>
      </c>
      <c r="I689" s="12">
        <v>0.19700000000000001</v>
      </c>
      <c r="J689" s="12">
        <v>0.64</v>
      </c>
      <c r="K689" s="12">
        <v>8.9599999999999999E-2</v>
      </c>
      <c r="L689" s="12">
        <v>2</v>
      </c>
      <c r="M689" s="12">
        <v>15</v>
      </c>
      <c r="N689" s="12">
        <v>17</v>
      </c>
      <c r="O689" s="12" t="str">
        <f>VLOOKUP(G689,calculate_field!$B$2:$C$5,2,FALSE)</f>
        <v xml:space="preserve">Mist / cloudy </v>
      </c>
      <c r="P689" s="12" t="str">
        <f t="shared" si="72"/>
        <v>Monday</v>
      </c>
      <c r="Q689" s="12" t="str">
        <f t="shared" si="73"/>
        <v>Weekday</v>
      </c>
      <c r="R689" s="12" t="str">
        <f t="shared" si="74"/>
        <v>Night</v>
      </c>
      <c r="S689" s="28" t="str">
        <f>INDEX(calculate_field!$F$2:$F$4, MATCH(H689, calculate_field!$E$2:$E$4, 1))</f>
        <v>Cold</v>
      </c>
      <c r="T689" s="33">
        <f t="shared" si="75"/>
        <v>57.375</v>
      </c>
      <c r="U689" s="33">
        <f t="shared" si="76"/>
        <v>50.426711779269972</v>
      </c>
      <c r="V689" s="33">
        <f t="shared" si="77"/>
        <v>-0.83639664211600195</v>
      </c>
      <c r="W689" s="12" t="b">
        <f t="shared" si="78"/>
        <v>0</v>
      </c>
    </row>
    <row r="690" spans="1:23">
      <c r="A690" s="26">
        <v>689</v>
      </c>
      <c r="B690" s="27">
        <v>40575</v>
      </c>
      <c r="C690" s="12">
        <v>2</v>
      </c>
      <c r="D690" s="12">
        <v>0</v>
      </c>
      <c r="E690" s="12" t="b">
        <v>0</v>
      </c>
      <c r="F690" s="12">
        <v>2</v>
      </c>
      <c r="G690" s="12">
        <v>2</v>
      </c>
      <c r="H690" s="12">
        <v>0.16</v>
      </c>
      <c r="I690" s="12">
        <v>0.18179999999999999</v>
      </c>
      <c r="J690" s="12">
        <v>0.64</v>
      </c>
      <c r="K690" s="12">
        <v>0.1045</v>
      </c>
      <c r="L690" s="12">
        <v>2</v>
      </c>
      <c r="M690" s="12">
        <v>6</v>
      </c>
      <c r="N690" s="12">
        <v>8</v>
      </c>
      <c r="O690" s="12" t="str">
        <f>VLOOKUP(G690,calculate_field!$B$2:$C$5,2,FALSE)</f>
        <v xml:space="preserve">Mist / cloudy </v>
      </c>
      <c r="P690" s="12" t="str">
        <f t="shared" si="72"/>
        <v>Tuesday</v>
      </c>
      <c r="Q690" s="12" t="str">
        <f t="shared" si="73"/>
        <v>Weekday</v>
      </c>
      <c r="R690" s="12" t="str">
        <f t="shared" si="74"/>
        <v>Night</v>
      </c>
      <c r="S690" s="28" t="str">
        <f>INDEX(calculate_field!$F$2:$F$4, MATCH(H690, calculate_field!$E$2:$E$4, 1))</f>
        <v>Cold</v>
      </c>
      <c r="T690" s="33">
        <f t="shared" si="75"/>
        <v>56.75</v>
      </c>
      <c r="U690" s="33">
        <f t="shared" si="76"/>
        <v>51.03813578440954</v>
      </c>
      <c r="V690" s="33">
        <f t="shared" si="77"/>
        <v>-1.1075161440667092</v>
      </c>
      <c r="W690" s="12" t="b">
        <f t="shared" si="78"/>
        <v>0</v>
      </c>
    </row>
    <row r="691" spans="1:23">
      <c r="A691" s="26">
        <v>690</v>
      </c>
      <c r="B691" s="27">
        <v>40575</v>
      </c>
      <c r="C691" s="12">
        <v>2</v>
      </c>
      <c r="D691" s="12">
        <v>1</v>
      </c>
      <c r="E691" s="12" t="b">
        <v>0</v>
      </c>
      <c r="F691" s="12">
        <v>2</v>
      </c>
      <c r="G691" s="12">
        <v>2</v>
      </c>
      <c r="H691" s="12">
        <v>0.16</v>
      </c>
      <c r="I691" s="12">
        <v>0.18179999999999999</v>
      </c>
      <c r="J691" s="12">
        <v>0.69</v>
      </c>
      <c r="K691" s="12">
        <v>0.1045</v>
      </c>
      <c r="L691" s="12">
        <v>0</v>
      </c>
      <c r="M691" s="12">
        <v>3</v>
      </c>
      <c r="N691" s="12">
        <v>3</v>
      </c>
      <c r="O691" s="12" t="str">
        <f>VLOOKUP(G691,calculate_field!$B$2:$C$5,2,FALSE)</f>
        <v xml:space="preserve">Mist / cloudy </v>
      </c>
      <c r="P691" s="12" t="str">
        <f t="shared" si="72"/>
        <v>Tuesday</v>
      </c>
      <c r="Q691" s="12" t="str">
        <f t="shared" si="73"/>
        <v>Weekday</v>
      </c>
      <c r="R691" s="12" t="str">
        <f t="shared" si="74"/>
        <v>Night</v>
      </c>
      <c r="S691" s="28" t="str">
        <f>INDEX(calculate_field!$F$2:$F$4, MATCH(H691, calculate_field!$E$2:$E$4, 1))</f>
        <v>Cold</v>
      </c>
      <c r="T691" s="33">
        <f t="shared" si="75"/>
        <v>56.541666666666664</v>
      </c>
      <c r="U691" s="33">
        <f t="shared" si="76"/>
        <v>51.255522855477786</v>
      </c>
      <c r="V691" s="33">
        <f t="shared" si="77"/>
        <v>-1.1058926967480542</v>
      </c>
      <c r="W691" s="12" t="b">
        <f t="shared" si="78"/>
        <v>1</v>
      </c>
    </row>
    <row r="692" spans="1:23">
      <c r="A692" s="26">
        <v>691</v>
      </c>
      <c r="B692" s="27">
        <v>40575</v>
      </c>
      <c r="C692" s="12">
        <v>2</v>
      </c>
      <c r="D692" s="12">
        <v>2</v>
      </c>
      <c r="E692" s="12" t="b">
        <v>0</v>
      </c>
      <c r="F692" s="12">
        <v>2</v>
      </c>
      <c r="G692" s="12">
        <v>2</v>
      </c>
      <c r="H692" s="12">
        <v>0.16</v>
      </c>
      <c r="I692" s="12">
        <v>0.2273</v>
      </c>
      <c r="J692" s="12">
        <v>0.69</v>
      </c>
      <c r="K692" s="12">
        <v>0</v>
      </c>
      <c r="L692" s="12">
        <v>0</v>
      </c>
      <c r="M692" s="12">
        <v>2</v>
      </c>
      <c r="N692" s="12">
        <v>2</v>
      </c>
      <c r="O692" s="12" t="str">
        <f>VLOOKUP(G692,calculate_field!$B$2:$C$5,2,FALSE)</f>
        <v xml:space="preserve">Mist / cloudy </v>
      </c>
      <c r="P692" s="12" t="str">
        <f t="shared" si="72"/>
        <v>Tuesday</v>
      </c>
      <c r="Q692" s="12" t="str">
        <f t="shared" si="73"/>
        <v>Weekday</v>
      </c>
      <c r="R692" s="12" t="str">
        <f t="shared" si="74"/>
        <v>Night</v>
      </c>
      <c r="S692" s="28" t="str">
        <f>INDEX(calculate_field!$F$2:$F$4, MATCH(H692, calculate_field!$E$2:$E$4, 1))</f>
        <v>Cold</v>
      </c>
      <c r="T692" s="33">
        <f t="shared" si="75"/>
        <v>56.583333333333336</v>
      </c>
      <c r="U692" s="33">
        <f t="shared" si="76"/>
        <v>51.2104920182732</v>
      </c>
      <c r="V692" s="33">
        <f t="shared" si="77"/>
        <v>-1.0911481270785433</v>
      </c>
      <c r="W692" s="12" t="b">
        <f t="shared" si="78"/>
        <v>1</v>
      </c>
    </row>
    <row r="693" spans="1:23">
      <c r="A693" s="26">
        <v>692</v>
      </c>
      <c r="B693" s="27">
        <v>40575</v>
      </c>
      <c r="C693" s="12">
        <v>2</v>
      </c>
      <c r="D693" s="12">
        <v>3</v>
      </c>
      <c r="E693" s="12" t="b">
        <v>0</v>
      </c>
      <c r="F693" s="12">
        <v>2</v>
      </c>
      <c r="G693" s="12">
        <v>2</v>
      </c>
      <c r="H693" s="12">
        <v>0.16</v>
      </c>
      <c r="I693" s="12">
        <v>0.2273</v>
      </c>
      <c r="J693" s="12">
        <v>0.69</v>
      </c>
      <c r="K693" s="12">
        <v>0</v>
      </c>
      <c r="L693" s="12">
        <v>0</v>
      </c>
      <c r="M693" s="12">
        <v>2</v>
      </c>
      <c r="N693" s="12">
        <v>2</v>
      </c>
      <c r="O693" s="12" t="str">
        <f>VLOOKUP(G693,calculate_field!$B$2:$C$5,2,FALSE)</f>
        <v xml:space="preserve">Mist / cloudy </v>
      </c>
      <c r="P693" s="12" t="str">
        <f t="shared" si="72"/>
        <v>Tuesday</v>
      </c>
      <c r="Q693" s="12" t="str">
        <f t="shared" si="73"/>
        <v>Weekday</v>
      </c>
      <c r="R693" s="12" t="str">
        <f t="shared" si="74"/>
        <v>Night</v>
      </c>
      <c r="S693" s="28" t="str">
        <f>INDEX(calculate_field!$F$2:$F$4, MATCH(H693, calculate_field!$E$2:$E$4, 1))</f>
        <v>Cold</v>
      </c>
      <c r="T693" s="33">
        <f t="shared" si="75"/>
        <v>56.541666666666664</v>
      </c>
      <c r="U693" s="33">
        <f t="shared" si="76"/>
        <v>51.257219357197712</v>
      </c>
      <c r="V693" s="33">
        <f t="shared" si="77"/>
        <v>-1.1421188319314524</v>
      </c>
      <c r="W693" s="12" t="b">
        <f t="shared" si="78"/>
        <v>0</v>
      </c>
    </row>
    <row r="694" spans="1:23">
      <c r="A694" s="26">
        <v>693</v>
      </c>
      <c r="B694" s="27">
        <v>40575</v>
      </c>
      <c r="C694" s="12">
        <v>2</v>
      </c>
      <c r="D694" s="12">
        <v>5</v>
      </c>
      <c r="E694" s="12" t="b">
        <v>0</v>
      </c>
      <c r="F694" s="12">
        <v>2</v>
      </c>
      <c r="G694" s="12">
        <v>3</v>
      </c>
      <c r="H694" s="12">
        <v>0.14000000000000001</v>
      </c>
      <c r="I694" s="12">
        <v>0.21210000000000001</v>
      </c>
      <c r="J694" s="12">
        <v>0.93</v>
      </c>
      <c r="K694" s="12">
        <v>0</v>
      </c>
      <c r="L694" s="12">
        <v>0</v>
      </c>
      <c r="M694" s="12">
        <v>3</v>
      </c>
      <c r="N694" s="12">
        <v>3</v>
      </c>
      <c r="O694" s="12" t="str">
        <f>VLOOKUP(G694,calculate_field!$B$2:$C$5,2,FALSE)</f>
        <v xml:space="preserve">Light Snow / Rain </v>
      </c>
      <c r="P694" s="12" t="str">
        <f t="shared" si="72"/>
        <v>Tuesday</v>
      </c>
      <c r="Q694" s="12" t="str">
        <f t="shared" si="73"/>
        <v>Weekday</v>
      </c>
      <c r="R694" s="12" t="str">
        <f t="shared" si="74"/>
        <v>Night</v>
      </c>
      <c r="S694" s="28" t="str">
        <f>INDEX(calculate_field!$F$2:$F$4, MATCH(H694, calculate_field!$E$2:$E$4, 1))</f>
        <v>Cold</v>
      </c>
      <c r="T694" s="33">
        <f t="shared" si="75"/>
        <v>56.5</v>
      </c>
      <c r="U694" s="33">
        <f t="shared" si="76"/>
        <v>51.303868826061638</v>
      </c>
      <c r="V694" s="33">
        <f t="shared" si="77"/>
        <v>-1.1421188319314524</v>
      </c>
      <c r="W694" s="12" t="b">
        <f t="shared" si="78"/>
        <v>0</v>
      </c>
    </row>
    <row r="695" spans="1:23">
      <c r="A695" s="26">
        <v>694</v>
      </c>
      <c r="B695" s="27">
        <v>40575</v>
      </c>
      <c r="C695" s="12">
        <v>2</v>
      </c>
      <c r="D695" s="12">
        <v>6</v>
      </c>
      <c r="E695" s="12" t="b">
        <v>0</v>
      </c>
      <c r="F695" s="12">
        <v>2</v>
      </c>
      <c r="G695" s="12">
        <v>3</v>
      </c>
      <c r="H695" s="12">
        <v>0.14000000000000001</v>
      </c>
      <c r="I695" s="12">
        <v>0.21210000000000001</v>
      </c>
      <c r="J695" s="12">
        <v>0.93</v>
      </c>
      <c r="K695" s="12">
        <v>0</v>
      </c>
      <c r="L695" s="12">
        <v>0</v>
      </c>
      <c r="M695" s="12">
        <v>22</v>
      </c>
      <c r="N695" s="12">
        <v>22</v>
      </c>
      <c r="O695" s="12" t="str">
        <f>VLOOKUP(G695,calculate_field!$B$2:$C$5,2,FALSE)</f>
        <v xml:space="preserve">Light Snow / Rain </v>
      </c>
      <c r="P695" s="12" t="str">
        <f t="shared" si="72"/>
        <v>Tuesday</v>
      </c>
      <c r="Q695" s="12" t="str">
        <f t="shared" si="73"/>
        <v>Weekday</v>
      </c>
      <c r="R695" s="12" t="str">
        <f t="shared" si="74"/>
        <v>Morning</v>
      </c>
      <c r="S695" s="28" t="str">
        <f>INDEX(calculate_field!$F$2:$F$4, MATCH(H695, calculate_field!$E$2:$E$4, 1))</f>
        <v>Cold</v>
      </c>
      <c r="T695" s="33">
        <f t="shared" si="75"/>
        <v>56.5</v>
      </c>
      <c r="U695" s="33">
        <f t="shared" si="76"/>
        <v>51.303868826061638</v>
      </c>
      <c r="V695" s="33">
        <f t="shared" si="77"/>
        <v>-1.1076064216359631</v>
      </c>
      <c r="W695" s="12" t="b">
        <f t="shared" si="78"/>
        <v>0</v>
      </c>
    </row>
    <row r="696" spans="1:23">
      <c r="A696" s="26">
        <v>695</v>
      </c>
      <c r="B696" s="27">
        <v>40575</v>
      </c>
      <c r="C696" s="12">
        <v>2</v>
      </c>
      <c r="D696" s="12">
        <v>7</v>
      </c>
      <c r="E696" s="12" t="b">
        <v>0</v>
      </c>
      <c r="F696" s="12">
        <v>2</v>
      </c>
      <c r="G696" s="12">
        <v>3</v>
      </c>
      <c r="H696" s="12">
        <v>0.16</v>
      </c>
      <c r="I696" s="12">
        <v>0.2273</v>
      </c>
      <c r="J696" s="12">
        <v>0.93</v>
      </c>
      <c r="K696" s="12">
        <v>0</v>
      </c>
      <c r="L696" s="12">
        <v>0</v>
      </c>
      <c r="M696" s="12">
        <v>52</v>
      </c>
      <c r="N696" s="12">
        <v>52</v>
      </c>
      <c r="O696" s="12" t="str">
        <f>VLOOKUP(G696,calculate_field!$B$2:$C$5,2,FALSE)</f>
        <v xml:space="preserve">Light Snow / Rain </v>
      </c>
      <c r="P696" s="12" t="str">
        <f t="shared" si="72"/>
        <v>Tuesday</v>
      </c>
      <c r="Q696" s="12" t="str">
        <f t="shared" si="73"/>
        <v>Weekday</v>
      </c>
      <c r="R696" s="12" t="str">
        <f t="shared" si="74"/>
        <v>Morning</v>
      </c>
      <c r="S696" s="28" t="str">
        <f>INDEX(calculate_field!$F$2:$F$4, MATCH(H696, calculate_field!$E$2:$E$4, 1))</f>
        <v>Cold</v>
      </c>
      <c r="T696" s="33">
        <f t="shared" si="75"/>
        <v>56.333333333333336</v>
      </c>
      <c r="U696" s="33">
        <f t="shared" si="76"/>
        <v>51.427168142805662</v>
      </c>
      <c r="V696" s="33">
        <f t="shared" si="77"/>
        <v>-0.88280039226623519</v>
      </c>
      <c r="W696" s="12" t="b">
        <f t="shared" si="78"/>
        <v>0</v>
      </c>
    </row>
    <row r="697" spans="1:23">
      <c r="A697" s="26">
        <v>696</v>
      </c>
      <c r="B697" s="27">
        <v>40575</v>
      </c>
      <c r="C697" s="12">
        <v>2</v>
      </c>
      <c r="D697" s="12">
        <v>8</v>
      </c>
      <c r="E697" s="12" t="b">
        <v>0</v>
      </c>
      <c r="F697" s="12">
        <v>2</v>
      </c>
      <c r="G697" s="12">
        <v>3</v>
      </c>
      <c r="H697" s="12">
        <v>0.16</v>
      </c>
      <c r="I697" s="12">
        <v>0.2273</v>
      </c>
      <c r="J697" s="12">
        <v>0.93</v>
      </c>
      <c r="K697" s="12">
        <v>0</v>
      </c>
      <c r="L697" s="12">
        <v>3</v>
      </c>
      <c r="M697" s="12">
        <v>132</v>
      </c>
      <c r="N697" s="12">
        <v>135</v>
      </c>
      <c r="O697" s="12" t="str">
        <f>VLOOKUP(G697,calculate_field!$B$2:$C$5,2,FALSE)</f>
        <v xml:space="preserve">Light Snow / Rain </v>
      </c>
      <c r="P697" s="12" t="str">
        <f t="shared" si="72"/>
        <v>Tuesday</v>
      </c>
      <c r="Q697" s="12" t="str">
        <f t="shared" si="73"/>
        <v>Weekday</v>
      </c>
      <c r="R697" s="12" t="str">
        <f t="shared" si="74"/>
        <v>Morning</v>
      </c>
      <c r="S697" s="28" t="str">
        <f>INDEX(calculate_field!$F$2:$F$4, MATCH(H697, calculate_field!$E$2:$E$4, 1))</f>
        <v>Cold</v>
      </c>
      <c r="T697" s="33">
        <f t="shared" si="75"/>
        <v>56.208333333333336</v>
      </c>
      <c r="U697" s="33">
        <f t="shared" si="76"/>
        <v>51.441802631430157</v>
      </c>
      <c r="V697" s="33">
        <f t="shared" si="77"/>
        <v>-0.36607230650873679</v>
      </c>
      <c r="W697" s="12" t="b">
        <f t="shared" si="78"/>
        <v>0</v>
      </c>
    </row>
    <row r="698" spans="1:23">
      <c r="A698" s="26">
        <v>697</v>
      </c>
      <c r="B698" s="27">
        <v>40575</v>
      </c>
      <c r="C698" s="12">
        <v>2</v>
      </c>
      <c r="D698" s="12">
        <v>9</v>
      </c>
      <c r="E698" s="12" t="b">
        <v>0</v>
      </c>
      <c r="F698" s="12">
        <v>2</v>
      </c>
      <c r="G698" s="12">
        <v>2</v>
      </c>
      <c r="H698" s="12">
        <v>0.16</v>
      </c>
      <c r="I698" s="12">
        <v>0.2273</v>
      </c>
      <c r="J698" s="12">
        <v>0.93</v>
      </c>
      <c r="K698" s="12">
        <v>0</v>
      </c>
      <c r="L698" s="12">
        <v>2</v>
      </c>
      <c r="M698" s="12">
        <v>114</v>
      </c>
      <c r="N698" s="12">
        <v>116</v>
      </c>
      <c r="O698" s="12" t="str">
        <f>VLOOKUP(G698,calculate_field!$B$2:$C$5,2,FALSE)</f>
        <v xml:space="preserve">Mist / cloudy </v>
      </c>
      <c r="P698" s="12" t="str">
        <f t="shared" si="72"/>
        <v>Tuesday</v>
      </c>
      <c r="Q698" s="12" t="str">
        <f t="shared" si="73"/>
        <v>Weekday</v>
      </c>
      <c r="R698" s="12" t="str">
        <f t="shared" si="74"/>
        <v>Morning</v>
      </c>
      <c r="S698" s="28" t="str">
        <f>INDEX(calculate_field!$F$2:$F$4, MATCH(H698, calculate_field!$E$2:$E$4, 1))</f>
        <v>Cold</v>
      </c>
      <c r="T698" s="33">
        <f t="shared" si="75"/>
        <v>57.041666666666664</v>
      </c>
      <c r="U698" s="33">
        <f t="shared" si="76"/>
        <v>52.914598270656157</v>
      </c>
      <c r="V698" s="33">
        <f t="shared" si="77"/>
        <v>1.3889091121506736</v>
      </c>
      <c r="W698" s="12" t="b">
        <f t="shared" si="78"/>
        <v>0</v>
      </c>
    </row>
    <row r="699" spans="1:23">
      <c r="A699" s="26">
        <v>698</v>
      </c>
      <c r="B699" s="27">
        <v>40575</v>
      </c>
      <c r="C699" s="12">
        <v>2</v>
      </c>
      <c r="D699" s="12">
        <v>10</v>
      </c>
      <c r="E699" s="12" t="b">
        <v>0</v>
      </c>
      <c r="F699" s="12">
        <v>2</v>
      </c>
      <c r="G699" s="12">
        <v>2</v>
      </c>
      <c r="H699" s="12">
        <v>0.16</v>
      </c>
      <c r="I699" s="12">
        <v>0.2273</v>
      </c>
      <c r="J699" s="12">
        <v>0.93</v>
      </c>
      <c r="K699" s="12">
        <v>0</v>
      </c>
      <c r="L699" s="12">
        <v>0</v>
      </c>
      <c r="M699" s="12">
        <v>47</v>
      </c>
      <c r="N699" s="12">
        <v>47</v>
      </c>
      <c r="O699" s="12" t="str">
        <f>VLOOKUP(G699,calculate_field!$B$2:$C$5,2,FALSE)</f>
        <v xml:space="preserve">Mist / cloudy </v>
      </c>
      <c r="P699" s="12" t="str">
        <f t="shared" si="72"/>
        <v>Tuesday</v>
      </c>
      <c r="Q699" s="12" t="str">
        <f t="shared" si="73"/>
        <v>Weekday</v>
      </c>
      <c r="R699" s="12" t="str">
        <f t="shared" si="74"/>
        <v>Morning</v>
      </c>
      <c r="S699" s="28" t="str">
        <f>INDEX(calculate_field!$F$2:$F$4, MATCH(H699, calculate_field!$E$2:$E$4, 1))</f>
        <v>Cold</v>
      </c>
      <c r="T699" s="33">
        <f t="shared" si="75"/>
        <v>57.333333333333336</v>
      </c>
      <c r="U699" s="33">
        <f t="shared" si="76"/>
        <v>53.271794206418605</v>
      </c>
      <c r="V699" s="33">
        <f t="shared" si="77"/>
        <v>0.87204125812004463</v>
      </c>
      <c r="W699" s="12" t="b">
        <f t="shared" si="78"/>
        <v>0</v>
      </c>
    </row>
    <row r="700" spans="1:23">
      <c r="A700" s="26">
        <v>699</v>
      </c>
      <c r="B700" s="27">
        <v>40575</v>
      </c>
      <c r="C700" s="12">
        <v>2</v>
      </c>
      <c r="D700" s="12">
        <v>11</v>
      </c>
      <c r="E700" s="12" t="b">
        <v>0</v>
      </c>
      <c r="F700" s="12">
        <v>2</v>
      </c>
      <c r="G700" s="12">
        <v>2</v>
      </c>
      <c r="H700" s="12">
        <v>0.18</v>
      </c>
      <c r="I700" s="12">
        <v>0.2424</v>
      </c>
      <c r="J700" s="12">
        <v>0.86</v>
      </c>
      <c r="K700" s="12">
        <v>0</v>
      </c>
      <c r="L700" s="12">
        <v>2</v>
      </c>
      <c r="M700" s="12">
        <v>49</v>
      </c>
      <c r="N700" s="12">
        <v>51</v>
      </c>
      <c r="O700" s="12" t="str">
        <f>VLOOKUP(G700,calculate_field!$B$2:$C$5,2,FALSE)</f>
        <v xml:space="preserve">Mist / cloudy </v>
      </c>
      <c r="P700" s="12" t="str">
        <f t="shared" si="72"/>
        <v>Tuesday</v>
      </c>
      <c r="Q700" s="12" t="str">
        <f t="shared" si="73"/>
        <v>Weekday</v>
      </c>
      <c r="R700" s="12" t="str">
        <f t="shared" si="74"/>
        <v>Morning</v>
      </c>
      <c r="S700" s="28" t="str">
        <f>INDEX(calculate_field!$F$2:$F$4, MATCH(H700, calculate_field!$E$2:$E$4, 1))</f>
        <v>Cold</v>
      </c>
      <c r="T700" s="33">
        <f t="shared" si="75"/>
        <v>57.916666666666664</v>
      </c>
      <c r="U700" s="33">
        <f t="shared" si="76"/>
        <v>53.230358015823576</v>
      </c>
      <c r="V700" s="33">
        <f t="shared" si="77"/>
        <v>-0.16623241637485586</v>
      </c>
      <c r="W700" s="12" t="b">
        <f t="shared" si="78"/>
        <v>0</v>
      </c>
    </row>
    <row r="701" spans="1:23">
      <c r="A701" s="26">
        <v>700</v>
      </c>
      <c r="B701" s="27">
        <v>40575</v>
      </c>
      <c r="C701" s="12">
        <v>2</v>
      </c>
      <c r="D701" s="12">
        <v>12</v>
      </c>
      <c r="E701" s="12" t="b">
        <v>0</v>
      </c>
      <c r="F701" s="12">
        <v>2</v>
      </c>
      <c r="G701" s="12">
        <v>2</v>
      </c>
      <c r="H701" s="12">
        <v>0.2</v>
      </c>
      <c r="I701" s="12">
        <v>0.2576</v>
      </c>
      <c r="J701" s="12">
        <v>0.86</v>
      </c>
      <c r="K701" s="12">
        <v>0</v>
      </c>
      <c r="L701" s="12">
        <v>2</v>
      </c>
      <c r="M701" s="12">
        <v>53</v>
      </c>
      <c r="N701" s="12">
        <v>55</v>
      </c>
      <c r="O701" s="12" t="str">
        <f>VLOOKUP(G701,calculate_field!$B$2:$C$5,2,FALSE)</f>
        <v xml:space="preserve">Mist / cloudy </v>
      </c>
      <c r="P701" s="12" t="str">
        <f t="shared" si="72"/>
        <v>Tuesday</v>
      </c>
      <c r="Q701" s="12" t="str">
        <f t="shared" si="73"/>
        <v>Weekday</v>
      </c>
      <c r="R701" s="12" t="str">
        <f t="shared" si="74"/>
        <v>Afternoon</v>
      </c>
      <c r="S701" s="28" t="str">
        <f>INDEX(calculate_field!$F$2:$F$4, MATCH(H701, calculate_field!$E$2:$E$4, 1))</f>
        <v>Mild</v>
      </c>
      <c r="T701" s="33">
        <f t="shared" si="75"/>
        <v>57.958333333333336</v>
      </c>
      <c r="U701" s="33">
        <f t="shared" si="76"/>
        <v>53.225099641842455</v>
      </c>
      <c r="V701" s="33">
        <f t="shared" si="77"/>
        <v>-0.32886174446366145</v>
      </c>
      <c r="W701" s="12" t="b">
        <f t="shared" si="78"/>
        <v>0</v>
      </c>
    </row>
    <row r="702" spans="1:23">
      <c r="A702" s="26">
        <v>701</v>
      </c>
      <c r="B702" s="27">
        <v>40575</v>
      </c>
      <c r="C702" s="12">
        <v>2</v>
      </c>
      <c r="D702" s="12">
        <v>13</v>
      </c>
      <c r="E702" s="12" t="b">
        <v>0</v>
      </c>
      <c r="F702" s="12">
        <v>2</v>
      </c>
      <c r="G702" s="12">
        <v>2</v>
      </c>
      <c r="H702" s="12">
        <v>0.2</v>
      </c>
      <c r="I702" s="12">
        <v>0.2576</v>
      </c>
      <c r="J702" s="12">
        <v>0.86</v>
      </c>
      <c r="K702" s="12">
        <v>0</v>
      </c>
      <c r="L702" s="12">
        <v>3</v>
      </c>
      <c r="M702" s="12">
        <v>49</v>
      </c>
      <c r="N702" s="12">
        <v>52</v>
      </c>
      <c r="O702" s="12" t="str">
        <f>VLOOKUP(G702,calculate_field!$B$2:$C$5,2,FALSE)</f>
        <v xml:space="preserve">Mist / cloudy </v>
      </c>
      <c r="P702" s="12" t="str">
        <f t="shared" si="72"/>
        <v>Tuesday</v>
      </c>
      <c r="Q702" s="12" t="str">
        <f t="shared" si="73"/>
        <v>Weekday</v>
      </c>
      <c r="R702" s="12" t="str">
        <f t="shared" si="74"/>
        <v>Afternoon</v>
      </c>
      <c r="S702" s="28" t="str">
        <f>INDEX(calculate_field!$F$2:$F$4, MATCH(H702, calculate_field!$E$2:$E$4, 1))</f>
        <v>Mild</v>
      </c>
      <c r="T702" s="33">
        <f t="shared" si="75"/>
        <v>58.333333333333336</v>
      </c>
      <c r="U702" s="33">
        <f t="shared" si="76"/>
        <v>53.23505437672393</v>
      </c>
      <c r="V702" s="33">
        <f t="shared" si="77"/>
        <v>-0.12799452877595424</v>
      </c>
      <c r="W702" s="12" t="b">
        <f t="shared" si="78"/>
        <v>0</v>
      </c>
    </row>
    <row r="703" spans="1:23">
      <c r="A703" s="26">
        <v>702</v>
      </c>
      <c r="B703" s="27">
        <v>40575</v>
      </c>
      <c r="C703" s="12">
        <v>2</v>
      </c>
      <c r="D703" s="12">
        <v>14</v>
      </c>
      <c r="E703" s="12" t="b">
        <v>0</v>
      </c>
      <c r="F703" s="12">
        <v>2</v>
      </c>
      <c r="G703" s="12">
        <v>2</v>
      </c>
      <c r="H703" s="12">
        <v>0.22</v>
      </c>
      <c r="I703" s="12">
        <v>0.2576</v>
      </c>
      <c r="J703" s="12">
        <v>0.8</v>
      </c>
      <c r="K703" s="12">
        <v>8.9599999999999999E-2</v>
      </c>
      <c r="L703" s="12">
        <v>5</v>
      </c>
      <c r="M703" s="12">
        <v>49</v>
      </c>
      <c r="N703" s="12">
        <v>54</v>
      </c>
      <c r="O703" s="12" t="str">
        <f>VLOOKUP(G703,calculate_field!$B$2:$C$5,2,FALSE)</f>
        <v xml:space="preserve">Mist / cloudy </v>
      </c>
      <c r="P703" s="12" t="str">
        <f t="shared" si="72"/>
        <v>Tuesday</v>
      </c>
      <c r="Q703" s="12" t="str">
        <f t="shared" si="73"/>
        <v>Weekday</v>
      </c>
      <c r="R703" s="12" t="str">
        <f t="shared" si="74"/>
        <v>Afternoon</v>
      </c>
      <c r="S703" s="28" t="str">
        <f>INDEX(calculate_field!$F$2:$F$4, MATCH(H703, calculate_field!$E$2:$E$4, 1))</f>
        <v>Mild</v>
      </c>
      <c r="T703" s="33">
        <f t="shared" si="75"/>
        <v>59.291666666666664</v>
      </c>
      <c r="U703" s="33">
        <f t="shared" si="76"/>
        <v>53.323034558179017</v>
      </c>
      <c r="V703" s="33">
        <f t="shared" si="77"/>
        <v>7.7948169678257531E-2</v>
      </c>
      <c r="W703" s="12" t="b">
        <f t="shared" si="78"/>
        <v>0</v>
      </c>
    </row>
    <row r="704" spans="1:23">
      <c r="A704" s="26">
        <v>703</v>
      </c>
      <c r="B704" s="27">
        <v>40575</v>
      </c>
      <c r="C704" s="12">
        <v>2</v>
      </c>
      <c r="D704" s="12">
        <v>15</v>
      </c>
      <c r="E704" s="12" t="b">
        <v>0</v>
      </c>
      <c r="F704" s="12">
        <v>2</v>
      </c>
      <c r="G704" s="12">
        <v>2</v>
      </c>
      <c r="H704" s="12">
        <v>0.24</v>
      </c>
      <c r="I704" s="12">
        <v>0.28789999999999999</v>
      </c>
      <c r="J704" s="12">
        <v>0.75</v>
      </c>
      <c r="K704" s="12">
        <v>0</v>
      </c>
      <c r="L704" s="12">
        <v>7</v>
      </c>
      <c r="M704" s="12">
        <v>45</v>
      </c>
      <c r="N704" s="12">
        <v>52</v>
      </c>
      <c r="O704" s="12" t="str">
        <f>VLOOKUP(G704,calculate_field!$B$2:$C$5,2,FALSE)</f>
        <v xml:space="preserve">Mist / cloudy </v>
      </c>
      <c r="P704" s="12" t="str">
        <f t="shared" si="72"/>
        <v>Tuesday</v>
      </c>
      <c r="Q704" s="12" t="str">
        <f t="shared" si="73"/>
        <v>Weekday</v>
      </c>
      <c r="R704" s="12" t="str">
        <f t="shared" si="74"/>
        <v>Afternoon</v>
      </c>
      <c r="S704" s="28" t="str">
        <f>INDEX(calculate_field!$F$2:$F$4, MATCH(H704, calculate_field!$E$2:$E$4, 1))</f>
        <v>Mild</v>
      </c>
      <c r="T704" s="33">
        <f t="shared" si="75"/>
        <v>59.666666666666664</v>
      </c>
      <c r="U704" s="33">
        <f t="shared" si="76"/>
        <v>53.315848583183289</v>
      </c>
      <c r="V704" s="33">
        <f t="shared" si="77"/>
        <v>-0.11466638825897142</v>
      </c>
      <c r="W704" s="12" t="b">
        <f t="shared" si="78"/>
        <v>0</v>
      </c>
    </row>
    <row r="705" spans="1:23">
      <c r="A705" s="26">
        <v>704</v>
      </c>
      <c r="B705" s="27">
        <v>40575</v>
      </c>
      <c r="C705" s="12">
        <v>2</v>
      </c>
      <c r="D705" s="12">
        <v>16</v>
      </c>
      <c r="E705" s="12" t="b">
        <v>0</v>
      </c>
      <c r="F705" s="12">
        <v>2</v>
      </c>
      <c r="G705" s="12">
        <v>2</v>
      </c>
      <c r="H705" s="12">
        <v>0.24</v>
      </c>
      <c r="I705" s="12">
        <v>0.2424</v>
      </c>
      <c r="J705" s="12">
        <v>0.75</v>
      </c>
      <c r="K705" s="12">
        <v>0.1343</v>
      </c>
      <c r="L705" s="12">
        <v>3</v>
      </c>
      <c r="M705" s="12">
        <v>61</v>
      </c>
      <c r="N705" s="12">
        <v>64</v>
      </c>
      <c r="O705" s="12" t="str">
        <f>VLOOKUP(G705,calculate_field!$B$2:$C$5,2,FALSE)</f>
        <v xml:space="preserve">Mist / cloudy </v>
      </c>
      <c r="P705" s="12" t="str">
        <f t="shared" si="72"/>
        <v>Tuesday</v>
      </c>
      <c r="Q705" s="12" t="str">
        <f t="shared" si="73"/>
        <v>Weekday</v>
      </c>
      <c r="R705" s="12" t="str">
        <f t="shared" si="74"/>
        <v>Afternoon</v>
      </c>
      <c r="S705" s="28" t="str">
        <f>INDEX(calculate_field!$F$2:$F$4, MATCH(H705, calculate_field!$E$2:$E$4, 1))</f>
        <v>Mild</v>
      </c>
      <c r="T705" s="33">
        <f t="shared" si="75"/>
        <v>60.666666666666664</v>
      </c>
      <c r="U705" s="33">
        <f t="shared" si="76"/>
        <v>53.390820467051519</v>
      </c>
      <c r="V705" s="33">
        <f t="shared" si="77"/>
        <v>0.11832689476767551</v>
      </c>
      <c r="W705" s="12" t="b">
        <f t="shared" si="78"/>
        <v>1</v>
      </c>
    </row>
    <row r="706" spans="1:23">
      <c r="A706" s="26">
        <v>705</v>
      </c>
      <c r="B706" s="27">
        <v>40575</v>
      </c>
      <c r="C706" s="12">
        <v>2</v>
      </c>
      <c r="D706" s="12">
        <v>17</v>
      </c>
      <c r="E706" s="12" t="b">
        <v>0</v>
      </c>
      <c r="F706" s="12">
        <v>2</v>
      </c>
      <c r="G706" s="12">
        <v>2</v>
      </c>
      <c r="H706" s="12">
        <v>0.24</v>
      </c>
      <c r="I706" s="12">
        <v>0.28789999999999999</v>
      </c>
      <c r="J706" s="12">
        <v>0.75</v>
      </c>
      <c r="K706" s="12">
        <v>0</v>
      </c>
      <c r="L706" s="12">
        <v>4</v>
      </c>
      <c r="M706" s="12">
        <v>172</v>
      </c>
      <c r="N706" s="12">
        <v>176</v>
      </c>
      <c r="O706" s="12" t="str">
        <f>VLOOKUP(G706,calculate_field!$B$2:$C$5,2,FALSE)</f>
        <v xml:space="preserve">Mist / cloudy </v>
      </c>
      <c r="P706" s="12" t="str">
        <f t="shared" ref="P706:P769" si="79">CHOOSE(F706+1,"Sunday","Monday","Tuesday","Wednesday","Thursday","Friday","Saturday")</f>
        <v>Tuesday</v>
      </c>
      <c r="Q706" s="12" t="str">
        <f t="shared" ref="Q706:Q769" si="80">IF(OR(F706=0,F706=6),"Weekend","Weekday")</f>
        <v>Weekday</v>
      </c>
      <c r="R706" s="12" t="str">
        <f t="shared" ref="R706:R769" si="81">IF(D706&lt;6,"Night",IF(D706&lt;12,"Morning",IF(D706&lt;17,"Afternoon",IF(D706&lt;21,"Evening","Night"))))</f>
        <v>Evening</v>
      </c>
      <c r="S706" s="28" t="str">
        <f>INDEX(calculate_field!$F$2:$F$4, MATCH(H706, calculate_field!$E$2:$E$4, 1))</f>
        <v>Mild</v>
      </c>
      <c r="T706" s="33">
        <f t="shared" ref="T706:T769" si="82">AVERAGE(N706:N729)</f>
        <v>62.291666666666664</v>
      </c>
      <c r="U706" s="33">
        <f t="shared" ref="U706:U769" si="83">_xlfn.STDEV.S(N706:N729)</f>
        <v>54.085664070722238</v>
      </c>
      <c r="V706" s="33">
        <f t="shared" ref="V706:V769" si="84">(N729-T729)/U729</f>
        <v>0.5959472654723561</v>
      </c>
      <c r="W706" s="12" t="b">
        <f t="shared" ref="W706:W769" si="85">IFERROR(ABS(V722)&gt;1.5,FALSE)</f>
        <v>0</v>
      </c>
    </row>
    <row r="707" spans="1:23">
      <c r="A707" s="26">
        <v>706</v>
      </c>
      <c r="B707" s="27">
        <v>40575</v>
      </c>
      <c r="C707" s="12">
        <v>2</v>
      </c>
      <c r="D707" s="12">
        <v>18</v>
      </c>
      <c r="E707" s="12" t="b">
        <v>0</v>
      </c>
      <c r="F707" s="12">
        <v>2</v>
      </c>
      <c r="G707" s="12">
        <v>2</v>
      </c>
      <c r="H707" s="12">
        <v>0.24</v>
      </c>
      <c r="I707" s="12">
        <v>0.2576</v>
      </c>
      <c r="J707" s="12">
        <v>0.81</v>
      </c>
      <c r="K707" s="12">
        <v>0.1045</v>
      </c>
      <c r="L707" s="12">
        <v>3</v>
      </c>
      <c r="M707" s="12">
        <v>165</v>
      </c>
      <c r="N707" s="12">
        <v>168</v>
      </c>
      <c r="O707" s="12" t="str">
        <f>VLOOKUP(G707,calculate_field!$B$2:$C$5,2,FALSE)</f>
        <v xml:space="preserve">Mist / cloudy </v>
      </c>
      <c r="P707" s="12" t="str">
        <f t="shared" si="79"/>
        <v>Tuesday</v>
      </c>
      <c r="Q707" s="12" t="str">
        <f t="shared" si="80"/>
        <v>Weekday</v>
      </c>
      <c r="R707" s="12" t="str">
        <f t="shared" si="81"/>
        <v>Evening</v>
      </c>
      <c r="S707" s="28" t="str">
        <f>INDEX(calculate_field!$F$2:$F$4, MATCH(H707, calculate_field!$E$2:$E$4, 1))</f>
        <v>Mild</v>
      </c>
      <c r="T707" s="33">
        <f t="shared" si="82"/>
        <v>62.875</v>
      </c>
      <c r="U707" s="33">
        <f t="shared" si="83"/>
        <v>55.424302078326299</v>
      </c>
      <c r="V707" s="33">
        <f t="shared" si="84"/>
        <v>1.9592037012913053</v>
      </c>
      <c r="W707" s="12" t="b">
        <f t="shared" si="85"/>
        <v>0</v>
      </c>
    </row>
    <row r="708" spans="1:23">
      <c r="A708" s="26">
        <v>707</v>
      </c>
      <c r="B708" s="27">
        <v>40575</v>
      </c>
      <c r="C708" s="12">
        <v>2</v>
      </c>
      <c r="D708" s="12">
        <v>19</v>
      </c>
      <c r="E708" s="12" t="b">
        <v>0</v>
      </c>
      <c r="F708" s="12">
        <v>2</v>
      </c>
      <c r="G708" s="12">
        <v>2</v>
      </c>
      <c r="H708" s="12">
        <v>0.24</v>
      </c>
      <c r="I708" s="12">
        <v>0.2424</v>
      </c>
      <c r="J708" s="12">
        <v>0.81</v>
      </c>
      <c r="K708" s="12">
        <v>0.1343</v>
      </c>
      <c r="L708" s="12">
        <v>3</v>
      </c>
      <c r="M708" s="12">
        <v>105</v>
      </c>
      <c r="N708" s="12">
        <v>108</v>
      </c>
      <c r="O708" s="12" t="str">
        <f>VLOOKUP(G708,calculate_field!$B$2:$C$5,2,FALSE)</f>
        <v xml:space="preserve">Mist / cloudy </v>
      </c>
      <c r="P708" s="12" t="str">
        <f t="shared" si="79"/>
        <v>Tuesday</v>
      </c>
      <c r="Q708" s="12" t="str">
        <f t="shared" si="80"/>
        <v>Weekday</v>
      </c>
      <c r="R708" s="12" t="str">
        <f t="shared" si="81"/>
        <v>Evening</v>
      </c>
      <c r="S708" s="28" t="str">
        <f>INDEX(calculate_field!$F$2:$F$4, MATCH(H708, calculate_field!$E$2:$E$4, 1))</f>
        <v>Mild</v>
      </c>
      <c r="T708" s="33">
        <f t="shared" si="82"/>
        <v>63.458333333333336</v>
      </c>
      <c r="U708" s="33">
        <f t="shared" si="83"/>
        <v>56.63919304161913</v>
      </c>
      <c r="V708" s="33">
        <f t="shared" si="84"/>
        <v>1.9568743154969928</v>
      </c>
      <c r="W708" s="12" t="b">
        <f t="shared" si="85"/>
        <v>0</v>
      </c>
    </row>
    <row r="709" spans="1:23">
      <c r="A709" s="26">
        <v>708</v>
      </c>
      <c r="B709" s="27">
        <v>40575</v>
      </c>
      <c r="C709" s="12">
        <v>2</v>
      </c>
      <c r="D709" s="12">
        <v>20</v>
      </c>
      <c r="E709" s="12" t="b">
        <v>0</v>
      </c>
      <c r="F709" s="12">
        <v>2</v>
      </c>
      <c r="G709" s="12">
        <v>2</v>
      </c>
      <c r="H709" s="12">
        <v>0.22</v>
      </c>
      <c r="I709" s="12">
        <v>0.2273</v>
      </c>
      <c r="J709" s="12">
        <v>0.87</v>
      </c>
      <c r="K709" s="12">
        <v>0.1343</v>
      </c>
      <c r="L709" s="12">
        <v>5</v>
      </c>
      <c r="M709" s="12">
        <v>69</v>
      </c>
      <c r="N709" s="12">
        <v>74</v>
      </c>
      <c r="O709" s="12" t="str">
        <f>VLOOKUP(G709,calculate_field!$B$2:$C$5,2,FALSE)</f>
        <v xml:space="preserve">Mist / cloudy </v>
      </c>
      <c r="P709" s="12" t="str">
        <f t="shared" si="79"/>
        <v>Tuesday</v>
      </c>
      <c r="Q709" s="12" t="str">
        <f t="shared" si="80"/>
        <v>Weekday</v>
      </c>
      <c r="R709" s="12" t="str">
        <f t="shared" si="81"/>
        <v>Evening</v>
      </c>
      <c r="S709" s="28" t="str">
        <f>INDEX(calculate_field!$F$2:$F$4, MATCH(H709, calculate_field!$E$2:$E$4, 1))</f>
        <v>Mild</v>
      </c>
      <c r="T709" s="33">
        <f t="shared" si="82"/>
        <v>62.75</v>
      </c>
      <c r="U709" s="33">
        <f t="shared" si="83"/>
        <v>56.162226203863334</v>
      </c>
      <c r="V709" s="33">
        <f t="shared" si="84"/>
        <v>0.45983985327027838</v>
      </c>
      <c r="W709" s="12" t="b">
        <f t="shared" si="85"/>
        <v>0</v>
      </c>
    </row>
    <row r="710" spans="1:23">
      <c r="A710" s="26">
        <v>709</v>
      </c>
      <c r="B710" s="27">
        <v>40575</v>
      </c>
      <c r="C710" s="12">
        <v>2</v>
      </c>
      <c r="D710" s="12">
        <v>21</v>
      </c>
      <c r="E710" s="12" t="b">
        <v>0</v>
      </c>
      <c r="F710" s="12">
        <v>2</v>
      </c>
      <c r="G710" s="12">
        <v>2</v>
      </c>
      <c r="H710" s="12">
        <v>0.22</v>
      </c>
      <c r="I710" s="12">
        <v>0.2273</v>
      </c>
      <c r="J710" s="12">
        <v>0.87</v>
      </c>
      <c r="K710" s="12">
        <v>0.1343</v>
      </c>
      <c r="L710" s="12">
        <v>0</v>
      </c>
      <c r="M710" s="12">
        <v>64</v>
      </c>
      <c r="N710" s="12">
        <v>64</v>
      </c>
      <c r="O710" s="12" t="str">
        <f>VLOOKUP(G710,calculate_field!$B$2:$C$5,2,FALSE)</f>
        <v xml:space="preserve">Mist / cloudy </v>
      </c>
      <c r="P710" s="12" t="str">
        <f t="shared" si="79"/>
        <v>Tuesday</v>
      </c>
      <c r="Q710" s="12" t="str">
        <f t="shared" si="80"/>
        <v>Weekday</v>
      </c>
      <c r="R710" s="12" t="str">
        <f t="shared" si="81"/>
        <v>Night</v>
      </c>
      <c r="S710" s="28" t="str">
        <f>INDEX(calculate_field!$F$2:$F$4, MATCH(H710, calculate_field!$E$2:$E$4, 1))</f>
        <v>Mild</v>
      </c>
      <c r="T710" s="33">
        <f t="shared" si="82"/>
        <v>62.791666666666664</v>
      </c>
      <c r="U710" s="33">
        <f t="shared" si="83"/>
        <v>56.171305661433088</v>
      </c>
      <c r="V710" s="33">
        <f t="shared" si="84"/>
        <v>0.13707020157386993</v>
      </c>
      <c r="W710" s="12" t="b">
        <f t="shared" si="85"/>
        <v>0</v>
      </c>
    </row>
    <row r="711" spans="1:23">
      <c r="A711" s="26">
        <v>710</v>
      </c>
      <c r="B711" s="27">
        <v>40575</v>
      </c>
      <c r="C711" s="12">
        <v>2</v>
      </c>
      <c r="D711" s="12">
        <v>22</v>
      </c>
      <c r="E711" s="12" t="b">
        <v>0</v>
      </c>
      <c r="F711" s="12">
        <v>2</v>
      </c>
      <c r="G711" s="12">
        <v>2</v>
      </c>
      <c r="H711" s="12">
        <v>0.22</v>
      </c>
      <c r="I711" s="12">
        <v>0.2576</v>
      </c>
      <c r="J711" s="12">
        <v>0.87</v>
      </c>
      <c r="K711" s="12">
        <v>8.9599999999999999E-2</v>
      </c>
      <c r="L711" s="12">
        <v>2</v>
      </c>
      <c r="M711" s="12">
        <v>34</v>
      </c>
      <c r="N711" s="12">
        <v>36</v>
      </c>
      <c r="O711" s="12" t="str">
        <f>VLOOKUP(G711,calculate_field!$B$2:$C$5,2,FALSE)</f>
        <v xml:space="preserve">Mist / cloudy </v>
      </c>
      <c r="P711" s="12" t="str">
        <f t="shared" si="79"/>
        <v>Tuesday</v>
      </c>
      <c r="Q711" s="12" t="str">
        <f t="shared" si="80"/>
        <v>Weekday</v>
      </c>
      <c r="R711" s="12" t="str">
        <f t="shared" si="81"/>
        <v>Night</v>
      </c>
      <c r="S711" s="28" t="str">
        <f>INDEX(calculate_field!$F$2:$F$4, MATCH(H711, calculate_field!$E$2:$E$4, 1))</f>
        <v>Mild</v>
      </c>
      <c r="T711" s="33">
        <f t="shared" si="82"/>
        <v>62.75</v>
      </c>
      <c r="U711" s="33">
        <f t="shared" si="83"/>
        <v>56.170741261915381</v>
      </c>
      <c r="V711" s="33">
        <f t="shared" si="84"/>
        <v>-7.4407369830929854E-2</v>
      </c>
      <c r="W711" s="12" t="b">
        <f t="shared" si="85"/>
        <v>0</v>
      </c>
    </row>
    <row r="712" spans="1:23">
      <c r="A712" s="26">
        <v>711</v>
      </c>
      <c r="B712" s="27">
        <v>40575</v>
      </c>
      <c r="C712" s="12">
        <v>2</v>
      </c>
      <c r="D712" s="12">
        <v>23</v>
      </c>
      <c r="E712" s="12" t="b">
        <v>0</v>
      </c>
      <c r="F712" s="12">
        <v>2</v>
      </c>
      <c r="G712" s="12">
        <v>3</v>
      </c>
      <c r="H712" s="12">
        <v>0.2</v>
      </c>
      <c r="I712" s="12">
        <v>0.19700000000000001</v>
      </c>
      <c r="J712" s="12">
        <v>0.93</v>
      </c>
      <c r="K712" s="12">
        <v>0.19400000000000001</v>
      </c>
      <c r="L712" s="12">
        <v>1</v>
      </c>
      <c r="M712" s="12">
        <v>15</v>
      </c>
      <c r="N712" s="12">
        <v>16</v>
      </c>
      <c r="O712" s="12" t="str">
        <f>VLOOKUP(G712,calculate_field!$B$2:$C$5,2,FALSE)</f>
        <v xml:space="preserve">Light Snow / Rain </v>
      </c>
      <c r="P712" s="12" t="str">
        <f t="shared" si="79"/>
        <v>Tuesday</v>
      </c>
      <c r="Q712" s="12" t="str">
        <f t="shared" si="80"/>
        <v>Weekday</v>
      </c>
      <c r="R712" s="12" t="str">
        <f t="shared" si="81"/>
        <v>Night</v>
      </c>
      <c r="S712" s="28" t="str">
        <f>INDEX(calculate_field!$F$2:$F$4, MATCH(H712, calculate_field!$E$2:$E$4, 1))</f>
        <v>Mild</v>
      </c>
      <c r="T712" s="33">
        <f t="shared" si="82"/>
        <v>62.916666666666664</v>
      </c>
      <c r="U712" s="33">
        <f t="shared" si="83"/>
        <v>56.09380084067778</v>
      </c>
      <c r="V712" s="33">
        <f t="shared" si="84"/>
        <v>-0.49149120743434599</v>
      </c>
      <c r="W712" s="12" t="b">
        <f t="shared" si="85"/>
        <v>0</v>
      </c>
    </row>
    <row r="713" spans="1:23">
      <c r="A713" s="26">
        <v>712</v>
      </c>
      <c r="B713" s="27">
        <v>40576</v>
      </c>
      <c r="C713" s="12">
        <v>2</v>
      </c>
      <c r="D713" s="12">
        <v>0</v>
      </c>
      <c r="E713" s="12" t="b">
        <v>0</v>
      </c>
      <c r="F713" s="12">
        <v>3</v>
      </c>
      <c r="G713" s="12">
        <v>3</v>
      </c>
      <c r="H713" s="12">
        <v>0.22</v>
      </c>
      <c r="I713" s="12">
        <v>0.2424</v>
      </c>
      <c r="J713" s="12">
        <v>0.93</v>
      </c>
      <c r="K713" s="12">
        <v>0.1045</v>
      </c>
      <c r="L713" s="12">
        <v>0</v>
      </c>
      <c r="M713" s="12">
        <v>2</v>
      </c>
      <c r="N713" s="12">
        <v>2</v>
      </c>
      <c r="O713" s="12" t="str">
        <f>VLOOKUP(G713,calculate_field!$B$2:$C$5,2,FALSE)</f>
        <v xml:space="preserve">Light Snow / Rain </v>
      </c>
      <c r="P713" s="12" t="str">
        <f t="shared" si="79"/>
        <v>Wednesday</v>
      </c>
      <c r="Q713" s="12" t="str">
        <f t="shared" si="80"/>
        <v>Weekday</v>
      </c>
      <c r="R713" s="12" t="str">
        <f t="shared" si="81"/>
        <v>Night</v>
      </c>
      <c r="S713" s="28" t="str">
        <f>INDEX(calculate_field!$F$2:$F$4, MATCH(H713, calculate_field!$E$2:$E$4, 1))</f>
        <v>Mild</v>
      </c>
      <c r="T713" s="33">
        <f t="shared" si="82"/>
        <v>63.583333333333336</v>
      </c>
      <c r="U713" s="33">
        <f t="shared" si="83"/>
        <v>55.6049080306896</v>
      </c>
      <c r="V713" s="33">
        <f t="shared" si="84"/>
        <v>-0.64060757704656757</v>
      </c>
      <c r="W713" s="12" t="b">
        <f t="shared" si="85"/>
        <v>0</v>
      </c>
    </row>
    <row r="714" spans="1:23">
      <c r="A714" s="26">
        <v>713</v>
      </c>
      <c r="B714" s="27">
        <v>40576</v>
      </c>
      <c r="C714" s="12">
        <v>2</v>
      </c>
      <c r="D714" s="12">
        <v>1</v>
      </c>
      <c r="E714" s="12" t="b">
        <v>0</v>
      </c>
      <c r="F714" s="12">
        <v>3</v>
      </c>
      <c r="G714" s="12">
        <v>3</v>
      </c>
      <c r="H714" s="12">
        <v>0.22</v>
      </c>
      <c r="I714" s="12">
        <v>0.2273</v>
      </c>
      <c r="J714" s="12">
        <v>0.93</v>
      </c>
      <c r="K714" s="12">
        <v>0.19400000000000001</v>
      </c>
      <c r="L714" s="12">
        <v>0</v>
      </c>
      <c r="M714" s="12">
        <v>3</v>
      </c>
      <c r="N714" s="12">
        <v>3</v>
      </c>
      <c r="O714" s="12" t="str">
        <f>VLOOKUP(G714,calculate_field!$B$2:$C$5,2,FALSE)</f>
        <v xml:space="preserve">Light Snow / Rain </v>
      </c>
      <c r="P714" s="12" t="str">
        <f t="shared" si="79"/>
        <v>Wednesday</v>
      </c>
      <c r="Q714" s="12" t="str">
        <f t="shared" si="80"/>
        <v>Weekday</v>
      </c>
      <c r="R714" s="12" t="str">
        <f t="shared" si="81"/>
        <v>Night</v>
      </c>
      <c r="S714" s="28" t="str">
        <f>INDEX(calculate_field!$F$2:$F$4, MATCH(H714, calculate_field!$E$2:$E$4, 1))</f>
        <v>Mild</v>
      </c>
      <c r="T714" s="33">
        <f t="shared" si="82"/>
        <v>64</v>
      </c>
      <c r="U714" s="33">
        <f t="shared" si="83"/>
        <v>55.15905854100879</v>
      </c>
      <c r="V714" s="33">
        <f t="shared" si="84"/>
        <v>-0.9909240486949098</v>
      </c>
      <c r="W714" s="12" t="b">
        <f t="shared" si="85"/>
        <v>1</v>
      </c>
    </row>
    <row r="715" spans="1:23">
      <c r="A715" s="26">
        <v>714</v>
      </c>
      <c r="B715" s="27">
        <v>40576</v>
      </c>
      <c r="C715" s="12">
        <v>2</v>
      </c>
      <c r="D715" s="12">
        <v>2</v>
      </c>
      <c r="E715" s="12" t="b">
        <v>0</v>
      </c>
      <c r="F715" s="12">
        <v>3</v>
      </c>
      <c r="G715" s="12">
        <v>3</v>
      </c>
      <c r="H715" s="12">
        <v>0.22</v>
      </c>
      <c r="I715" s="12">
        <v>0.2273</v>
      </c>
      <c r="J715" s="12">
        <v>0.93</v>
      </c>
      <c r="K715" s="12">
        <v>0.1343</v>
      </c>
      <c r="L715" s="12">
        <v>4</v>
      </c>
      <c r="M715" s="12">
        <v>0</v>
      </c>
      <c r="N715" s="12">
        <v>4</v>
      </c>
      <c r="O715" s="12" t="str">
        <f>VLOOKUP(G715,calculate_field!$B$2:$C$5,2,FALSE)</f>
        <v xml:space="preserve">Light Snow / Rain </v>
      </c>
      <c r="P715" s="12" t="str">
        <f t="shared" si="79"/>
        <v>Wednesday</v>
      </c>
      <c r="Q715" s="12" t="str">
        <f t="shared" si="80"/>
        <v>Weekday</v>
      </c>
      <c r="R715" s="12" t="str">
        <f t="shared" si="81"/>
        <v>Night</v>
      </c>
      <c r="S715" s="28" t="str">
        <f>INDEX(calculate_field!$F$2:$F$4, MATCH(H715, calculate_field!$E$2:$E$4, 1))</f>
        <v>Mild</v>
      </c>
      <c r="T715" s="33">
        <f t="shared" si="82"/>
        <v>64.083333333333329</v>
      </c>
      <c r="U715" s="33">
        <f t="shared" si="83"/>
        <v>55.064323387697478</v>
      </c>
      <c r="V715" s="33">
        <f t="shared" si="84"/>
        <v>-1.1129430342082405</v>
      </c>
      <c r="W715" s="12" t="b">
        <f t="shared" si="85"/>
        <v>0</v>
      </c>
    </row>
    <row r="716" spans="1:23">
      <c r="A716" s="26">
        <v>715</v>
      </c>
      <c r="B716" s="27">
        <v>40576</v>
      </c>
      <c r="C716" s="12">
        <v>2</v>
      </c>
      <c r="D716" s="12">
        <v>3</v>
      </c>
      <c r="E716" s="12" t="b">
        <v>0</v>
      </c>
      <c r="F716" s="12">
        <v>3</v>
      </c>
      <c r="G716" s="12">
        <v>3</v>
      </c>
      <c r="H716" s="12">
        <v>0.22</v>
      </c>
      <c r="I716" s="12">
        <v>0.2273</v>
      </c>
      <c r="J716" s="12">
        <v>0.93</v>
      </c>
      <c r="K716" s="12">
        <v>0.1343</v>
      </c>
      <c r="L716" s="12">
        <v>0</v>
      </c>
      <c r="M716" s="12">
        <v>1</v>
      </c>
      <c r="N716" s="12">
        <v>1</v>
      </c>
      <c r="O716" s="12" t="str">
        <f>VLOOKUP(G716,calculate_field!$B$2:$C$5,2,FALSE)</f>
        <v xml:space="preserve">Light Snow / Rain </v>
      </c>
      <c r="P716" s="12" t="str">
        <f t="shared" si="79"/>
        <v>Wednesday</v>
      </c>
      <c r="Q716" s="12" t="str">
        <f t="shared" si="80"/>
        <v>Weekday</v>
      </c>
      <c r="R716" s="12" t="str">
        <f t="shared" si="81"/>
        <v>Night</v>
      </c>
      <c r="S716" s="28" t="str">
        <f>INDEX(calculate_field!$F$2:$F$4, MATCH(H716, calculate_field!$E$2:$E$4, 1))</f>
        <v>Mild</v>
      </c>
      <c r="T716" s="33">
        <f t="shared" si="82"/>
        <v>64</v>
      </c>
      <c r="U716" s="33">
        <f t="shared" si="83"/>
        <v>55.160634987044091</v>
      </c>
      <c r="V716" s="33">
        <f t="shared" si="84"/>
        <v>-1.1612711083384299</v>
      </c>
      <c r="W716" s="12" t="b">
        <f t="shared" si="85"/>
        <v>0</v>
      </c>
    </row>
    <row r="717" spans="1:23">
      <c r="A717" s="26">
        <v>716</v>
      </c>
      <c r="B717" s="27">
        <v>40576</v>
      </c>
      <c r="C717" s="12">
        <v>2</v>
      </c>
      <c r="D717" s="12">
        <v>4</v>
      </c>
      <c r="E717" s="12" t="b">
        <v>0</v>
      </c>
      <c r="F717" s="12">
        <v>3</v>
      </c>
      <c r="G717" s="12">
        <v>3</v>
      </c>
      <c r="H717" s="12">
        <v>0.22</v>
      </c>
      <c r="I717" s="12">
        <v>0.21210000000000001</v>
      </c>
      <c r="J717" s="12">
        <v>0.93</v>
      </c>
      <c r="K717" s="12">
        <v>0.28360000000000002</v>
      </c>
      <c r="L717" s="12">
        <v>0</v>
      </c>
      <c r="M717" s="12">
        <v>1</v>
      </c>
      <c r="N717" s="12">
        <v>1</v>
      </c>
      <c r="O717" s="12" t="str">
        <f>VLOOKUP(G717,calculate_field!$B$2:$C$5,2,FALSE)</f>
        <v xml:space="preserve">Light Snow / Rain </v>
      </c>
      <c r="P717" s="12" t="str">
        <f t="shared" si="79"/>
        <v>Wednesday</v>
      </c>
      <c r="Q717" s="12" t="str">
        <f t="shared" si="80"/>
        <v>Weekday</v>
      </c>
      <c r="R717" s="12" t="str">
        <f t="shared" si="81"/>
        <v>Night</v>
      </c>
      <c r="S717" s="28" t="str">
        <f>INDEX(calculate_field!$F$2:$F$4, MATCH(H717, calculate_field!$E$2:$E$4, 1))</f>
        <v>Mild</v>
      </c>
      <c r="T717" s="33">
        <f t="shared" si="82"/>
        <v>64</v>
      </c>
      <c r="U717" s="33">
        <f t="shared" si="83"/>
        <v>55.160634987044091</v>
      </c>
      <c r="V717" s="33">
        <f t="shared" si="84"/>
        <v>-1.1778978320619455</v>
      </c>
      <c r="W717" s="12" t="b">
        <f t="shared" si="85"/>
        <v>0</v>
      </c>
    </row>
    <row r="718" spans="1:23">
      <c r="A718" s="26">
        <v>717</v>
      </c>
      <c r="B718" s="27">
        <v>40576</v>
      </c>
      <c r="C718" s="12">
        <v>2</v>
      </c>
      <c r="D718" s="12">
        <v>5</v>
      </c>
      <c r="E718" s="12" t="b">
        <v>0</v>
      </c>
      <c r="F718" s="12">
        <v>3</v>
      </c>
      <c r="G718" s="12">
        <v>3</v>
      </c>
      <c r="H718" s="12">
        <v>0.22</v>
      </c>
      <c r="I718" s="12">
        <v>0.2424</v>
      </c>
      <c r="J718" s="12">
        <v>0.93</v>
      </c>
      <c r="K718" s="12">
        <v>0.1045</v>
      </c>
      <c r="L718" s="12">
        <v>0</v>
      </c>
      <c r="M718" s="12">
        <v>3</v>
      </c>
      <c r="N718" s="12">
        <v>3</v>
      </c>
      <c r="O718" s="12" t="str">
        <f>VLOOKUP(G718,calculate_field!$B$2:$C$5,2,FALSE)</f>
        <v xml:space="preserve">Light Snow / Rain </v>
      </c>
      <c r="P718" s="12" t="str">
        <f t="shared" si="79"/>
        <v>Wednesday</v>
      </c>
      <c r="Q718" s="12" t="str">
        <f t="shared" si="80"/>
        <v>Weekday</v>
      </c>
      <c r="R718" s="12" t="str">
        <f t="shared" si="81"/>
        <v>Night</v>
      </c>
      <c r="S718" s="28" t="str">
        <f>INDEX(calculate_field!$F$2:$F$4, MATCH(H718, calculate_field!$E$2:$E$4, 1))</f>
        <v>Mild</v>
      </c>
      <c r="T718" s="33">
        <f t="shared" si="82"/>
        <v>64.041666666666671</v>
      </c>
      <c r="U718" s="33">
        <f t="shared" si="83"/>
        <v>55.111333298796303</v>
      </c>
      <c r="V718" s="33">
        <f t="shared" si="84"/>
        <v>-1.1703976958963762</v>
      </c>
      <c r="W718" s="12" t="b">
        <f t="shared" si="85"/>
        <v>0</v>
      </c>
    </row>
    <row r="719" spans="1:23">
      <c r="A719" s="26">
        <v>718</v>
      </c>
      <c r="B719" s="27">
        <v>40576</v>
      </c>
      <c r="C719" s="12">
        <v>2</v>
      </c>
      <c r="D719" s="12">
        <v>6</v>
      </c>
      <c r="E719" s="12" t="b">
        <v>0</v>
      </c>
      <c r="F719" s="12">
        <v>3</v>
      </c>
      <c r="G719" s="12">
        <v>3</v>
      </c>
      <c r="H719" s="12">
        <v>0.22</v>
      </c>
      <c r="I719" s="12">
        <v>0.2424</v>
      </c>
      <c r="J719" s="12">
        <v>0.93</v>
      </c>
      <c r="K719" s="12">
        <v>0.1045</v>
      </c>
      <c r="L719" s="12">
        <v>1</v>
      </c>
      <c r="M719" s="12">
        <v>17</v>
      </c>
      <c r="N719" s="12">
        <v>18</v>
      </c>
      <c r="O719" s="12" t="str">
        <f>VLOOKUP(G719,calculate_field!$B$2:$C$5,2,FALSE)</f>
        <v xml:space="preserve">Light Snow / Rain </v>
      </c>
      <c r="P719" s="12" t="str">
        <f t="shared" si="79"/>
        <v>Wednesday</v>
      </c>
      <c r="Q719" s="12" t="str">
        <f t="shared" si="80"/>
        <v>Weekday</v>
      </c>
      <c r="R719" s="12" t="str">
        <f t="shared" si="81"/>
        <v>Morning</v>
      </c>
      <c r="S719" s="28" t="str">
        <f>INDEX(calculate_field!$F$2:$F$4, MATCH(H719, calculate_field!$E$2:$E$4, 1))</f>
        <v>Mild</v>
      </c>
      <c r="T719" s="33">
        <f t="shared" si="82"/>
        <v>65.541666666666671</v>
      </c>
      <c r="U719" s="33">
        <f t="shared" si="83"/>
        <v>53.853245969479637</v>
      </c>
      <c r="V719" s="33">
        <f t="shared" si="84"/>
        <v>-0.51292675439947977</v>
      </c>
      <c r="W719" s="12" t="b">
        <f t="shared" si="85"/>
        <v>0</v>
      </c>
    </row>
    <row r="720" spans="1:23">
      <c r="A720" s="26">
        <v>719</v>
      </c>
      <c r="B720" s="27">
        <v>40576</v>
      </c>
      <c r="C720" s="12">
        <v>2</v>
      </c>
      <c r="D720" s="12">
        <v>7</v>
      </c>
      <c r="E720" s="12" t="b">
        <v>0</v>
      </c>
      <c r="F720" s="12">
        <v>3</v>
      </c>
      <c r="G720" s="12">
        <v>3</v>
      </c>
      <c r="H720" s="12">
        <v>0.22</v>
      </c>
      <c r="I720" s="12">
        <v>0.21210000000000001</v>
      </c>
      <c r="J720" s="12">
        <v>0.93</v>
      </c>
      <c r="K720" s="12">
        <v>0.22389999999999999</v>
      </c>
      <c r="L720" s="12">
        <v>1</v>
      </c>
      <c r="M720" s="12">
        <v>48</v>
      </c>
      <c r="N720" s="12">
        <v>49</v>
      </c>
      <c r="O720" s="12" t="str">
        <f>VLOOKUP(G720,calculate_field!$B$2:$C$5,2,FALSE)</f>
        <v xml:space="preserve">Light Snow / Rain </v>
      </c>
      <c r="P720" s="12" t="str">
        <f t="shared" si="79"/>
        <v>Wednesday</v>
      </c>
      <c r="Q720" s="12" t="str">
        <f t="shared" si="80"/>
        <v>Weekday</v>
      </c>
      <c r="R720" s="12" t="str">
        <f t="shared" si="81"/>
        <v>Morning</v>
      </c>
      <c r="S720" s="28" t="str">
        <f>INDEX(calculate_field!$F$2:$F$4, MATCH(H720, calculate_field!$E$2:$E$4, 1))</f>
        <v>Mild</v>
      </c>
      <c r="T720" s="33">
        <f t="shared" si="82"/>
        <v>68.416666666666671</v>
      </c>
      <c r="U720" s="33">
        <f t="shared" si="83"/>
        <v>53.040523201126845</v>
      </c>
      <c r="V720" s="33">
        <f t="shared" si="84"/>
        <v>0.36069824365929881</v>
      </c>
      <c r="W720" s="12" t="b">
        <f t="shared" si="85"/>
        <v>0</v>
      </c>
    </row>
    <row r="721" spans="1:23">
      <c r="A721" s="26">
        <v>720</v>
      </c>
      <c r="B721" s="27">
        <v>40576</v>
      </c>
      <c r="C721" s="12">
        <v>2</v>
      </c>
      <c r="D721" s="12">
        <v>8</v>
      </c>
      <c r="E721" s="12" t="b">
        <v>0</v>
      </c>
      <c r="F721" s="12">
        <v>3</v>
      </c>
      <c r="G721" s="12">
        <v>3</v>
      </c>
      <c r="H721" s="12">
        <v>0.22</v>
      </c>
      <c r="I721" s="12">
        <v>0.21210000000000001</v>
      </c>
      <c r="J721" s="12">
        <v>0.93</v>
      </c>
      <c r="K721" s="12">
        <v>0.22389999999999999</v>
      </c>
      <c r="L721" s="12">
        <v>1</v>
      </c>
      <c r="M721" s="12">
        <v>154</v>
      </c>
      <c r="N721" s="12">
        <v>155</v>
      </c>
      <c r="O721" s="12" t="str">
        <f>VLOOKUP(G721,calculate_field!$B$2:$C$5,2,FALSE)</f>
        <v xml:space="preserve">Light Snow / Rain </v>
      </c>
      <c r="P721" s="12" t="str">
        <f t="shared" si="79"/>
        <v>Wednesday</v>
      </c>
      <c r="Q721" s="12" t="str">
        <f t="shared" si="80"/>
        <v>Weekday</v>
      </c>
      <c r="R721" s="12" t="str">
        <f t="shared" si="81"/>
        <v>Morning</v>
      </c>
      <c r="S721" s="28" t="str">
        <f>INDEX(calculate_field!$F$2:$F$4, MATCH(H721, calculate_field!$E$2:$E$4, 1))</f>
        <v>Mild</v>
      </c>
      <c r="T721" s="33">
        <f t="shared" si="82"/>
        <v>74.208333333333329</v>
      </c>
      <c r="U721" s="33">
        <f t="shared" si="83"/>
        <v>58.169153013593387</v>
      </c>
      <c r="V721" s="33">
        <f t="shared" si="84"/>
        <v>1.8762220739202153</v>
      </c>
      <c r="W721" s="12" t="b">
        <f t="shared" si="85"/>
        <v>0</v>
      </c>
    </row>
    <row r="722" spans="1:23">
      <c r="A722" s="26">
        <v>721</v>
      </c>
      <c r="B722" s="27">
        <v>40576</v>
      </c>
      <c r="C722" s="12">
        <v>2</v>
      </c>
      <c r="D722" s="12">
        <v>9</v>
      </c>
      <c r="E722" s="12" t="b">
        <v>0</v>
      </c>
      <c r="F722" s="12">
        <v>3</v>
      </c>
      <c r="G722" s="12">
        <v>2</v>
      </c>
      <c r="H722" s="12">
        <v>0.24</v>
      </c>
      <c r="I722" s="12">
        <v>0.2576</v>
      </c>
      <c r="J722" s="12">
        <v>0.93</v>
      </c>
      <c r="K722" s="12">
        <v>8.9599999999999999E-2</v>
      </c>
      <c r="L722" s="12">
        <v>4</v>
      </c>
      <c r="M722" s="12">
        <v>119</v>
      </c>
      <c r="N722" s="12">
        <v>123</v>
      </c>
      <c r="O722" s="12" t="str">
        <f>VLOOKUP(G722,calculate_field!$B$2:$C$5,2,FALSE)</f>
        <v xml:space="preserve">Mist / cloudy </v>
      </c>
      <c r="P722" s="12" t="str">
        <f t="shared" si="79"/>
        <v>Wednesday</v>
      </c>
      <c r="Q722" s="12" t="str">
        <f t="shared" si="80"/>
        <v>Weekday</v>
      </c>
      <c r="R722" s="12" t="str">
        <f t="shared" si="81"/>
        <v>Morning</v>
      </c>
      <c r="S722" s="28" t="str">
        <f>INDEX(calculate_field!$F$2:$F$4, MATCH(H722, calculate_field!$E$2:$E$4, 1))</f>
        <v>Mild</v>
      </c>
      <c r="T722" s="33">
        <f t="shared" si="82"/>
        <v>73.291666666666671</v>
      </c>
      <c r="U722" s="33">
        <f t="shared" si="83"/>
        <v>57.002272393046006</v>
      </c>
      <c r="V722" s="33">
        <f t="shared" si="84"/>
        <v>1.0839900104991309</v>
      </c>
      <c r="W722" s="12" t="b">
        <f t="shared" si="85"/>
        <v>0</v>
      </c>
    </row>
    <row r="723" spans="1:23">
      <c r="A723" s="26">
        <v>722</v>
      </c>
      <c r="B723" s="27">
        <v>40576</v>
      </c>
      <c r="C723" s="12">
        <v>2</v>
      </c>
      <c r="D723" s="12">
        <v>10</v>
      </c>
      <c r="E723" s="12" t="b">
        <v>0</v>
      </c>
      <c r="F723" s="12">
        <v>3</v>
      </c>
      <c r="G723" s="12">
        <v>2</v>
      </c>
      <c r="H723" s="12">
        <v>0.22</v>
      </c>
      <c r="I723" s="12">
        <v>0.2727</v>
      </c>
      <c r="J723" s="12">
        <v>1</v>
      </c>
      <c r="K723" s="12">
        <v>0</v>
      </c>
      <c r="L723" s="12">
        <v>2</v>
      </c>
      <c r="M723" s="12">
        <v>59</v>
      </c>
      <c r="N723" s="12">
        <v>61</v>
      </c>
      <c r="O723" s="12" t="str">
        <f>VLOOKUP(G723,calculate_field!$B$2:$C$5,2,FALSE)</f>
        <v xml:space="preserve">Mist / cloudy </v>
      </c>
      <c r="P723" s="12" t="str">
        <f t="shared" si="79"/>
        <v>Wednesday</v>
      </c>
      <c r="Q723" s="12" t="str">
        <f t="shared" si="80"/>
        <v>Weekday</v>
      </c>
      <c r="R723" s="12" t="str">
        <f t="shared" si="81"/>
        <v>Morning</v>
      </c>
      <c r="S723" s="28" t="str">
        <f>INDEX(calculate_field!$F$2:$F$4, MATCH(H723, calculate_field!$E$2:$E$4, 1))</f>
        <v>Mild</v>
      </c>
      <c r="T723" s="33">
        <f t="shared" si="82"/>
        <v>70.333333333333329</v>
      </c>
      <c r="U723" s="33">
        <f t="shared" si="83"/>
        <v>56.146289254958326</v>
      </c>
      <c r="V723" s="33">
        <f t="shared" si="84"/>
        <v>-0.28039030938452131</v>
      </c>
      <c r="W723" s="12" t="b">
        <f t="shared" si="85"/>
        <v>0</v>
      </c>
    </row>
    <row r="724" spans="1:23">
      <c r="A724" s="26">
        <v>723</v>
      </c>
      <c r="B724" s="27">
        <v>40576</v>
      </c>
      <c r="C724" s="12">
        <v>2</v>
      </c>
      <c r="D724" s="12">
        <v>11</v>
      </c>
      <c r="E724" s="12" t="b">
        <v>0</v>
      </c>
      <c r="F724" s="12">
        <v>3</v>
      </c>
      <c r="G724" s="12">
        <v>2</v>
      </c>
      <c r="H724" s="12">
        <v>0.24</v>
      </c>
      <c r="I724" s="12">
        <v>0.2273</v>
      </c>
      <c r="J724" s="12">
        <v>0.93</v>
      </c>
      <c r="K724" s="12">
        <v>0.19400000000000001</v>
      </c>
      <c r="L724" s="12">
        <v>5</v>
      </c>
      <c r="M724" s="12">
        <v>47</v>
      </c>
      <c r="N724" s="12">
        <v>52</v>
      </c>
      <c r="O724" s="12" t="str">
        <f>VLOOKUP(G724,calculate_field!$B$2:$C$5,2,FALSE)</f>
        <v xml:space="preserve">Mist / cloudy </v>
      </c>
      <c r="P724" s="12" t="str">
        <f t="shared" si="79"/>
        <v>Wednesday</v>
      </c>
      <c r="Q724" s="12" t="str">
        <f t="shared" si="80"/>
        <v>Weekday</v>
      </c>
      <c r="R724" s="12" t="str">
        <f t="shared" si="81"/>
        <v>Morning</v>
      </c>
      <c r="S724" s="28" t="str">
        <f>INDEX(calculate_field!$F$2:$F$4, MATCH(H724, calculate_field!$E$2:$E$4, 1))</f>
        <v>Mild</v>
      </c>
      <c r="T724" s="33">
        <f t="shared" si="82"/>
        <v>70.458333333333329</v>
      </c>
      <c r="U724" s="33">
        <f t="shared" si="83"/>
        <v>56.127943259064409</v>
      </c>
      <c r="V724" s="33">
        <f t="shared" si="84"/>
        <v>-7.4146160896700883E-2</v>
      </c>
      <c r="W724" s="12" t="b">
        <f t="shared" si="85"/>
        <v>0</v>
      </c>
    </row>
    <row r="725" spans="1:23">
      <c r="A725" s="26">
        <v>724</v>
      </c>
      <c r="B725" s="27">
        <v>40576</v>
      </c>
      <c r="C725" s="12">
        <v>2</v>
      </c>
      <c r="D725" s="12">
        <v>12</v>
      </c>
      <c r="E725" s="12" t="b">
        <v>0</v>
      </c>
      <c r="F725" s="12">
        <v>3</v>
      </c>
      <c r="G725" s="12">
        <v>2</v>
      </c>
      <c r="H725" s="12">
        <v>0.24</v>
      </c>
      <c r="I725" s="12">
        <v>0.2273</v>
      </c>
      <c r="J725" s="12">
        <v>0.93</v>
      </c>
      <c r="K725" s="12">
        <v>0.22389999999999999</v>
      </c>
      <c r="L725" s="12">
        <v>3</v>
      </c>
      <c r="M725" s="12">
        <v>61</v>
      </c>
      <c r="N725" s="12">
        <v>64</v>
      </c>
      <c r="O725" s="12" t="str">
        <f>VLOOKUP(G725,calculate_field!$B$2:$C$5,2,FALSE)</f>
        <v xml:space="preserve">Mist / cloudy </v>
      </c>
      <c r="P725" s="12" t="str">
        <f t="shared" si="79"/>
        <v>Wednesday</v>
      </c>
      <c r="Q725" s="12" t="str">
        <f t="shared" si="80"/>
        <v>Weekday</v>
      </c>
      <c r="R725" s="12" t="str">
        <f t="shared" si="81"/>
        <v>Afternoon</v>
      </c>
      <c r="S725" s="28" t="str">
        <f>INDEX(calculate_field!$F$2:$F$4, MATCH(H725, calculate_field!$E$2:$E$4, 1))</f>
        <v>Mild</v>
      </c>
      <c r="T725" s="33">
        <f t="shared" si="82"/>
        <v>71.166666666666671</v>
      </c>
      <c r="U725" s="33">
        <f t="shared" si="83"/>
        <v>55.991976650903851</v>
      </c>
      <c r="V725" s="33">
        <f t="shared" si="84"/>
        <v>-7.4747031564683178E-4</v>
      </c>
      <c r="W725" s="12" t="b">
        <f t="shared" si="85"/>
        <v>0</v>
      </c>
    </row>
    <row r="726" spans="1:23">
      <c r="A726" s="26">
        <v>725</v>
      </c>
      <c r="B726" s="27">
        <v>40576</v>
      </c>
      <c r="C726" s="12">
        <v>2</v>
      </c>
      <c r="D726" s="12">
        <v>13</v>
      </c>
      <c r="E726" s="12" t="b">
        <v>0</v>
      </c>
      <c r="F726" s="12">
        <v>3</v>
      </c>
      <c r="G726" s="12">
        <v>1</v>
      </c>
      <c r="H726" s="12">
        <v>0.34</v>
      </c>
      <c r="I726" s="12">
        <v>0.33329999999999999</v>
      </c>
      <c r="J726" s="12">
        <v>0.93</v>
      </c>
      <c r="K726" s="12">
        <v>0.16420000000000001</v>
      </c>
      <c r="L726" s="12">
        <v>1</v>
      </c>
      <c r="M726" s="12">
        <v>74</v>
      </c>
      <c r="N726" s="12">
        <v>75</v>
      </c>
      <c r="O726" s="12" t="str">
        <f>VLOOKUP(G726,calculate_field!$B$2:$C$5,2,FALSE)</f>
        <v>Clear/Partly Cloudy</v>
      </c>
      <c r="P726" s="12" t="str">
        <f t="shared" si="79"/>
        <v>Wednesday</v>
      </c>
      <c r="Q726" s="12" t="str">
        <f t="shared" si="80"/>
        <v>Weekday</v>
      </c>
      <c r="R726" s="12" t="str">
        <f t="shared" si="81"/>
        <v>Afternoon</v>
      </c>
      <c r="S726" s="28" t="str">
        <f>INDEX(calculate_field!$F$2:$F$4, MATCH(H726, calculate_field!$E$2:$E$4, 1))</f>
        <v>Warm</v>
      </c>
      <c r="T726" s="33">
        <f t="shared" si="82"/>
        <v>70.625</v>
      </c>
      <c r="U726" s="33">
        <f t="shared" si="83"/>
        <v>56.127039519445454</v>
      </c>
      <c r="V726" s="33">
        <f t="shared" si="84"/>
        <v>-0.33299718690161167</v>
      </c>
      <c r="W726" s="12" t="b">
        <f t="shared" si="85"/>
        <v>0</v>
      </c>
    </row>
    <row r="727" spans="1:23">
      <c r="A727" s="26">
        <v>726</v>
      </c>
      <c r="B727" s="27">
        <v>40576</v>
      </c>
      <c r="C727" s="12">
        <v>2</v>
      </c>
      <c r="D727" s="12">
        <v>14</v>
      </c>
      <c r="E727" s="12" t="b">
        <v>0</v>
      </c>
      <c r="F727" s="12">
        <v>3</v>
      </c>
      <c r="G727" s="12">
        <v>1</v>
      </c>
      <c r="H727" s="12">
        <v>0.38</v>
      </c>
      <c r="I727" s="12">
        <v>0.39389999999999997</v>
      </c>
      <c r="J727" s="12">
        <v>0.82</v>
      </c>
      <c r="K727" s="12">
        <v>0.3881</v>
      </c>
      <c r="L727" s="12">
        <v>2</v>
      </c>
      <c r="M727" s="12">
        <v>61</v>
      </c>
      <c r="N727" s="12">
        <v>63</v>
      </c>
      <c r="O727" s="12" t="str">
        <f>VLOOKUP(G727,calculate_field!$B$2:$C$5,2,FALSE)</f>
        <v>Clear/Partly Cloudy</v>
      </c>
      <c r="P727" s="12" t="str">
        <f t="shared" si="79"/>
        <v>Wednesday</v>
      </c>
      <c r="Q727" s="12" t="str">
        <f t="shared" si="80"/>
        <v>Weekday</v>
      </c>
      <c r="R727" s="12" t="str">
        <f t="shared" si="81"/>
        <v>Afternoon</v>
      </c>
      <c r="S727" s="28" t="str">
        <f>INDEX(calculate_field!$F$2:$F$4, MATCH(H727, calculate_field!$E$2:$E$4, 1))</f>
        <v>Warm</v>
      </c>
      <c r="T727" s="33">
        <f t="shared" si="82"/>
        <v>69.458333333333329</v>
      </c>
      <c r="U727" s="33">
        <f t="shared" si="83"/>
        <v>56.322811168930606</v>
      </c>
      <c r="V727" s="33">
        <f t="shared" si="84"/>
        <v>-0.43439744857848367</v>
      </c>
      <c r="W727" s="12" t="b">
        <f t="shared" si="85"/>
        <v>0</v>
      </c>
    </row>
    <row r="728" spans="1:23">
      <c r="A728" s="26">
        <v>727</v>
      </c>
      <c r="B728" s="27">
        <v>40576</v>
      </c>
      <c r="C728" s="12">
        <v>2</v>
      </c>
      <c r="D728" s="12">
        <v>15</v>
      </c>
      <c r="E728" s="12" t="b">
        <v>0</v>
      </c>
      <c r="F728" s="12">
        <v>3</v>
      </c>
      <c r="G728" s="12">
        <v>1</v>
      </c>
      <c r="H728" s="12">
        <v>0.38</v>
      </c>
      <c r="I728" s="12">
        <v>0.39389999999999997</v>
      </c>
      <c r="J728" s="12">
        <v>0.76</v>
      </c>
      <c r="K728" s="12">
        <v>0.32840000000000003</v>
      </c>
      <c r="L728" s="12">
        <v>10</v>
      </c>
      <c r="M728" s="12">
        <v>66</v>
      </c>
      <c r="N728" s="12">
        <v>76</v>
      </c>
      <c r="O728" s="12" t="str">
        <f>VLOOKUP(G728,calculate_field!$B$2:$C$5,2,FALSE)</f>
        <v>Clear/Partly Cloudy</v>
      </c>
      <c r="P728" s="12" t="str">
        <f t="shared" si="79"/>
        <v>Wednesday</v>
      </c>
      <c r="Q728" s="12" t="str">
        <f t="shared" si="80"/>
        <v>Weekday</v>
      </c>
      <c r="R728" s="12" t="str">
        <f t="shared" si="81"/>
        <v>Afternoon</v>
      </c>
      <c r="S728" s="28" t="str">
        <f>INDEX(calculate_field!$F$2:$F$4, MATCH(H728, calculate_field!$E$2:$E$4, 1))</f>
        <v>Warm</v>
      </c>
      <c r="T728" s="33">
        <f t="shared" si="82"/>
        <v>69.333333333333329</v>
      </c>
      <c r="U728" s="33">
        <f t="shared" si="83"/>
        <v>56.341093711248718</v>
      </c>
      <c r="V728" s="33">
        <f t="shared" si="84"/>
        <v>-0.23413190092318412</v>
      </c>
      <c r="W728" s="12" t="b">
        <f t="shared" si="85"/>
        <v>1</v>
      </c>
    </row>
    <row r="729" spans="1:23">
      <c r="A729" s="26">
        <v>728</v>
      </c>
      <c r="B729" s="27">
        <v>40576</v>
      </c>
      <c r="C729" s="12">
        <v>2</v>
      </c>
      <c r="D729" s="12">
        <v>16</v>
      </c>
      <c r="E729" s="12" t="b">
        <v>0</v>
      </c>
      <c r="F729" s="12">
        <v>3</v>
      </c>
      <c r="G729" s="12">
        <v>1</v>
      </c>
      <c r="H729" s="12">
        <v>0.36</v>
      </c>
      <c r="I729" s="12">
        <v>0.33329999999999999</v>
      </c>
      <c r="J729" s="12">
        <v>0.71</v>
      </c>
      <c r="K729" s="12">
        <v>0.29849999999999999</v>
      </c>
      <c r="L729" s="12">
        <v>8</v>
      </c>
      <c r="M729" s="12">
        <v>95</v>
      </c>
      <c r="N729" s="12">
        <v>103</v>
      </c>
      <c r="O729" s="12" t="str">
        <f>VLOOKUP(G729,calculate_field!$B$2:$C$5,2,FALSE)</f>
        <v>Clear/Partly Cloudy</v>
      </c>
      <c r="P729" s="12" t="str">
        <f t="shared" si="79"/>
        <v>Wednesday</v>
      </c>
      <c r="Q729" s="12" t="str">
        <f t="shared" si="80"/>
        <v>Weekday</v>
      </c>
      <c r="R729" s="12" t="str">
        <f t="shared" si="81"/>
        <v>Afternoon</v>
      </c>
      <c r="S729" s="28" t="str">
        <f>INDEX(calculate_field!$F$2:$F$4, MATCH(H729, calculate_field!$E$2:$E$4, 1))</f>
        <v>Warm</v>
      </c>
      <c r="T729" s="33">
        <f t="shared" si="82"/>
        <v>69.416666666666671</v>
      </c>
      <c r="U729" s="33">
        <f t="shared" si="83"/>
        <v>56.352860863812687</v>
      </c>
      <c r="V729" s="33">
        <f t="shared" si="84"/>
        <v>5.9658229471337192E-2</v>
      </c>
      <c r="W729" s="12" t="b">
        <f t="shared" si="85"/>
        <v>0</v>
      </c>
    </row>
    <row r="730" spans="1:23">
      <c r="A730" s="26">
        <v>729</v>
      </c>
      <c r="B730" s="27">
        <v>40576</v>
      </c>
      <c r="C730" s="12">
        <v>2</v>
      </c>
      <c r="D730" s="12">
        <v>17</v>
      </c>
      <c r="E730" s="12" t="b">
        <v>0</v>
      </c>
      <c r="F730" s="12">
        <v>3</v>
      </c>
      <c r="G730" s="12">
        <v>1</v>
      </c>
      <c r="H730" s="12">
        <v>0.36</v>
      </c>
      <c r="I730" s="12">
        <v>0.31819999999999998</v>
      </c>
      <c r="J730" s="12">
        <v>0.53</v>
      </c>
      <c r="K730" s="12">
        <v>0.52239999999999998</v>
      </c>
      <c r="L730" s="12">
        <v>7</v>
      </c>
      <c r="M730" s="12">
        <v>183</v>
      </c>
      <c r="N730" s="12">
        <v>190</v>
      </c>
      <c r="O730" s="12" t="str">
        <f>VLOOKUP(G730,calculate_field!$B$2:$C$5,2,FALSE)</f>
        <v>Clear/Partly Cloudy</v>
      </c>
      <c r="P730" s="12" t="str">
        <f t="shared" si="79"/>
        <v>Wednesday</v>
      </c>
      <c r="Q730" s="12" t="str">
        <f t="shared" si="80"/>
        <v>Weekday</v>
      </c>
      <c r="R730" s="12" t="str">
        <f t="shared" si="81"/>
        <v>Evening</v>
      </c>
      <c r="S730" s="28" t="str">
        <f>INDEX(calculate_field!$F$2:$F$4, MATCH(H730, calculate_field!$E$2:$E$4, 1))</f>
        <v>Warm</v>
      </c>
      <c r="T730" s="33">
        <f t="shared" si="82"/>
        <v>72.416666666666671</v>
      </c>
      <c r="U730" s="33">
        <f t="shared" si="83"/>
        <v>60.015879541180176</v>
      </c>
      <c r="V730" s="33">
        <f t="shared" si="84"/>
        <v>1.535581450440648</v>
      </c>
      <c r="W730" s="12" t="b">
        <f t="shared" si="85"/>
        <v>0</v>
      </c>
    </row>
    <row r="731" spans="1:23">
      <c r="A731" s="26">
        <v>730</v>
      </c>
      <c r="B731" s="27">
        <v>40576</v>
      </c>
      <c r="C731" s="12">
        <v>2</v>
      </c>
      <c r="D731" s="12">
        <v>18</v>
      </c>
      <c r="E731" s="12" t="b">
        <v>0</v>
      </c>
      <c r="F731" s="12">
        <v>3</v>
      </c>
      <c r="G731" s="12">
        <v>1</v>
      </c>
      <c r="H731" s="12">
        <v>0.34</v>
      </c>
      <c r="I731" s="12">
        <v>0.28789999999999999</v>
      </c>
      <c r="J731" s="12">
        <v>0.42</v>
      </c>
      <c r="K731" s="12">
        <v>0.55220000000000002</v>
      </c>
      <c r="L731" s="12">
        <v>7</v>
      </c>
      <c r="M731" s="12">
        <v>175</v>
      </c>
      <c r="N731" s="12">
        <v>182</v>
      </c>
      <c r="O731" s="12" t="str">
        <f>VLOOKUP(G731,calculate_field!$B$2:$C$5,2,FALSE)</f>
        <v>Clear/Partly Cloudy</v>
      </c>
      <c r="P731" s="12" t="str">
        <f t="shared" si="79"/>
        <v>Wednesday</v>
      </c>
      <c r="Q731" s="12" t="str">
        <f t="shared" si="80"/>
        <v>Weekday</v>
      </c>
      <c r="R731" s="12" t="str">
        <f t="shared" si="81"/>
        <v>Evening</v>
      </c>
      <c r="S731" s="28" t="str">
        <f>INDEX(calculate_field!$F$2:$F$4, MATCH(H731, calculate_field!$E$2:$E$4, 1))</f>
        <v>Warm</v>
      </c>
      <c r="T731" s="33">
        <f t="shared" si="82"/>
        <v>70.625</v>
      </c>
      <c r="U731" s="33">
        <f t="shared" si="83"/>
        <v>56.914743638869716</v>
      </c>
      <c r="V731" s="33">
        <f t="shared" si="84"/>
        <v>1.1185649836285092</v>
      </c>
      <c r="W731" s="12" t="b">
        <f t="shared" si="85"/>
        <v>0</v>
      </c>
    </row>
    <row r="732" spans="1:23">
      <c r="A732" s="26">
        <v>731</v>
      </c>
      <c r="B732" s="27">
        <v>40576</v>
      </c>
      <c r="C732" s="12">
        <v>2</v>
      </c>
      <c r="D732" s="12">
        <v>19</v>
      </c>
      <c r="E732" s="12" t="b">
        <v>0</v>
      </c>
      <c r="F732" s="12">
        <v>3</v>
      </c>
      <c r="G732" s="12">
        <v>1</v>
      </c>
      <c r="H732" s="12">
        <v>0.28000000000000003</v>
      </c>
      <c r="I732" s="12">
        <v>0.2424</v>
      </c>
      <c r="J732" s="12">
        <v>0.45</v>
      </c>
      <c r="K732" s="12">
        <v>0.49249999999999999</v>
      </c>
      <c r="L732" s="12">
        <v>3</v>
      </c>
      <c r="M732" s="12">
        <v>88</v>
      </c>
      <c r="N732" s="12">
        <v>91</v>
      </c>
      <c r="O732" s="12" t="str">
        <f>VLOOKUP(G732,calculate_field!$B$2:$C$5,2,FALSE)</f>
        <v>Clear/Partly Cloudy</v>
      </c>
      <c r="P732" s="12" t="str">
        <f t="shared" si="79"/>
        <v>Wednesday</v>
      </c>
      <c r="Q732" s="12" t="str">
        <f t="shared" si="80"/>
        <v>Weekday</v>
      </c>
      <c r="R732" s="12" t="str">
        <f t="shared" si="81"/>
        <v>Evening</v>
      </c>
      <c r="S732" s="28" t="str">
        <f>INDEX(calculate_field!$F$2:$F$4, MATCH(H732, calculate_field!$E$2:$E$4, 1))</f>
        <v>Mild</v>
      </c>
      <c r="T732" s="33">
        <f t="shared" si="82"/>
        <v>67.041666666666671</v>
      </c>
      <c r="U732" s="33">
        <f t="shared" si="83"/>
        <v>52.101472203740087</v>
      </c>
      <c r="V732" s="33">
        <f t="shared" si="84"/>
        <v>0.31608926939627013</v>
      </c>
      <c r="W732" s="12" t="b">
        <f t="shared" si="85"/>
        <v>0</v>
      </c>
    </row>
    <row r="733" spans="1:23">
      <c r="A733" s="26">
        <v>732</v>
      </c>
      <c r="B733" s="27">
        <v>40576</v>
      </c>
      <c r="C733" s="12">
        <v>2</v>
      </c>
      <c r="D733" s="12">
        <v>20</v>
      </c>
      <c r="E733" s="12" t="b">
        <v>0</v>
      </c>
      <c r="F733" s="12">
        <v>3</v>
      </c>
      <c r="G733" s="12">
        <v>1</v>
      </c>
      <c r="H733" s="12">
        <v>0.24</v>
      </c>
      <c r="I733" s="12">
        <v>0.19700000000000001</v>
      </c>
      <c r="J733" s="12">
        <v>0.48</v>
      </c>
      <c r="K733" s="12">
        <v>0.55220000000000002</v>
      </c>
      <c r="L733" s="12">
        <v>4</v>
      </c>
      <c r="M733" s="12">
        <v>71</v>
      </c>
      <c r="N733" s="12">
        <v>75</v>
      </c>
      <c r="O733" s="12" t="str">
        <f>VLOOKUP(G733,calculate_field!$B$2:$C$5,2,FALSE)</f>
        <v>Clear/Partly Cloudy</v>
      </c>
      <c r="P733" s="12" t="str">
        <f t="shared" si="79"/>
        <v>Wednesday</v>
      </c>
      <c r="Q733" s="12" t="str">
        <f t="shared" si="80"/>
        <v>Weekday</v>
      </c>
      <c r="R733" s="12" t="str">
        <f t="shared" si="81"/>
        <v>Evening</v>
      </c>
      <c r="S733" s="28" t="str">
        <f>INDEX(calculate_field!$F$2:$F$4, MATCH(H733, calculate_field!$E$2:$E$4, 1))</f>
        <v>Mild</v>
      </c>
      <c r="T733" s="33">
        <f t="shared" si="82"/>
        <v>67.791666666666671</v>
      </c>
      <c r="U733" s="33">
        <f t="shared" si="83"/>
        <v>52.588624300290469</v>
      </c>
      <c r="V733" s="33">
        <f t="shared" si="84"/>
        <v>0.55449118589205393</v>
      </c>
      <c r="W733" s="12" t="b">
        <f t="shared" si="85"/>
        <v>0</v>
      </c>
    </row>
    <row r="734" spans="1:23">
      <c r="A734" s="26">
        <v>733</v>
      </c>
      <c r="B734" s="27">
        <v>40576</v>
      </c>
      <c r="C734" s="12">
        <v>2</v>
      </c>
      <c r="D734" s="12">
        <v>21</v>
      </c>
      <c r="E734" s="12" t="b">
        <v>0</v>
      </c>
      <c r="F734" s="12">
        <v>3</v>
      </c>
      <c r="G734" s="12">
        <v>1</v>
      </c>
      <c r="H734" s="12">
        <v>0.22</v>
      </c>
      <c r="I734" s="12">
        <v>0.19700000000000001</v>
      </c>
      <c r="J734" s="12">
        <v>0.47</v>
      </c>
      <c r="K734" s="12">
        <v>0.32840000000000003</v>
      </c>
      <c r="L734" s="12">
        <v>1</v>
      </c>
      <c r="M734" s="12">
        <v>62</v>
      </c>
      <c r="N734" s="12">
        <v>63</v>
      </c>
      <c r="O734" s="12" t="str">
        <f>VLOOKUP(G734,calculate_field!$B$2:$C$5,2,FALSE)</f>
        <v>Clear/Partly Cloudy</v>
      </c>
      <c r="P734" s="12" t="str">
        <f t="shared" si="79"/>
        <v>Wednesday</v>
      </c>
      <c r="Q734" s="12" t="str">
        <f t="shared" si="80"/>
        <v>Weekday</v>
      </c>
      <c r="R734" s="12" t="str">
        <f t="shared" si="81"/>
        <v>Night</v>
      </c>
      <c r="S734" s="28" t="str">
        <f>INDEX(calculate_field!$F$2:$F$4, MATCH(H734, calculate_field!$E$2:$E$4, 1))</f>
        <v>Mild</v>
      </c>
      <c r="T734" s="33">
        <f t="shared" si="82"/>
        <v>66.916666666666671</v>
      </c>
      <c r="U734" s="33">
        <f t="shared" si="83"/>
        <v>52.638155004890137</v>
      </c>
      <c r="V734" s="33">
        <f t="shared" si="84"/>
        <v>-0.3304610115941099</v>
      </c>
      <c r="W734" s="12" t="b">
        <f t="shared" si="85"/>
        <v>0</v>
      </c>
    </row>
    <row r="735" spans="1:23">
      <c r="A735" s="26">
        <v>734</v>
      </c>
      <c r="B735" s="27">
        <v>40576</v>
      </c>
      <c r="C735" s="12">
        <v>2</v>
      </c>
      <c r="D735" s="12">
        <v>22</v>
      </c>
      <c r="E735" s="12" t="b">
        <v>0</v>
      </c>
      <c r="F735" s="12">
        <v>3</v>
      </c>
      <c r="G735" s="12">
        <v>1</v>
      </c>
      <c r="H735" s="12">
        <v>0.22</v>
      </c>
      <c r="I735" s="12">
        <v>0.21210000000000001</v>
      </c>
      <c r="J735" s="12">
        <v>0.44</v>
      </c>
      <c r="K735" s="12">
        <v>0.25369999999999998</v>
      </c>
      <c r="L735" s="12">
        <v>5</v>
      </c>
      <c r="M735" s="12">
        <v>35</v>
      </c>
      <c r="N735" s="12">
        <v>40</v>
      </c>
      <c r="O735" s="12" t="str">
        <f>VLOOKUP(G735,calculate_field!$B$2:$C$5,2,FALSE)</f>
        <v>Clear/Partly Cloudy</v>
      </c>
      <c r="P735" s="12" t="str">
        <f t="shared" si="79"/>
        <v>Wednesday</v>
      </c>
      <c r="Q735" s="12" t="str">
        <f t="shared" si="80"/>
        <v>Weekday</v>
      </c>
      <c r="R735" s="12" t="str">
        <f t="shared" si="81"/>
        <v>Night</v>
      </c>
      <c r="S735" s="28" t="str">
        <f>INDEX(calculate_field!$F$2:$F$4, MATCH(H735, calculate_field!$E$2:$E$4, 1))</f>
        <v>Mild</v>
      </c>
      <c r="T735" s="33">
        <f t="shared" si="82"/>
        <v>66</v>
      </c>
      <c r="U735" s="33">
        <f t="shared" si="83"/>
        <v>52.900234239639197</v>
      </c>
      <c r="V735" s="33">
        <f t="shared" si="84"/>
        <v>-0.5438532920396637</v>
      </c>
      <c r="W735" s="12" t="b">
        <f t="shared" si="85"/>
        <v>0</v>
      </c>
    </row>
    <row r="736" spans="1:23">
      <c r="A736" s="26">
        <v>735</v>
      </c>
      <c r="B736" s="27">
        <v>40576</v>
      </c>
      <c r="C736" s="12">
        <v>2</v>
      </c>
      <c r="D736" s="12">
        <v>23</v>
      </c>
      <c r="E736" s="12" t="b">
        <v>0</v>
      </c>
      <c r="F736" s="12">
        <v>3</v>
      </c>
      <c r="G736" s="12">
        <v>1</v>
      </c>
      <c r="H736" s="12">
        <v>0.2</v>
      </c>
      <c r="I736" s="12">
        <v>0.16669999999999999</v>
      </c>
      <c r="J736" s="12">
        <v>0.44</v>
      </c>
      <c r="K736" s="12">
        <v>0.44779999999999998</v>
      </c>
      <c r="L736" s="12">
        <v>3</v>
      </c>
      <c r="M736" s="12">
        <v>29</v>
      </c>
      <c r="N736" s="12">
        <v>32</v>
      </c>
      <c r="O736" s="12" t="str">
        <f>VLOOKUP(G736,calculate_field!$B$2:$C$5,2,FALSE)</f>
        <v>Clear/Partly Cloudy</v>
      </c>
      <c r="P736" s="12" t="str">
        <f t="shared" si="79"/>
        <v>Wednesday</v>
      </c>
      <c r="Q736" s="12" t="str">
        <f t="shared" si="80"/>
        <v>Weekday</v>
      </c>
      <c r="R736" s="12" t="str">
        <f t="shared" si="81"/>
        <v>Night</v>
      </c>
      <c r="S736" s="28" t="str">
        <f>INDEX(calculate_field!$F$2:$F$4, MATCH(H736, calculate_field!$E$2:$E$4, 1))</f>
        <v>Mild</v>
      </c>
      <c r="T736" s="33">
        <f t="shared" si="82"/>
        <v>65.916666666666671</v>
      </c>
      <c r="U736" s="33">
        <f t="shared" si="83"/>
        <v>52.9445293529539</v>
      </c>
      <c r="V736" s="33">
        <f t="shared" si="84"/>
        <v>-0.58485030899062296</v>
      </c>
      <c r="W736" s="12" t="b">
        <f t="shared" si="85"/>
        <v>0</v>
      </c>
    </row>
    <row r="737" spans="1:23">
      <c r="A737" s="26">
        <v>736</v>
      </c>
      <c r="B737" s="27">
        <v>40577</v>
      </c>
      <c r="C737" s="12">
        <v>2</v>
      </c>
      <c r="D737" s="12">
        <v>0</v>
      </c>
      <c r="E737" s="12" t="b">
        <v>0</v>
      </c>
      <c r="F737" s="12">
        <v>4</v>
      </c>
      <c r="G737" s="12">
        <v>1</v>
      </c>
      <c r="H737" s="12">
        <v>0.2</v>
      </c>
      <c r="I737" s="12">
        <v>0.16669999999999999</v>
      </c>
      <c r="J737" s="12">
        <v>0.4</v>
      </c>
      <c r="K737" s="12">
        <v>0.44779999999999998</v>
      </c>
      <c r="L737" s="12">
        <v>1</v>
      </c>
      <c r="M737" s="12">
        <v>11</v>
      </c>
      <c r="N737" s="12">
        <v>12</v>
      </c>
      <c r="O737" s="12" t="str">
        <f>VLOOKUP(G737,calculate_field!$B$2:$C$5,2,FALSE)</f>
        <v>Clear/Partly Cloudy</v>
      </c>
      <c r="P737" s="12" t="str">
        <f t="shared" si="79"/>
        <v>Thursday</v>
      </c>
      <c r="Q737" s="12" t="str">
        <f t="shared" si="80"/>
        <v>Weekday</v>
      </c>
      <c r="R737" s="12" t="str">
        <f t="shared" si="81"/>
        <v>Night</v>
      </c>
      <c r="S737" s="28" t="str">
        <f>INDEX(calculate_field!$F$2:$F$4, MATCH(H737, calculate_field!$E$2:$E$4, 1))</f>
        <v>Mild</v>
      </c>
      <c r="T737" s="33">
        <f t="shared" si="82"/>
        <v>65.125</v>
      </c>
      <c r="U737" s="33">
        <f t="shared" si="83"/>
        <v>53.611576053652087</v>
      </c>
      <c r="V737" s="33">
        <f t="shared" si="84"/>
        <v>-1.0067321798329689</v>
      </c>
      <c r="W737" s="12" t="b">
        <f t="shared" si="85"/>
        <v>1</v>
      </c>
    </row>
    <row r="738" spans="1:23">
      <c r="A738" s="26">
        <v>737</v>
      </c>
      <c r="B738" s="27">
        <v>40577</v>
      </c>
      <c r="C738" s="12">
        <v>2</v>
      </c>
      <c r="D738" s="12">
        <v>1</v>
      </c>
      <c r="E738" s="12" t="b">
        <v>0</v>
      </c>
      <c r="F738" s="12">
        <v>4</v>
      </c>
      <c r="G738" s="12">
        <v>1</v>
      </c>
      <c r="H738" s="12">
        <v>0.2</v>
      </c>
      <c r="I738" s="12">
        <v>0.1515</v>
      </c>
      <c r="J738" s="12">
        <v>0.44</v>
      </c>
      <c r="K738" s="12">
        <v>0.52239999999999998</v>
      </c>
      <c r="L738" s="12">
        <v>0</v>
      </c>
      <c r="M738" s="12">
        <v>5</v>
      </c>
      <c r="N738" s="12">
        <v>5</v>
      </c>
      <c r="O738" s="12" t="str">
        <f>VLOOKUP(G738,calculate_field!$B$2:$C$5,2,FALSE)</f>
        <v>Clear/Partly Cloudy</v>
      </c>
      <c r="P738" s="12" t="str">
        <f t="shared" si="79"/>
        <v>Thursday</v>
      </c>
      <c r="Q738" s="12" t="str">
        <f t="shared" si="80"/>
        <v>Weekday</v>
      </c>
      <c r="R738" s="12" t="str">
        <f t="shared" si="81"/>
        <v>Night</v>
      </c>
      <c r="S738" s="28" t="str">
        <f>INDEX(calculate_field!$F$2:$F$4, MATCH(H738, calculate_field!$E$2:$E$4, 1))</f>
        <v>Mild</v>
      </c>
      <c r="T738" s="33">
        <f t="shared" si="82"/>
        <v>64.916666666666671</v>
      </c>
      <c r="U738" s="33">
        <f t="shared" si="83"/>
        <v>53.836238536046928</v>
      </c>
      <c r="V738" s="33">
        <f t="shared" si="84"/>
        <v>-1.1152157825375033</v>
      </c>
      <c r="W738" s="12" t="b">
        <f t="shared" si="85"/>
        <v>1</v>
      </c>
    </row>
    <row r="739" spans="1:23">
      <c r="A739" s="26">
        <v>738</v>
      </c>
      <c r="B739" s="27">
        <v>40577</v>
      </c>
      <c r="C739" s="12">
        <v>2</v>
      </c>
      <c r="D739" s="12">
        <v>2</v>
      </c>
      <c r="E739" s="12" t="b">
        <v>0</v>
      </c>
      <c r="F739" s="12">
        <v>4</v>
      </c>
      <c r="G739" s="12">
        <v>1</v>
      </c>
      <c r="H739" s="12">
        <v>0.18</v>
      </c>
      <c r="I739" s="12">
        <v>0.16669999999999999</v>
      </c>
      <c r="J739" s="12">
        <v>0.43</v>
      </c>
      <c r="K739" s="12">
        <v>0.25369999999999998</v>
      </c>
      <c r="L739" s="12">
        <v>0</v>
      </c>
      <c r="M739" s="12">
        <v>2</v>
      </c>
      <c r="N739" s="12">
        <v>2</v>
      </c>
      <c r="O739" s="12" t="str">
        <f>VLOOKUP(G739,calculate_field!$B$2:$C$5,2,FALSE)</f>
        <v>Clear/Partly Cloudy</v>
      </c>
      <c r="P739" s="12" t="str">
        <f t="shared" si="79"/>
        <v>Thursday</v>
      </c>
      <c r="Q739" s="12" t="str">
        <f t="shared" si="80"/>
        <v>Weekday</v>
      </c>
      <c r="R739" s="12" t="str">
        <f t="shared" si="81"/>
        <v>Night</v>
      </c>
      <c r="S739" s="28" t="str">
        <f>INDEX(calculate_field!$F$2:$F$4, MATCH(H739, calculate_field!$E$2:$E$4, 1))</f>
        <v>Cold</v>
      </c>
      <c r="T739" s="33">
        <f t="shared" si="82"/>
        <v>64.75</v>
      </c>
      <c r="U739" s="33">
        <f t="shared" si="83"/>
        <v>54.035616273777762</v>
      </c>
      <c r="V739" s="33">
        <f t="shared" si="84"/>
        <v>-1.2330443655411825</v>
      </c>
      <c r="W739" s="12" t="b">
        <f t="shared" si="85"/>
        <v>1</v>
      </c>
    </row>
    <row r="740" spans="1:23">
      <c r="A740" s="26">
        <v>739</v>
      </c>
      <c r="B740" s="27">
        <v>40577</v>
      </c>
      <c r="C740" s="12">
        <v>2</v>
      </c>
      <c r="D740" s="12">
        <v>3</v>
      </c>
      <c r="E740" s="12" t="b">
        <v>0</v>
      </c>
      <c r="F740" s="12">
        <v>4</v>
      </c>
      <c r="G740" s="12">
        <v>1</v>
      </c>
      <c r="H740" s="12">
        <v>0.18</v>
      </c>
      <c r="I740" s="12">
        <v>0.16669999999999999</v>
      </c>
      <c r="J740" s="12">
        <v>0.43</v>
      </c>
      <c r="K740" s="12">
        <v>0.25369999999999998</v>
      </c>
      <c r="L740" s="12">
        <v>0</v>
      </c>
      <c r="M740" s="12">
        <v>1</v>
      </c>
      <c r="N740" s="12">
        <v>1</v>
      </c>
      <c r="O740" s="12" t="str">
        <f>VLOOKUP(G740,calculate_field!$B$2:$C$5,2,FALSE)</f>
        <v>Clear/Partly Cloudy</v>
      </c>
      <c r="P740" s="12" t="str">
        <f t="shared" si="79"/>
        <v>Thursday</v>
      </c>
      <c r="Q740" s="12" t="str">
        <f t="shared" si="80"/>
        <v>Weekday</v>
      </c>
      <c r="R740" s="12" t="str">
        <f t="shared" si="81"/>
        <v>Night</v>
      </c>
      <c r="S740" s="28" t="str">
        <f>INDEX(calculate_field!$F$2:$F$4, MATCH(H740, calculate_field!$E$2:$E$4, 1))</f>
        <v>Cold</v>
      </c>
      <c r="T740" s="33">
        <f t="shared" si="82"/>
        <v>64.708333333333329</v>
      </c>
      <c r="U740" s="33">
        <f t="shared" si="83"/>
        <v>54.086467942478492</v>
      </c>
      <c r="V740" s="33">
        <f t="shared" si="84"/>
        <v>-1.2508474444703368</v>
      </c>
      <c r="W740" s="12" t="b">
        <f t="shared" si="85"/>
        <v>0</v>
      </c>
    </row>
    <row r="741" spans="1:23">
      <c r="A741" s="26">
        <v>740</v>
      </c>
      <c r="B741" s="27">
        <v>40577</v>
      </c>
      <c r="C741" s="12">
        <v>2</v>
      </c>
      <c r="D741" s="12">
        <v>5</v>
      </c>
      <c r="E741" s="12" t="b">
        <v>0</v>
      </c>
      <c r="F741" s="12">
        <v>4</v>
      </c>
      <c r="G741" s="12">
        <v>1</v>
      </c>
      <c r="H741" s="12">
        <v>0.16</v>
      </c>
      <c r="I741" s="12">
        <v>0.13639999999999999</v>
      </c>
      <c r="J741" s="12">
        <v>0.5</v>
      </c>
      <c r="K741" s="12">
        <v>0.29849999999999999</v>
      </c>
      <c r="L741" s="12">
        <v>0</v>
      </c>
      <c r="M741" s="12">
        <v>2</v>
      </c>
      <c r="N741" s="12">
        <v>2</v>
      </c>
      <c r="O741" s="12" t="str">
        <f>VLOOKUP(G741,calculate_field!$B$2:$C$5,2,FALSE)</f>
        <v>Clear/Partly Cloudy</v>
      </c>
      <c r="P741" s="12" t="str">
        <f t="shared" si="79"/>
        <v>Thursday</v>
      </c>
      <c r="Q741" s="12" t="str">
        <f t="shared" si="80"/>
        <v>Weekday</v>
      </c>
      <c r="R741" s="12" t="str">
        <f t="shared" si="81"/>
        <v>Night</v>
      </c>
      <c r="S741" s="28" t="str">
        <f>INDEX(calculate_field!$F$2:$F$4, MATCH(H741, calculate_field!$E$2:$E$4, 1))</f>
        <v>Cold</v>
      </c>
      <c r="T741" s="33">
        <f t="shared" si="82"/>
        <v>64.958333333333329</v>
      </c>
      <c r="U741" s="33">
        <f t="shared" si="83"/>
        <v>53.792256729551426</v>
      </c>
      <c r="V741" s="33">
        <f t="shared" si="84"/>
        <v>-1.1600699357559745</v>
      </c>
      <c r="W741" s="12" t="b">
        <f t="shared" si="85"/>
        <v>0</v>
      </c>
    </row>
    <row r="742" spans="1:23">
      <c r="A742" s="26">
        <v>741</v>
      </c>
      <c r="B742" s="27">
        <v>40577</v>
      </c>
      <c r="C742" s="12">
        <v>2</v>
      </c>
      <c r="D742" s="12">
        <v>6</v>
      </c>
      <c r="E742" s="12" t="b">
        <v>0</v>
      </c>
      <c r="F742" s="12">
        <v>4</v>
      </c>
      <c r="G742" s="12">
        <v>1</v>
      </c>
      <c r="H742" s="12">
        <v>0.16</v>
      </c>
      <c r="I742" s="12">
        <v>0.13639999999999999</v>
      </c>
      <c r="J742" s="12">
        <v>0.43</v>
      </c>
      <c r="K742" s="12">
        <v>0.35820000000000002</v>
      </c>
      <c r="L742" s="12">
        <v>0</v>
      </c>
      <c r="M742" s="12">
        <v>39</v>
      </c>
      <c r="N742" s="12">
        <v>39</v>
      </c>
      <c r="O742" s="12" t="str">
        <f>VLOOKUP(G742,calculate_field!$B$2:$C$5,2,FALSE)</f>
        <v>Clear/Partly Cloudy</v>
      </c>
      <c r="P742" s="12" t="str">
        <f t="shared" si="79"/>
        <v>Thursday</v>
      </c>
      <c r="Q742" s="12" t="str">
        <f t="shared" si="80"/>
        <v>Weekday</v>
      </c>
      <c r="R742" s="12" t="str">
        <f t="shared" si="81"/>
        <v>Morning</v>
      </c>
      <c r="S742" s="28" t="str">
        <f>INDEX(calculate_field!$F$2:$F$4, MATCH(H742, calculate_field!$E$2:$E$4, 1))</f>
        <v>Cold</v>
      </c>
      <c r="T742" s="33">
        <f t="shared" si="82"/>
        <v>66.041666666666671</v>
      </c>
      <c r="U742" s="33">
        <f t="shared" si="83"/>
        <v>52.720327872790136</v>
      </c>
      <c r="V742" s="33">
        <f t="shared" si="84"/>
        <v>-0.79995910105283097</v>
      </c>
      <c r="W742" s="12" t="b">
        <f t="shared" si="85"/>
        <v>0</v>
      </c>
    </row>
    <row r="743" spans="1:23">
      <c r="A743" s="26">
        <v>742</v>
      </c>
      <c r="B743" s="27">
        <v>40577</v>
      </c>
      <c r="C743" s="12">
        <v>2</v>
      </c>
      <c r="D743" s="12">
        <v>7</v>
      </c>
      <c r="E743" s="12" t="b">
        <v>0</v>
      </c>
      <c r="F743" s="12">
        <v>4</v>
      </c>
      <c r="G743" s="12">
        <v>1</v>
      </c>
      <c r="H743" s="12">
        <v>0.14000000000000001</v>
      </c>
      <c r="I743" s="12">
        <v>0.1212</v>
      </c>
      <c r="J743" s="12">
        <v>0.5</v>
      </c>
      <c r="K743" s="12">
        <v>0.32840000000000003</v>
      </c>
      <c r="L743" s="12">
        <v>1</v>
      </c>
      <c r="M743" s="12">
        <v>86</v>
      </c>
      <c r="N743" s="12">
        <v>87</v>
      </c>
      <c r="O743" s="12" t="str">
        <f>VLOOKUP(G743,calculate_field!$B$2:$C$5,2,FALSE)</f>
        <v>Clear/Partly Cloudy</v>
      </c>
      <c r="P743" s="12" t="str">
        <f t="shared" si="79"/>
        <v>Thursday</v>
      </c>
      <c r="Q743" s="12" t="str">
        <f t="shared" si="80"/>
        <v>Weekday</v>
      </c>
      <c r="R743" s="12" t="str">
        <f t="shared" si="81"/>
        <v>Morning</v>
      </c>
      <c r="S743" s="28" t="str">
        <f>INDEX(calculate_field!$F$2:$F$4, MATCH(H743, calculate_field!$E$2:$E$4, 1))</f>
        <v>Cold</v>
      </c>
      <c r="T743" s="33">
        <f t="shared" si="82"/>
        <v>68.041666666666671</v>
      </c>
      <c r="U743" s="33">
        <f t="shared" si="83"/>
        <v>52.560093281853113</v>
      </c>
      <c r="V743" s="33">
        <f t="shared" si="84"/>
        <v>0.23456566679613794</v>
      </c>
      <c r="W743" s="12" t="b">
        <f t="shared" si="85"/>
        <v>0</v>
      </c>
    </row>
    <row r="744" spans="1:23">
      <c r="A744" s="26">
        <v>743</v>
      </c>
      <c r="B744" s="27">
        <v>40577</v>
      </c>
      <c r="C744" s="12">
        <v>2</v>
      </c>
      <c r="D744" s="12">
        <v>8</v>
      </c>
      <c r="E744" s="12" t="b">
        <v>0</v>
      </c>
      <c r="F744" s="12">
        <v>4</v>
      </c>
      <c r="G744" s="12">
        <v>1</v>
      </c>
      <c r="H744" s="12">
        <v>0.14000000000000001</v>
      </c>
      <c r="I744" s="12">
        <v>0.1212</v>
      </c>
      <c r="J744" s="12">
        <v>0.5</v>
      </c>
      <c r="K744" s="12">
        <v>0.35820000000000002</v>
      </c>
      <c r="L744" s="12">
        <v>4</v>
      </c>
      <c r="M744" s="12">
        <v>184</v>
      </c>
      <c r="N744" s="12">
        <v>188</v>
      </c>
      <c r="O744" s="12" t="str">
        <f>VLOOKUP(G744,calculate_field!$B$2:$C$5,2,FALSE)</f>
        <v>Clear/Partly Cloudy</v>
      </c>
      <c r="P744" s="12" t="str">
        <f t="shared" si="79"/>
        <v>Thursday</v>
      </c>
      <c r="Q744" s="12" t="str">
        <f t="shared" si="80"/>
        <v>Weekday</v>
      </c>
      <c r="R744" s="12" t="str">
        <f t="shared" si="81"/>
        <v>Morning</v>
      </c>
      <c r="S744" s="28" t="str">
        <f>INDEX(calculate_field!$F$2:$F$4, MATCH(H744, calculate_field!$E$2:$E$4, 1))</f>
        <v>Cold</v>
      </c>
      <c r="T744" s="33">
        <f t="shared" si="82"/>
        <v>73.583333333333329</v>
      </c>
      <c r="U744" s="33">
        <f t="shared" si="83"/>
        <v>60.982475506005656</v>
      </c>
      <c r="V744" s="33">
        <f t="shared" si="84"/>
        <v>2.4888167036972315</v>
      </c>
      <c r="W744" s="12" t="b">
        <f t="shared" si="85"/>
        <v>0</v>
      </c>
    </row>
    <row r="745" spans="1:23">
      <c r="A745" s="26">
        <v>744</v>
      </c>
      <c r="B745" s="27">
        <v>40577</v>
      </c>
      <c r="C745" s="12">
        <v>2</v>
      </c>
      <c r="D745" s="12">
        <v>9</v>
      </c>
      <c r="E745" s="12" t="b">
        <v>0</v>
      </c>
      <c r="F745" s="12">
        <v>4</v>
      </c>
      <c r="G745" s="12">
        <v>1</v>
      </c>
      <c r="H745" s="12">
        <v>0.16</v>
      </c>
      <c r="I745" s="12">
        <v>0.13639999999999999</v>
      </c>
      <c r="J745" s="12">
        <v>0.47</v>
      </c>
      <c r="K745" s="12">
        <v>0.29849999999999999</v>
      </c>
      <c r="L745" s="12">
        <v>6</v>
      </c>
      <c r="M745" s="12">
        <v>127</v>
      </c>
      <c r="N745" s="12">
        <v>133</v>
      </c>
      <c r="O745" s="12" t="str">
        <f>VLOOKUP(G745,calculate_field!$B$2:$C$5,2,FALSE)</f>
        <v>Clear/Partly Cloudy</v>
      </c>
      <c r="P745" s="12" t="str">
        <f t="shared" si="79"/>
        <v>Thursday</v>
      </c>
      <c r="Q745" s="12" t="str">
        <f t="shared" si="80"/>
        <v>Weekday</v>
      </c>
      <c r="R745" s="12" t="str">
        <f t="shared" si="81"/>
        <v>Morning</v>
      </c>
      <c r="S745" s="28" t="str">
        <f>INDEX(calculate_field!$F$2:$F$4, MATCH(H745, calculate_field!$E$2:$E$4, 1))</f>
        <v>Cold</v>
      </c>
      <c r="T745" s="33">
        <f t="shared" si="82"/>
        <v>71.041666666666671</v>
      </c>
      <c r="U745" s="33">
        <f t="shared" si="83"/>
        <v>57.157660802431351</v>
      </c>
      <c r="V745" s="33">
        <f t="shared" si="84"/>
        <v>1.2612455000867184</v>
      </c>
      <c r="W745" s="12" t="b">
        <f t="shared" si="85"/>
        <v>0</v>
      </c>
    </row>
    <row r="746" spans="1:23">
      <c r="A746" s="26">
        <v>745</v>
      </c>
      <c r="B746" s="27">
        <v>40577</v>
      </c>
      <c r="C746" s="12">
        <v>2</v>
      </c>
      <c r="D746" s="12">
        <v>10</v>
      </c>
      <c r="E746" s="12" t="b">
        <v>0</v>
      </c>
      <c r="F746" s="12">
        <v>4</v>
      </c>
      <c r="G746" s="12">
        <v>1</v>
      </c>
      <c r="H746" s="12">
        <v>0.18</v>
      </c>
      <c r="I746" s="12">
        <v>0.1515</v>
      </c>
      <c r="J746" s="12">
        <v>0.43</v>
      </c>
      <c r="K746" s="12">
        <v>0.32840000000000003</v>
      </c>
      <c r="L746" s="12">
        <v>2</v>
      </c>
      <c r="M746" s="12">
        <v>50</v>
      </c>
      <c r="N746" s="12">
        <v>52</v>
      </c>
      <c r="O746" s="12" t="str">
        <f>VLOOKUP(G746,calculate_field!$B$2:$C$5,2,FALSE)</f>
        <v>Clear/Partly Cloudy</v>
      </c>
      <c r="P746" s="12" t="str">
        <f t="shared" si="79"/>
        <v>Thursday</v>
      </c>
      <c r="Q746" s="12" t="str">
        <f t="shared" si="80"/>
        <v>Weekday</v>
      </c>
      <c r="R746" s="12" t="str">
        <f t="shared" si="81"/>
        <v>Morning</v>
      </c>
      <c r="S746" s="28" t="str">
        <f>INDEX(calculate_field!$F$2:$F$4, MATCH(H746, calculate_field!$E$2:$E$4, 1))</f>
        <v>Cold</v>
      </c>
      <c r="T746" s="33">
        <f t="shared" si="82"/>
        <v>67.625</v>
      </c>
      <c r="U746" s="33">
        <f t="shared" si="83"/>
        <v>55.725891648317301</v>
      </c>
      <c r="V746" s="33">
        <f t="shared" si="84"/>
        <v>-0.10865381184948072</v>
      </c>
      <c r="W746" s="12" t="b">
        <f t="shared" si="85"/>
        <v>0</v>
      </c>
    </row>
    <row r="747" spans="1:23">
      <c r="A747" s="26">
        <v>746</v>
      </c>
      <c r="B747" s="27">
        <v>40577</v>
      </c>
      <c r="C747" s="12">
        <v>2</v>
      </c>
      <c r="D747" s="12">
        <v>11</v>
      </c>
      <c r="E747" s="12" t="b">
        <v>0</v>
      </c>
      <c r="F747" s="12">
        <v>4</v>
      </c>
      <c r="G747" s="12">
        <v>1</v>
      </c>
      <c r="H747" s="12">
        <v>0.18</v>
      </c>
      <c r="I747" s="12">
        <v>0.13639999999999999</v>
      </c>
      <c r="J747" s="12">
        <v>0.43</v>
      </c>
      <c r="K747" s="12">
        <v>0.44779999999999998</v>
      </c>
      <c r="L747" s="12">
        <v>9</v>
      </c>
      <c r="M747" s="12">
        <v>55</v>
      </c>
      <c r="N747" s="12">
        <v>64</v>
      </c>
      <c r="O747" s="12" t="str">
        <f>VLOOKUP(G747,calculate_field!$B$2:$C$5,2,FALSE)</f>
        <v>Clear/Partly Cloudy</v>
      </c>
      <c r="P747" s="12" t="str">
        <f t="shared" si="79"/>
        <v>Thursday</v>
      </c>
      <c r="Q747" s="12" t="str">
        <f t="shared" si="80"/>
        <v>Weekday</v>
      </c>
      <c r="R747" s="12" t="str">
        <f t="shared" si="81"/>
        <v>Morning</v>
      </c>
      <c r="S747" s="28" t="str">
        <f>INDEX(calculate_field!$F$2:$F$4, MATCH(H747, calculate_field!$E$2:$E$4, 1))</f>
        <v>Cold</v>
      </c>
      <c r="T747" s="33">
        <f t="shared" si="82"/>
        <v>68.125</v>
      </c>
      <c r="U747" s="33">
        <f t="shared" si="83"/>
        <v>55.633359166725796</v>
      </c>
      <c r="V747" s="33">
        <f t="shared" si="84"/>
        <v>0.15950228073168624</v>
      </c>
      <c r="W747" s="12" t="b">
        <f t="shared" si="85"/>
        <v>0</v>
      </c>
    </row>
    <row r="748" spans="1:23">
      <c r="A748" s="26">
        <v>747</v>
      </c>
      <c r="B748" s="27">
        <v>40577</v>
      </c>
      <c r="C748" s="12">
        <v>2</v>
      </c>
      <c r="D748" s="12">
        <v>12</v>
      </c>
      <c r="E748" s="12" t="b">
        <v>0</v>
      </c>
      <c r="F748" s="12">
        <v>4</v>
      </c>
      <c r="G748" s="12">
        <v>1</v>
      </c>
      <c r="H748" s="12">
        <v>0.2</v>
      </c>
      <c r="I748" s="12">
        <v>0.18179999999999999</v>
      </c>
      <c r="J748" s="12">
        <v>0.4</v>
      </c>
      <c r="K748" s="12">
        <v>0.35820000000000002</v>
      </c>
      <c r="L748" s="12">
        <v>2</v>
      </c>
      <c r="M748" s="12">
        <v>67</v>
      </c>
      <c r="N748" s="12">
        <v>69</v>
      </c>
      <c r="O748" s="12" t="str">
        <f>VLOOKUP(G748,calculate_field!$B$2:$C$5,2,FALSE)</f>
        <v>Clear/Partly Cloudy</v>
      </c>
      <c r="P748" s="12" t="str">
        <f t="shared" si="79"/>
        <v>Thursday</v>
      </c>
      <c r="Q748" s="12" t="str">
        <f t="shared" si="80"/>
        <v>Weekday</v>
      </c>
      <c r="R748" s="12" t="str">
        <f t="shared" si="81"/>
        <v>Afternoon</v>
      </c>
      <c r="S748" s="28" t="str">
        <f>INDEX(calculate_field!$F$2:$F$4, MATCH(H748, calculate_field!$E$2:$E$4, 1))</f>
        <v>Mild</v>
      </c>
      <c r="T748" s="33">
        <f t="shared" si="82"/>
        <v>69.041666666666671</v>
      </c>
      <c r="U748" s="33">
        <f t="shared" si="83"/>
        <v>55.743573750637424</v>
      </c>
      <c r="V748" s="33">
        <f t="shared" si="84"/>
        <v>0.60301981769095458</v>
      </c>
      <c r="W748" s="12" t="b">
        <f t="shared" si="85"/>
        <v>0</v>
      </c>
    </row>
    <row r="749" spans="1:23">
      <c r="A749" s="26">
        <v>748</v>
      </c>
      <c r="B749" s="27">
        <v>40577</v>
      </c>
      <c r="C749" s="12">
        <v>2</v>
      </c>
      <c r="D749" s="12">
        <v>13</v>
      </c>
      <c r="E749" s="12" t="b">
        <v>0</v>
      </c>
      <c r="F749" s="12">
        <v>4</v>
      </c>
      <c r="G749" s="12">
        <v>1</v>
      </c>
      <c r="H749" s="12">
        <v>0.2</v>
      </c>
      <c r="I749" s="12">
        <v>0.16669999999999999</v>
      </c>
      <c r="J749" s="12">
        <v>0.4</v>
      </c>
      <c r="K749" s="12">
        <v>0.41789999999999999</v>
      </c>
      <c r="L749" s="12">
        <v>4</v>
      </c>
      <c r="M749" s="12">
        <v>47</v>
      </c>
      <c r="N749" s="12">
        <v>51</v>
      </c>
      <c r="O749" s="12" t="str">
        <f>VLOOKUP(G749,calculate_field!$B$2:$C$5,2,FALSE)</f>
        <v>Clear/Partly Cloudy</v>
      </c>
      <c r="P749" s="12" t="str">
        <f t="shared" si="79"/>
        <v>Thursday</v>
      </c>
      <c r="Q749" s="12" t="str">
        <f t="shared" si="80"/>
        <v>Weekday</v>
      </c>
      <c r="R749" s="12" t="str">
        <f t="shared" si="81"/>
        <v>Afternoon</v>
      </c>
      <c r="S749" s="28" t="str">
        <f>INDEX(calculate_field!$F$2:$F$4, MATCH(H749, calculate_field!$E$2:$E$4, 1))</f>
        <v>Mild</v>
      </c>
      <c r="T749" s="33">
        <f t="shared" si="82"/>
        <v>69.583333333333329</v>
      </c>
      <c r="U749" s="33">
        <f t="shared" si="83"/>
        <v>55.806277242888584</v>
      </c>
      <c r="V749" s="33">
        <f t="shared" si="84"/>
        <v>0.55716556977709331</v>
      </c>
      <c r="W749" s="12" t="b">
        <f t="shared" si="85"/>
        <v>0</v>
      </c>
    </row>
    <row r="750" spans="1:23">
      <c r="A750" s="26">
        <v>749</v>
      </c>
      <c r="B750" s="27">
        <v>40577</v>
      </c>
      <c r="C750" s="12">
        <v>2</v>
      </c>
      <c r="D750" s="12">
        <v>14</v>
      </c>
      <c r="E750" s="12" t="b">
        <v>0</v>
      </c>
      <c r="F750" s="12">
        <v>4</v>
      </c>
      <c r="G750" s="12">
        <v>1</v>
      </c>
      <c r="H750" s="12">
        <v>0.22</v>
      </c>
      <c r="I750" s="12">
        <v>0.19700000000000001</v>
      </c>
      <c r="J750" s="12">
        <v>0.37</v>
      </c>
      <c r="K750" s="12">
        <v>0.3881</v>
      </c>
      <c r="L750" s="12">
        <v>4</v>
      </c>
      <c r="M750" s="12">
        <v>43</v>
      </c>
      <c r="N750" s="12">
        <v>47</v>
      </c>
      <c r="O750" s="12" t="str">
        <f>VLOOKUP(G750,calculate_field!$B$2:$C$5,2,FALSE)</f>
        <v>Clear/Partly Cloudy</v>
      </c>
      <c r="P750" s="12" t="str">
        <f t="shared" si="79"/>
        <v>Thursday</v>
      </c>
      <c r="Q750" s="12" t="str">
        <f t="shared" si="80"/>
        <v>Weekday</v>
      </c>
      <c r="R750" s="12" t="str">
        <f t="shared" si="81"/>
        <v>Afternoon</v>
      </c>
      <c r="S750" s="28" t="str">
        <f>INDEX(calculate_field!$F$2:$F$4, MATCH(H750, calculate_field!$E$2:$E$4, 1))</f>
        <v>Mild</v>
      </c>
      <c r="T750" s="33">
        <f t="shared" si="82"/>
        <v>71.25</v>
      </c>
      <c r="U750" s="33">
        <f t="shared" si="83"/>
        <v>55.82445311167313</v>
      </c>
      <c r="V750" s="33">
        <f t="shared" si="84"/>
        <v>0.74557427020745015</v>
      </c>
      <c r="W750" s="12" t="b">
        <f t="shared" si="85"/>
        <v>0</v>
      </c>
    </row>
    <row r="751" spans="1:23">
      <c r="A751" s="26">
        <v>750</v>
      </c>
      <c r="B751" s="27">
        <v>40577</v>
      </c>
      <c r="C751" s="12">
        <v>2</v>
      </c>
      <c r="D751" s="12">
        <v>15</v>
      </c>
      <c r="E751" s="12" t="b">
        <v>0</v>
      </c>
      <c r="F751" s="12">
        <v>4</v>
      </c>
      <c r="G751" s="12">
        <v>1</v>
      </c>
      <c r="H751" s="12">
        <v>0.22</v>
      </c>
      <c r="I751" s="12">
        <v>0.19700000000000001</v>
      </c>
      <c r="J751" s="12">
        <v>0.37</v>
      </c>
      <c r="K751" s="12">
        <v>0.32840000000000003</v>
      </c>
      <c r="L751" s="12">
        <v>4</v>
      </c>
      <c r="M751" s="12">
        <v>56</v>
      </c>
      <c r="N751" s="12">
        <v>60</v>
      </c>
      <c r="O751" s="12" t="str">
        <f>VLOOKUP(G751,calculate_field!$B$2:$C$5,2,FALSE)</f>
        <v>Clear/Partly Cloudy</v>
      </c>
      <c r="P751" s="12" t="str">
        <f t="shared" si="79"/>
        <v>Thursday</v>
      </c>
      <c r="Q751" s="12" t="str">
        <f t="shared" si="80"/>
        <v>Weekday</v>
      </c>
      <c r="R751" s="12" t="str">
        <f t="shared" si="81"/>
        <v>Afternoon</v>
      </c>
      <c r="S751" s="28" t="str">
        <f>INDEX(calculate_field!$F$2:$F$4, MATCH(H751, calculate_field!$E$2:$E$4, 1))</f>
        <v>Mild</v>
      </c>
      <c r="T751" s="33">
        <f t="shared" si="82"/>
        <v>73.041666666666671</v>
      </c>
      <c r="U751" s="33">
        <f t="shared" si="83"/>
        <v>55.702220053069517</v>
      </c>
      <c r="V751" s="33">
        <f t="shared" si="84"/>
        <v>0.76509893665249218</v>
      </c>
      <c r="W751" s="12" t="b">
        <f t="shared" si="85"/>
        <v>0</v>
      </c>
    </row>
    <row r="752" spans="1:23">
      <c r="A752" s="26">
        <v>751</v>
      </c>
      <c r="B752" s="27">
        <v>40577</v>
      </c>
      <c r="C752" s="12">
        <v>2</v>
      </c>
      <c r="D752" s="12">
        <v>16</v>
      </c>
      <c r="E752" s="12" t="b">
        <v>0</v>
      </c>
      <c r="F752" s="12">
        <v>4</v>
      </c>
      <c r="G752" s="12">
        <v>1</v>
      </c>
      <c r="H752" s="12">
        <v>0.22</v>
      </c>
      <c r="I752" s="12">
        <v>0.21210000000000001</v>
      </c>
      <c r="J752" s="12">
        <v>0.37</v>
      </c>
      <c r="K752" s="12">
        <v>0.25369999999999998</v>
      </c>
      <c r="L752" s="12">
        <v>5</v>
      </c>
      <c r="M752" s="12">
        <v>73</v>
      </c>
      <c r="N752" s="12">
        <v>78</v>
      </c>
      <c r="O752" s="12" t="str">
        <f>VLOOKUP(G752,calculate_field!$B$2:$C$5,2,FALSE)</f>
        <v>Clear/Partly Cloudy</v>
      </c>
      <c r="P752" s="12" t="str">
        <f t="shared" si="79"/>
        <v>Thursday</v>
      </c>
      <c r="Q752" s="12" t="str">
        <f t="shared" si="80"/>
        <v>Weekday</v>
      </c>
      <c r="R752" s="12" t="str">
        <f t="shared" si="81"/>
        <v>Afternoon</v>
      </c>
      <c r="S752" s="28" t="str">
        <f>INDEX(calculate_field!$F$2:$F$4, MATCH(H752, calculate_field!$E$2:$E$4, 1))</f>
        <v>Mild</v>
      </c>
      <c r="T752" s="33">
        <f t="shared" si="82"/>
        <v>74.666666666666671</v>
      </c>
      <c r="U752" s="33">
        <f t="shared" si="83"/>
        <v>55.87382265400332</v>
      </c>
      <c r="V752" s="33">
        <f t="shared" si="84"/>
        <v>0.98267553336505231</v>
      </c>
      <c r="W752" s="12" t="b">
        <f t="shared" si="85"/>
        <v>0</v>
      </c>
    </row>
    <row r="753" spans="1:23">
      <c r="A753" s="26">
        <v>752</v>
      </c>
      <c r="B753" s="27">
        <v>40577</v>
      </c>
      <c r="C753" s="12">
        <v>2</v>
      </c>
      <c r="D753" s="12">
        <v>17</v>
      </c>
      <c r="E753" s="12" t="b">
        <v>0</v>
      </c>
      <c r="F753" s="12">
        <v>4</v>
      </c>
      <c r="G753" s="12">
        <v>1</v>
      </c>
      <c r="H753" s="12">
        <v>0.2</v>
      </c>
      <c r="I753" s="12">
        <v>0.19700000000000001</v>
      </c>
      <c r="J753" s="12">
        <v>0.4</v>
      </c>
      <c r="K753" s="12">
        <v>0.19400000000000001</v>
      </c>
      <c r="L753" s="12">
        <v>5</v>
      </c>
      <c r="M753" s="12">
        <v>170</v>
      </c>
      <c r="N753" s="12">
        <v>175</v>
      </c>
      <c r="O753" s="12" t="str">
        <f>VLOOKUP(G753,calculate_field!$B$2:$C$5,2,FALSE)</f>
        <v>Clear/Partly Cloudy</v>
      </c>
      <c r="P753" s="12" t="str">
        <f t="shared" si="79"/>
        <v>Thursday</v>
      </c>
      <c r="Q753" s="12" t="str">
        <f t="shared" si="80"/>
        <v>Weekday</v>
      </c>
      <c r="R753" s="12" t="str">
        <f t="shared" si="81"/>
        <v>Evening</v>
      </c>
      <c r="S753" s="28" t="str">
        <f>INDEX(calculate_field!$F$2:$F$4, MATCH(H753, calculate_field!$E$2:$E$4, 1))</f>
        <v>Mild</v>
      </c>
      <c r="T753" s="33">
        <f t="shared" si="82"/>
        <v>79.958333333333329</v>
      </c>
      <c r="U753" s="33">
        <f t="shared" si="83"/>
        <v>61.892950477744876</v>
      </c>
      <c r="V753" s="33">
        <f t="shared" si="84"/>
        <v>3.2127477594958971</v>
      </c>
      <c r="W753" s="12" t="b">
        <f t="shared" si="85"/>
        <v>0</v>
      </c>
    </row>
    <row r="754" spans="1:23">
      <c r="A754" s="26">
        <v>753</v>
      </c>
      <c r="B754" s="27">
        <v>40577</v>
      </c>
      <c r="C754" s="12">
        <v>2</v>
      </c>
      <c r="D754" s="12">
        <v>18</v>
      </c>
      <c r="E754" s="12" t="b">
        <v>0</v>
      </c>
      <c r="F754" s="12">
        <v>4</v>
      </c>
      <c r="G754" s="12">
        <v>1</v>
      </c>
      <c r="H754" s="12">
        <v>0.2</v>
      </c>
      <c r="I754" s="12">
        <v>0.21210000000000001</v>
      </c>
      <c r="J754" s="12">
        <v>0.4</v>
      </c>
      <c r="K754" s="12">
        <v>0.16420000000000001</v>
      </c>
      <c r="L754" s="12">
        <v>2</v>
      </c>
      <c r="M754" s="12">
        <v>145</v>
      </c>
      <c r="N754" s="12">
        <v>147</v>
      </c>
      <c r="O754" s="12" t="str">
        <f>VLOOKUP(G754,calculate_field!$B$2:$C$5,2,FALSE)</f>
        <v>Clear/Partly Cloudy</v>
      </c>
      <c r="P754" s="12" t="str">
        <f t="shared" si="79"/>
        <v>Thursday</v>
      </c>
      <c r="Q754" s="12" t="str">
        <f t="shared" si="80"/>
        <v>Weekday</v>
      </c>
      <c r="R754" s="12" t="str">
        <f t="shared" si="81"/>
        <v>Evening</v>
      </c>
      <c r="S754" s="28" t="str">
        <f>INDEX(calculate_field!$F$2:$F$4, MATCH(H754, calculate_field!$E$2:$E$4, 1))</f>
        <v>Mild</v>
      </c>
      <c r="T754" s="33">
        <f t="shared" si="82"/>
        <v>79.125</v>
      </c>
      <c r="U754" s="33">
        <f t="shared" si="83"/>
        <v>60.680426254557432</v>
      </c>
      <c r="V754" s="33">
        <f t="shared" si="84"/>
        <v>3.0764892053166273</v>
      </c>
      <c r="W754" s="12" t="b">
        <f t="shared" si="85"/>
        <v>0</v>
      </c>
    </row>
    <row r="755" spans="1:23">
      <c r="A755" s="26">
        <v>754</v>
      </c>
      <c r="B755" s="27">
        <v>40577</v>
      </c>
      <c r="C755" s="12">
        <v>2</v>
      </c>
      <c r="D755" s="12">
        <v>19</v>
      </c>
      <c r="E755" s="12" t="b">
        <v>0</v>
      </c>
      <c r="F755" s="12">
        <v>4</v>
      </c>
      <c r="G755" s="12">
        <v>1</v>
      </c>
      <c r="H755" s="12">
        <v>0.2</v>
      </c>
      <c r="I755" s="12">
        <v>0.2576</v>
      </c>
      <c r="J755" s="12">
        <v>0.4</v>
      </c>
      <c r="K755" s="12">
        <v>0</v>
      </c>
      <c r="L755" s="12">
        <v>4</v>
      </c>
      <c r="M755" s="12">
        <v>92</v>
      </c>
      <c r="N755" s="12">
        <v>96</v>
      </c>
      <c r="O755" s="12" t="str">
        <f>VLOOKUP(G755,calculate_field!$B$2:$C$5,2,FALSE)</f>
        <v>Clear/Partly Cloudy</v>
      </c>
      <c r="P755" s="12" t="str">
        <f t="shared" si="79"/>
        <v>Thursday</v>
      </c>
      <c r="Q755" s="12" t="str">
        <f t="shared" si="80"/>
        <v>Weekday</v>
      </c>
      <c r="R755" s="12" t="str">
        <f t="shared" si="81"/>
        <v>Evening</v>
      </c>
      <c r="S755" s="28" t="str">
        <f>INDEX(calculate_field!$F$2:$F$4, MATCH(H755, calculate_field!$E$2:$E$4, 1))</f>
        <v>Mild</v>
      </c>
      <c r="T755" s="33">
        <f t="shared" si="82"/>
        <v>77.291666666666671</v>
      </c>
      <c r="U755" s="33">
        <f t="shared" si="83"/>
        <v>59.186866321233268</v>
      </c>
      <c r="V755" s="33">
        <f t="shared" si="84"/>
        <v>2.1604013150518022</v>
      </c>
      <c r="W755" s="12" t="b">
        <f t="shared" si="85"/>
        <v>0</v>
      </c>
    </row>
    <row r="756" spans="1:23">
      <c r="A756" s="26">
        <v>755</v>
      </c>
      <c r="B756" s="27">
        <v>40577</v>
      </c>
      <c r="C756" s="12">
        <v>2</v>
      </c>
      <c r="D756" s="12">
        <v>20</v>
      </c>
      <c r="E756" s="12" t="b">
        <v>0</v>
      </c>
      <c r="F756" s="12">
        <v>4</v>
      </c>
      <c r="G756" s="12">
        <v>1</v>
      </c>
      <c r="H756" s="12">
        <v>0.2</v>
      </c>
      <c r="I756" s="12">
        <v>0.2273</v>
      </c>
      <c r="J756" s="12">
        <v>0.47</v>
      </c>
      <c r="K756" s="12">
        <v>8.9599999999999999E-2</v>
      </c>
      <c r="L756" s="12">
        <v>1</v>
      </c>
      <c r="M756" s="12">
        <v>108</v>
      </c>
      <c r="N756" s="12">
        <v>109</v>
      </c>
      <c r="O756" s="12" t="str">
        <f>VLOOKUP(G756,calculate_field!$B$2:$C$5,2,FALSE)</f>
        <v>Clear/Partly Cloudy</v>
      </c>
      <c r="P756" s="12" t="str">
        <f t="shared" si="79"/>
        <v>Thursday</v>
      </c>
      <c r="Q756" s="12" t="str">
        <f t="shared" si="80"/>
        <v>Weekday</v>
      </c>
      <c r="R756" s="12" t="str">
        <f t="shared" si="81"/>
        <v>Evening</v>
      </c>
      <c r="S756" s="28" t="str">
        <f>INDEX(calculate_field!$F$2:$F$4, MATCH(H756, calculate_field!$E$2:$E$4, 1))</f>
        <v>Mild</v>
      </c>
      <c r="T756" s="33">
        <f t="shared" si="82"/>
        <v>76.25</v>
      </c>
      <c r="U756" s="33">
        <f t="shared" si="83"/>
        <v>59.063157058687018</v>
      </c>
      <c r="V756" s="33">
        <f t="shared" si="84"/>
        <v>1.1333659673209389</v>
      </c>
      <c r="W756" s="12" t="b">
        <f t="shared" si="85"/>
        <v>0</v>
      </c>
    </row>
    <row r="757" spans="1:23">
      <c r="A757" s="26">
        <v>756</v>
      </c>
      <c r="B757" s="27">
        <v>40577</v>
      </c>
      <c r="C757" s="12">
        <v>2</v>
      </c>
      <c r="D757" s="12">
        <v>21</v>
      </c>
      <c r="E757" s="12" t="b">
        <v>0</v>
      </c>
      <c r="F757" s="12">
        <v>4</v>
      </c>
      <c r="G757" s="12">
        <v>1</v>
      </c>
      <c r="H757" s="12">
        <v>0.18</v>
      </c>
      <c r="I757" s="12">
        <v>0.21210000000000001</v>
      </c>
      <c r="J757" s="12">
        <v>0.55000000000000004</v>
      </c>
      <c r="K757" s="12">
        <v>0.1045</v>
      </c>
      <c r="L757" s="12">
        <v>1</v>
      </c>
      <c r="M757" s="12">
        <v>53</v>
      </c>
      <c r="N757" s="12">
        <v>54</v>
      </c>
      <c r="O757" s="12" t="str">
        <f>VLOOKUP(G757,calculate_field!$B$2:$C$5,2,FALSE)</f>
        <v>Clear/Partly Cloudy</v>
      </c>
      <c r="P757" s="12" t="str">
        <f t="shared" si="79"/>
        <v>Thursday</v>
      </c>
      <c r="Q757" s="12" t="str">
        <f t="shared" si="80"/>
        <v>Weekday</v>
      </c>
      <c r="R757" s="12" t="str">
        <f t="shared" si="81"/>
        <v>Night</v>
      </c>
      <c r="S757" s="28" t="str">
        <f>INDEX(calculate_field!$F$2:$F$4, MATCH(H757, calculate_field!$E$2:$E$4, 1))</f>
        <v>Cold</v>
      </c>
      <c r="T757" s="33">
        <f t="shared" si="82"/>
        <v>73.5</v>
      </c>
      <c r="U757" s="33">
        <f t="shared" si="83"/>
        <v>59.008473967727717</v>
      </c>
      <c r="V757" s="33">
        <f t="shared" si="84"/>
        <v>0.10339827363893163</v>
      </c>
      <c r="W757" s="12" t="b">
        <f t="shared" si="85"/>
        <v>0</v>
      </c>
    </row>
    <row r="758" spans="1:23">
      <c r="A758" s="26">
        <v>757</v>
      </c>
      <c r="B758" s="27">
        <v>40577</v>
      </c>
      <c r="C758" s="12">
        <v>2</v>
      </c>
      <c r="D758" s="12">
        <v>22</v>
      </c>
      <c r="E758" s="12" t="b">
        <v>0</v>
      </c>
      <c r="F758" s="12">
        <v>4</v>
      </c>
      <c r="G758" s="12">
        <v>1</v>
      </c>
      <c r="H758" s="12">
        <v>0.18</v>
      </c>
      <c r="I758" s="12">
        <v>0.21210000000000001</v>
      </c>
      <c r="J758" s="12">
        <v>0.51</v>
      </c>
      <c r="K758" s="12">
        <v>8.9599999999999999E-2</v>
      </c>
      <c r="L758" s="12">
        <v>2</v>
      </c>
      <c r="M758" s="12">
        <v>39</v>
      </c>
      <c r="N758" s="12">
        <v>41</v>
      </c>
      <c r="O758" s="12" t="str">
        <f>VLOOKUP(G758,calculate_field!$B$2:$C$5,2,FALSE)</f>
        <v>Clear/Partly Cloudy</v>
      </c>
      <c r="P758" s="12" t="str">
        <f t="shared" si="79"/>
        <v>Thursday</v>
      </c>
      <c r="Q758" s="12" t="str">
        <f t="shared" si="80"/>
        <v>Weekday</v>
      </c>
      <c r="R758" s="12" t="str">
        <f t="shared" si="81"/>
        <v>Night</v>
      </c>
      <c r="S758" s="28" t="str">
        <f>INDEX(calculate_field!$F$2:$F$4, MATCH(H758, calculate_field!$E$2:$E$4, 1))</f>
        <v>Cold</v>
      </c>
      <c r="T758" s="33">
        <f t="shared" si="82"/>
        <v>73.166666666666671</v>
      </c>
      <c r="U758" s="33">
        <f t="shared" si="83"/>
        <v>59.145852636156754</v>
      </c>
      <c r="V758" s="33">
        <f t="shared" si="84"/>
        <v>0.19310449096550331</v>
      </c>
      <c r="W758" s="12" t="b">
        <f t="shared" si="85"/>
        <v>0</v>
      </c>
    </row>
    <row r="759" spans="1:23">
      <c r="A759" s="26">
        <v>758</v>
      </c>
      <c r="B759" s="27">
        <v>40577</v>
      </c>
      <c r="C759" s="12">
        <v>2</v>
      </c>
      <c r="D759" s="12">
        <v>23</v>
      </c>
      <c r="E759" s="12" t="b">
        <v>0</v>
      </c>
      <c r="F759" s="12">
        <v>4</v>
      </c>
      <c r="G759" s="12">
        <v>1</v>
      </c>
      <c r="H759" s="12">
        <v>0.2</v>
      </c>
      <c r="I759" s="12">
        <v>0.2273</v>
      </c>
      <c r="J759" s="12">
        <v>0.47</v>
      </c>
      <c r="K759" s="12">
        <v>0.1045</v>
      </c>
      <c r="L759" s="12">
        <v>4</v>
      </c>
      <c r="M759" s="12">
        <v>34</v>
      </c>
      <c r="N759" s="12">
        <v>38</v>
      </c>
      <c r="O759" s="12" t="str">
        <f>VLOOKUP(G759,calculate_field!$B$2:$C$5,2,FALSE)</f>
        <v>Clear/Partly Cloudy</v>
      </c>
      <c r="P759" s="12" t="str">
        <f t="shared" si="79"/>
        <v>Thursday</v>
      </c>
      <c r="Q759" s="12" t="str">
        <f t="shared" si="80"/>
        <v>Weekday</v>
      </c>
      <c r="R759" s="12" t="str">
        <f t="shared" si="81"/>
        <v>Night</v>
      </c>
      <c r="S759" s="28" t="str">
        <f>INDEX(calculate_field!$F$2:$F$4, MATCH(H759, calculate_field!$E$2:$E$4, 1))</f>
        <v>Mild</v>
      </c>
      <c r="T759" s="33">
        <f t="shared" si="82"/>
        <v>72.75</v>
      </c>
      <c r="U759" s="33">
        <f t="shared" si="83"/>
        <v>59.416913124272888</v>
      </c>
      <c r="V759" s="33">
        <f t="shared" si="84"/>
        <v>-0.35719030278033087</v>
      </c>
      <c r="W759" s="12" t="b">
        <f t="shared" si="85"/>
        <v>0</v>
      </c>
    </row>
    <row r="760" spans="1:23">
      <c r="A760" s="26">
        <v>759</v>
      </c>
      <c r="B760" s="27">
        <v>40578</v>
      </c>
      <c r="C760" s="12">
        <v>2</v>
      </c>
      <c r="D760" s="12">
        <v>0</v>
      </c>
      <c r="E760" s="12" t="b">
        <v>0</v>
      </c>
      <c r="F760" s="12">
        <v>5</v>
      </c>
      <c r="G760" s="12">
        <v>2</v>
      </c>
      <c r="H760" s="12">
        <v>0.2</v>
      </c>
      <c r="I760" s="12">
        <v>0.2576</v>
      </c>
      <c r="J760" s="12">
        <v>0.44</v>
      </c>
      <c r="K760" s="12">
        <v>0</v>
      </c>
      <c r="L760" s="12">
        <v>3</v>
      </c>
      <c r="M760" s="12">
        <v>10</v>
      </c>
      <c r="N760" s="12">
        <v>13</v>
      </c>
      <c r="O760" s="12" t="str">
        <f>VLOOKUP(G760,calculate_field!$B$2:$C$5,2,FALSE)</f>
        <v xml:space="preserve">Mist / cloudy </v>
      </c>
      <c r="P760" s="12" t="str">
        <f t="shared" si="79"/>
        <v>Friday</v>
      </c>
      <c r="Q760" s="12" t="str">
        <f t="shared" si="80"/>
        <v>Weekday</v>
      </c>
      <c r="R760" s="12" t="str">
        <f t="shared" si="81"/>
        <v>Night</v>
      </c>
      <c r="S760" s="28" t="str">
        <f>INDEX(calculate_field!$F$2:$F$4, MATCH(H760, calculate_field!$E$2:$E$4, 1))</f>
        <v>Mild</v>
      </c>
      <c r="T760" s="33">
        <f t="shared" si="82"/>
        <v>72.791666666666671</v>
      </c>
      <c r="U760" s="33">
        <f t="shared" si="83"/>
        <v>59.39183018525042</v>
      </c>
      <c r="V760" s="33">
        <f t="shared" si="84"/>
        <v>-0.10513683606243117</v>
      </c>
      <c r="W760" s="12" t="b">
        <f t="shared" si="85"/>
        <v>0</v>
      </c>
    </row>
    <row r="761" spans="1:23">
      <c r="A761" s="26">
        <v>760</v>
      </c>
      <c r="B761" s="27">
        <v>40578</v>
      </c>
      <c r="C761" s="12">
        <v>2</v>
      </c>
      <c r="D761" s="12">
        <v>1</v>
      </c>
      <c r="E761" s="12" t="b">
        <v>0</v>
      </c>
      <c r="F761" s="12">
        <v>5</v>
      </c>
      <c r="G761" s="12">
        <v>2</v>
      </c>
      <c r="H761" s="12">
        <v>0.16</v>
      </c>
      <c r="I761" s="12">
        <v>0.2273</v>
      </c>
      <c r="J761" s="12">
        <v>0.59</v>
      </c>
      <c r="K761" s="12">
        <v>0</v>
      </c>
      <c r="L761" s="12">
        <v>0</v>
      </c>
      <c r="M761" s="12">
        <v>7</v>
      </c>
      <c r="N761" s="12">
        <v>7</v>
      </c>
      <c r="O761" s="12" t="str">
        <f>VLOOKUP(G761,calculate_field!$B$2:$C$5,2,FALSE)</f>
        <v xml:space="preserve">Mist / cloudy </v>
      </c>
      <c r="P761" s="12" t="str">
        <f t="shared" si="79"/>
        <v>Friday</v>
      </c>
      <c r="Q761" s="12" t="str">
        <f t="shared" si="80"/>
        <v>Weekday</v>
      </c>
      <c r="R761" s="12" t="str">
        <f t="shared" si="81"/>
        <v>Night</v>
      </c>
      <c r="S761" s="28" t="str">
        <f>INDEX(calculate_field!$F$2:$F$4, MATCH(H761, calculate_field!$E$2:$E$4, 1))</f>
        <v>Cold</v>
      </c>
      <c r="T761" s="33">
        <f t="shared" si="82"/>
        <v>73</v>
      </c>
      <c r="U761" s="33">
        <f t="shared" si="83"/>
        <v>59.181371922326164</v>
      </c>
      <c r="V761" s="33">
        <f t="shared" si="84"/>
        <v>-0.87309285599671105</v>
      </c>
      <c r="W761" s="12" t="b">
        <f t="shared" si="85"/>
        <v>0</v>
      </c>
    </row>
    <row r="762" spans="1:23">
      <c r="A762" s="26">
        <v>761</v>
      </c>
      <c r="B762" s="27">
        <v>40578</v>
      </c>
      <c r="C762" s="12">
        <v>2</v>
      </c>
      <c r="D762" s="12">
        <v>2</v>
      </c>
      <c r="E762" s="12" t="b">
        <v>0</v>
      </c>
      <c r="F762" s="12">
        <v>5</v>
      </c>
      <c r="G762" s="12">
        <v>2</v>
      </c>
      <c r="H762" s="12">
        <v>0.14000000000000001</v>
      </c>
      <c r="I762" s="12">
        <v>0.16669999999999999</v>
      </c>
      <c r="J762" s="12">
        <v>0.63</v>
      </c>
      <c r="K762" s="12">
        <v>0.1045</v>
      </c>
      <c r="L762" s="12">
        <v>0</v>
      </c>
      <c r="M762" s="12">
        <v>1</v>
      </c>
      <c r="N762" s="12">
        <v>1</v>
      </c>
      <c r="O762" s="12" t="str">
        <f>VLOOKUP(G762,calculate_field!$B$2:$C$5,2,FALSE)</f>
        <v xml:space="preserve">Mist / cloudy </v>
      </c>
      <c r="P762" s="12" t="str">
        <f t="shared" si="79"/>
        <v>Friday</v>
      </c>
      <c r="Q762" s="12" t="str">
        <f t="shared" si="80"/>
        <v>Weekday</v>
      </c>
      <c r="R762" s="12" t="str">
        <f t="shared" si="81"/>
        <v>Night</v>
      </c>
      <c r="S762" s="28" t="str">
        <f>INDEX(calculate_field!$F$2:$F$4, MATCH(H762, calculate_field!$E$2:$E$4, 1))</f>
        <v>Cold</v>
      </c>
      <c r="T762" s="33">
        <f t="shared" si="82"/>
        <v>73.416666666666671</v>
      </c>
      <c r="U762" s="33">
        <f t="shared" si="83"/>
        <v>58.72997654458527</v>
      </c>
      <c r="V762" s="33">
        <f t="shared" si="84"/>
        <v>-0.96609943444627111</v>
      </c>
      <c r="W762" s="12" t="b">
        <f t="shared" si="85"/>
        <v>0</v>
      </c>
    </row>
    <row r="763" spans="1:23">
      <c r="A763" s="26">
        <v>762</v>
      </c>
      <c r="B763" s="27">
        <v>40578</v>
      </c>
      <c r="C763" s="12">
        <v>2</v>
      </c>
      <c r="D763" s="12">
        <v>3</v>
      </c>
      <c r="E763" s="12" t="b">
        <v>0</v>
      </c>
      <c r="F763" s="12">
        <v>5</v>
      </c>
      <c r="G763" s="12">
        <v>2</v>
      </c>
      <c r="H763" s="12">
        <v>0.14000000000000001</v>
      </c>
      <c r="I763" s="12">
        <v>0.16669999999999999</v>
      </c>
      <c r="J763" s="12">
        <v>0.63</v>
      </c>
      <c r="K763" s="12">
        <v>0.1045</v>
      </c>
      <c r="L763" s="12">
        <v>0</v>
      </c>
      <c r="M763" s="12">
        <v>1</v>
      </c>
      <c r="N763" s="12">
        <v>1</v>
      </c>
      <c r="O763" s="12" t="str">
        <f>VLOOKUP(G763,calculate_field!$B$2:$C$5,2,FALSE)</f>
        <v xml:space="preserve">Mist / cloudy </v>
      </c>
      <c r="P763" s="12" t="str">
        <f t="shared" si="79"/>
        <v>Friday</v>
      </c>
      <c r="Q763" s="12" t="str">
        <f t="shared" si="80"/>
        <v>Weekday</v>
      </c>
      <c r="R763" s="12" t="str">
        <f t="shared" si="81"/>
        <v>Night</v>
      </c>
      <c r="S763" s="28" t="str">
        <f>INDEX(calculate_field!$F$2:$F$4, MATCH(H763, calculate_field!$E$2:$E$4, 1))</f>
        <v>Cold</v>
      </c>
      <c r="T763" s="33">
        <f t="shared" si="82"/>
        <v>73.833333333333329</v>
      </c>
      <c r="U763" s="33">
        <f t="shared" si="83"/>
        <v>58.22719121769012</v>
      </c>
      <c r="V763" s="33">
        <f t="shared" si="84"/>
        <v>-1.19938074264647</v>
      </c>
      <c r="W763" s="12" t="b">
        <f t="shared" si="85"/>
        <v>0</v>
      </c>
    </row>
    <row r="764" spans="1:23">
      <c r="A764" s="26">
        <v>763</v>
      </c>
      <c r="B764" s="27">
        <v>40578</v>
      </c>
      <c r="C764" s="12">
        <v>2</v>
      </c>
      <c r="D764" s="12">
        <v>5</v>
      </c>
      <c r="E764" s="12" t="b">
        <v>0</v>
      </c>
      <c r="F764" s="12">
        <v>5</v>
      </c>
      <c r="G764" s="12">
        <v>2</v>
      </c>
      <c r="H764" s="12">
        <v>0.14000000000000001</v>
      </c>
      <c r="I764" s="12">
        <v>0.1515</v>
      </c>
      <c r="J764" s="12">
        <v>0.63</v>
      </c>
      <c r="K764" s="12">
        <v>0.1343</v>
      </c>
      <c r="L764" s="12">
        <v>0</v>
      </c>
      <c r="M764" s="12">
        <v>7</v>
      </c>
      <c r="N764" s="12">
        <v>7</v>
      </c>
      <c r="O764" s="12" t="str">
        <f>VLOOKUP(G764,calculate_field!$B$2:$C$5,2,FALSE)</f>
        <v xml:space="preserve">Mist / cloudy </v>
      </c>
      <c r="P764" s="12" t="str">
        <f t="shared" si="79"/>
        <v>Friday</v>
      </c>
      <c r="Q764" s="12" t="str">
        <f t="shared" si="80"/>
        <v>Weekday</v>
      </c>
      <c r="R764" s="12" t="str">
        <f t="shared" si="81"/>
        <v>Night</v>
      </c>
      <c r="S764" s="28" t="str">
        <f>INDEX(calculate_field!$F$2:$F$4, MATCH(H764, calculate_field!$E$2:$E$4, 1))</f>
        <v>Cold</v>
      </c>
      <c r="T764" s="33">
        <f t="shared" si="82"/>
        <v>74.125</v>
      </c>
      <c r="U764" s="33">
        <f t="shared" si="83"/>
        <v>57.862890788784327</v>
      </c>
      <c r="V764" s="33">
        <f t="shared" si="84"/>
        <v>-1.3196468039118761</v>
      </c>
      <c r="W764" s="12" t="b">
        <f t="shared" si="85"/>
        <v>0</v>
      </c>
    </row>
    <row r="765" spans="1:23">
      <c r="A765" s="26">
        <v>764</v>
      </c>
      <c r="B765" s="27">
        <v>40578</v>
      </c>
      <c r="C765" s="12">
        <v>2</v>
      </c>
      <c r="D765" s="12">
        <v>6</v>
      </c>
      <c r="E765" s="12" t="b">
        <v>0</v>
      </c>
      <c r="F765" s="12">
        <v>5</v>
      </c>
      <c r="G765" s="12">
        <v>2</v>
      </c>
      <c r="H765" s="12">
        <v>0.16</v>
      </c>
      <c r="I765" s="12">
        <v>0.2273</v>
      </c>
      <c r="J765" s="12">
        <v>0.55000000000000004</v>
      </c>
      <c r="K765" s="12">
        <v>0</v>
      </c>
      <c r="L765" s="12">
        <v>2</v>
      </c>
      <c r="M765" s="12">
        <v>26</v>
      </c>
      <c r="N765" s="12">
        <v>28</v>
      </c>
      <c r="O765" s="12" t="str">
        <f>VLOOKUP(G765,calculate_field!$B$2:$C$5,2,FALSE)</f>
        <v xml:space="preserve">Mist / cloudy </v>
      </c>
      <c r="P765" s="12" t="str">
        <f t="shared" si="79"/>
        <v>Friday</v>
      </c>
      <c r="Q765" s="12" t="str">
        <f t="shared" si="80"/>
        <v>Weekday</v>
      </c>
      <c r="R765" s="12" t="str">
        <f t="shared" si="81"/>
        <v>Morning</v>
      </c>
      <c r="S765" s="28" t="str">
        <f>INDEX(calculate_field!$F$2:$F$4, MATCH(H765, calculate_field!$E$2:$E$4, 1))</f>
        <v>Cold</v>
      </c>
      <c r="T765" s="33">
        <f t="shared" si="82"/>
        <v>74.208333333333329</v>
      </c>
      <c r="U765" s="33">
        <f t="shared" si="83"/>
        <v>57.763369742925939</v>
      </c>
      <c r="V765" s="33">
        <f t="shared" si="84"/>
        <v>-1.2553183827952159</v>
      </c>
      <c r="W765" s="12" t="b">
        <f t="shared" si="85"/>
        <v>0</v>
      </c>
    </row>
    <row r="766" spans="1:23">
      <c r="A766" s="26">
        <v>765</v>
      </c>
      <c r="B766" s="27">
        <v>40578</v>
      </c>
      <c r="C766" s="12">
        <v>2</v>
      </c>
      <c r="D766" s="12">
        <v>7</v>
      </c>
      <c r="E766" s="12" t="b">
        <v>0</v>
      </c>
      <c r="F766" s="12">
        <v>5</v>
      </c>
      <c r="G766" s="12">
        <v>1</v>
      </c>
      <c r="H766" s="12">
        <v>0.14000000000000001</v>
      </c>
      <c r="I766" s="12">
        <v>0.21210000000000001</v>
      </c>
      <c r="J766" s="12">
        <v>0.59</v>
      </c>
      <c r="K766" s="12">
        <v>0</v>
      </c>
      <c r="L766" s="12">
        <v>0</v>
      </c>
      <c r="M766" s="12">
        <v>87</v>
      </c>
      <c r="N766" s="12">
        <v>87</v>
      </c>
      <c r="O766" s="12" t="str">
        <f>VLOOKUP(G766,calculate_field!$B$2:$C$5,2,FALSE)</f>
        <v>Clear/Partly Cloudy</v>
      </c>
      <c r="P766" s="12" t="str">
        <f t="shared" si="79"/>
        <v>Friday</v>
      </c>
      <c r="Q766" s="12" t="str">
        <f t="shared" si="80"/>
        <v>Weekday</v>
      </c>
      <c r="R766" s="12" t="str">
        <f t="shared" si="81"/>
        <v>Morning</v>
      </c>
      <c r="S766" s="28" t="str">
        <f>INDEX(calculate_field!$F$2:$F$4, MATCH(H766, calculate_field!$E$2:$E$4, 1))</f>
        <v>Cold</v>
      </c>
      <c r="T766" s="33">
        <f t="shared" si="82"/>
        <v>73.208333333333329</v>
      </c>
      <c r="U766" s="33">
        <f t="shared" si="83"/>
        <v>58.796612714225866</v>
      </c>
      <c r="V766" s="33">
        <f t="shared" si="84"/>
        <v>-1.4030269420882462</v>
      </c>
      <c r="W766" s="12" t="b">
        <f t="shared" si="85"/>
        <v>0</v>
      </c>
    </row>
    <row r="767" spans="1:23">
      <c r="A767" s="26">
        <v>766</v>
      </c>
      <c r="B767" s="27">
        <v>40578</v>
      </c>
      <c r="C767" s="12">
        <v>2</v>
      </c>
      <c r="D767" s="12">
        <v>8</v>
      </c>
      <c r="E767" s="12" t="b">
        <v>0</v>
      </c>
      <c r="F767" s="12">
        <v>5</v>
      </c>
      <c r="G767" s="12">
        <v>1</v>
      </c>
      <c r="H767" s="12">
        <v>0.14000000000000001</v>
      </c>
      <c r="I767" s="12">
        <v>0.1515</v>
      </c>
      <c r="J767" s="12">
        <v>0.74</v>
      </c>
      <c r="K767" s="12">
        <v>0.1343</v>
      </c>
      <c r="L767" s="12">
        <v>3</v>
      </c>
      <c r="M767" s="12">
        <v>217</v>
      </c>
      <c r="N767" s="12">
        <v>220</v>
      </c>
      <c r="O767" s="12" t="str">
        <f>VLOOKUP(G767,calculate_field!$B$2:$C$5,2,FALSE)</f>
        <v>Clear/Partly Cloudy</v>
      </c>
      <c r="P767" s="12" t="str">
        <f t="shared" si="79"/>
        <v>Friday</v>
      </c>
      <c r="Q767" s="12" t="str">
        <f t="shared" si="80"/>
        <v>Weekday</v>
      </c>
      <c r="R767" s="12" t="str">
        <f t="shared" si="81"/>
        <v>Morning</v>
      </c>
      <c r="S767" s="28" t="str">
        <f>INDEX(calculate_field!$F$2:$F$4, MATCH(H767, calculate_field!$E$2:$E$4, 1))</f>
        <v>Cold</v>
      </c>
      <c r="T767" s="33">
        <f t="shared" si="82"/>
        <v>69.75</v>
      </c>
      <c r="U767" s="33">
        <f t="shared" si="83"/>
        <v>60.370054482838341</v>
      </c>
      <c r="V767" s="33">
        <f t="shared" si="84"/>
        <v>-1.3889271654651589</v>
      </c>
      <c r="W767" s="12" t="b">
        <f t="shared" si="85"/>
        <v>0</v>
      </c>
    </row>
    <row r="768" spans="1:23">
      <c r="A768" s="26">
        <v>767</v>
      </c>
      <c r="B768" s="27">
        <v>40578</v>
      </c>
      <c r="C768" s="12">
        <v>2</v>
      </c>
      <c r="D768" s="12">
        <v>9</v>
      </c>
      <c r="E768" s="12" t="b">
        <v>0</v>
      </c>
      <c r="F768" s="12">
        <v>5</v>
      </c>
      <c r="G768" s="12">
        <v>2</v>
      </c>
      <c r="H768" s="12">
        <v>0.16</v>
      </c>
      <c r="I768" s="12">
        <v>0.18179999999999999</v>
      </c>
      <c r="J768" s="12">
        <v>0.8</v>
      </c>
      <c r="K768" s="12">
        <v>0.1343</v>
      </c>
      <c r="L768" s="12">
        <v>3</v>
      </c>
      <c r="M768" s="12">
        <v>124</v>
      </c>
      <c r="N768" s="12">
        <v>127</v>
      </c>
      <c r="O768" s="12" t="str">
        <f>VLOOKUP(G768,calculate_field!$B$2:$C$5,2,FALSE)</f>
        <v xml:space="preserve">Mist / cloudy </v>
      </c>
      <c r="P768" s="12" t="str">
        <f t="shared" si="79"/>
        <v>Friday</v>
      </c>
      <c r="Q768" s="12" t="str">
        <f t="shared" si="80"/>
        <v>Weekday</v>
      </c>
      <c r="R768" s="12" t="str">
        <f t="shared" si="81"/>
        <v>Morning</v>
      </c>
      <c r="S768" s="28" t="str">
        <f>INDEX(calculate_field!$F$2:$F$4, MATCH(H768, calculate_field!$E$2:$E$4, 1))</f>
        <v>Cold</v>
      </c>
      <c r="T768" s="33">
        <f t="shared" si="82"/>
        <v>61</v>
      </c>
      <c r="U768" s="33">
        <f t="shared" si="83"/>
        <v>52.329225353400339</v>
      </c>
      <c r="V768" s="33">
        <f t="shared" si="84"/>
        <v>-1.1881452688689038</v>
      </c>
      <c r="W768" s="12" t="b">
        <f t="shared" si="85"/>
        <v>0</v>
      </c>
    </row>
    <row r="769" spans="1:23">
      <c r="A769" s="26">
        <v>768</v>
      </c>
      <c r="B769" s="27">
        <v>40578</v>
      </c>
      <c r="C769" s="12">
        <v>2</v>
      </c>
      <c r="D769" s="12">
        <v>10</v>
      </c>
      <c r="E769" s="12" t="b">
        <v>0</v>
      </c>
      <c r="F769" s="12">
        <v>5</v>
      </c>
      <c r="G769" s="12">
        <v>2</v>
      </c>
      <c r="H769" s="12">
        <v>0.2</v>
      </c>
      <c r="I769" s="12">
        <v>0.21210000000000001</v>
      </c>
      <c r="J769" s="12">
        <v>0.51</v>
      </c>
      <c r="K769" s="12">
        <v>0.1343</v>
      </c>
      <c r="L769" s="12">
        <v>5</v>
      </c>
      <c r="M769" s="12">
        <v>46</v>
      </c>
      <c r="N769" s="12">
        <v>51</v>
      </c>
      <c r="O769" s="12" t="str">
        <f>VLOOKUP(G769,calculate_field!$B$2:$C$5,2,FALSE)</f>
        <v xml:space="preserve">Mist / cloudy </v>
      </c>
      <c r="P769" s="12" t="str">
        <f t="shared" si="79"/>
        <v>Friday</v>
      </c>
      <c r="Q769" s="12" t="str">
        <f t="shared" si="80"/>
        <v>Weekday</v>
      </c>
      <c r="R769" s="12" t="str">
        <f t="shared" si="81"/>
        <v>Morning</v>
      </c>
      <c r="S769" s="28" t="str">
        <f>INDEX(calculate_field!$F$2:$F$4, MATCH(H769, calculate_field!$E$2:$E$4, 1))</f>
        <v>Mild</v>
      </c>
      <c r="T769" s="33">
        <f t="shared" si="82"/>
        <v>56.541666666666664</v>
      </c>
      <c r="U769" s="33">
        <f t="shared" si="83"/>
        <v>51.002965955245031</v>
      </c>
      <c r="V769" s="33">
        <f t="shared" si="84"/>
        <v>-0.86089622493318207</v>
      </c>
      <c r="W769" s="12" t="b">
        <f t="shared" si="85"/>
        <v>0</v>
      </c>
    </row>
    <row r="770" spans="1:23">
      <c r="A770" s="26">
        <v>769</v>
      </c>
      <c r="B770" s="27">
        <v>40578</v>
      </c>
      <c r="C770" s="12">
        <v>2</v>
      </c>
      <c r="D770" s="12">
        <v>11</v>
      </c>
      <c r="E770" s="12" t="b">
        <v>0</v>
      </c>
      <c r="F770" s="12">
        <v>5</v>
      </c>
      <c r="G770" s="12">
        <v>1</v>
      </c>
      <c r="H770" s="12">
        <v>0.22</v>
      </c>
      <c r="I770" s="12">
        <v>0.2273</v>
      </c>
      <c r="J770" s="12">
        <v>0.51</v>
      </c>
      <c r="K770" s="12">
        <v>0.16420000000000001</v>
      </c>
      <c r="L770" s="12">
        <v>3</v>
      </c>
      <c r="M770" s="12">
        <v>61</v>
      </c>
      <c r="N770" s="12">
        <v>64</v>
      </c>
      <c r="O770" s="12" t="str">
        <f>VLOOKUP(G770,calculate_field!$B$2:$C$5,2,FALSE)</f>
        <v>Clear/Partly Cloudy</v>
      </c>
      <c r="P770" s="12" t="str">
        <f t="shared" ref="P770:P833" si="86">CHOOSE(F770+1,"Sunday","Monday","Tuesday","Wednesday","Thursday","Friday","Saturday")</f>
        <v>Friday</v>
      </c>
      <c r="Q770" s="12" t="str">
        <f t="shared" ref="Q770:Q833" si="87">IF(OR(F770=0,F770=6),"Weekend","Weekday")</f>
        <v>Weekday</v>
      </c>
      <c r="R770" s="12" t="str">
        <f t="shared" ref="R770:R833" si="88">IF(D770&lt;6,"Night",IF(D770&lt;12,"Morning",IF(D770&lt;17,"Afternoon",IF(D770&lt;21,"Evening","Night"))))</f>
        <v>Morning</v>
      </c>
      <c r="S770" s="28" t="str">
        <f>INDEX(calculate_field!$F$2:$F$4, MATCH(H770, calculate_field!$E$2:$E$4, 1))</f>
        <v>Mild</v>
      </c>
      <c r="T770" s="33">
        <f t="shared" ref="T770:T833" si="89">AVERAGE(N770:N793)</f>
        <v>55.833333333333336</v>
      </c>
      <c r="U770" s="33">
        <f t="shared" ref="U770:U833" si="90">_xlfn.STDEV.S(N770:N793)</f>
        <v>51.200939755868326</v>
      </c>
      <c r="V770" s="33">
        <f t="shared" ref="V770:V833" si="91">(N793-T793)/U793</f>
        <v>-0.38588717153473251</v>
      </c>
      <c r="W770" s="12" t="b">
        <f t="shared" ref="W770:W833" si="92">IFERROR(ABS(V786)&gt;1.5,FALSE)</f>
        <v>0</v>
      </c>
    </row>
    <row r="771" spans="1:23">
      <c r="A771" s="26">
        <v>770</v>
      </c>
      <c r="B771" s="27">
        <v>40578</v>
      </c>
      <c r="C771" s="12">
        <v>2</v>
      </c>
      <c r="D771" s="12">
        <v>12</v>
      </c>
      <c r="E771" s="12" t="b">
        <v>0</v>
      </c>
      <c r="F771" s="12">
        <v>5</v>
      </c>
      <c r="G771" s="12">
        <v>2</v>
      </c>
      <c r="H771" s="12">
        <v>0.24</v>
      </c>
      <c r="I771" s="12">
        <v>0.2424</v>
      </c>
      <c r="J771" s="12">
        <v>0.48</v>
      </c>
      <c r="K771" s="12">
        <v>0.16420000000000001</v>
      </c>
      <c r="L771" s="12">
        <v>8</v>
      </c>
      <c r="M771" s="12">
        <v>78</v>
      </c>
      <c r="N771" s="12">
        <v>86</v>
      </c>
      <c r="O771" s="12" t="str">
        <f>VLOOKUP(G771,calculate_field!$B$2:$C$5,2,FALSE)</f>
        <v xml:space="preserve">Mist / cloudy </v>
      </c>
      <c r="P771" s="12" t="str">
        <f t="shared" si="86"/>
        <v>Friday</v>
      </c>
      <c r="Q771" s="12" t="str">
        <f t="shared" si="87"/>
        <v>Weekday</v>
      </c>
      <c r="R771" s="12" t="str">
        <f t="shared" si="88"/>
        <v>Afternoon</v>
      </c>
      <c r="S771" s="28" t="str">
        <f>INDEX(calculate_field!$F$2:$F$4, MATCH(H771, calculate_field!$E$2:$E$4, 1))</f>
        <v>Mild</v>
      </c>
      <c r="T771" s="33">
        <f t="shared" si="89"/>
        <v>55.125</v>
      </c>
      <c r="U771" s="33">
        <f t="shared" si="90"/>
        <v>51.200639007561307</v>
      </c>
      <c r="V771" s="33">
        <f t="shared" si="91"/>
        <v>1.793689824665437E-2</v>
      </c>
      <c r="W771" s="12" t="b">
        <f t="shared" si="92"/>
        <v>0</v>
      </c>
    </row>
    <row r="772" spans="1:23">
      <c r="A772" s="26">
        <v>771</v>
      </c>
      <c r="B772" s="27">
        <v>40578</v>
      </c>
      <c r="C772" s="12">
        <v>2</v>
      </c>
      <c r="D772" s="12">
        <v>13</v>
      </c>
      <c r="E772" s="12" t="b">
        <v>0</v>
      </c>
      <c r="F772" s="12">
        <v>5</v>
      </c>
      <c r="G772" s="12">
        <v>2</v>
      </c>
      <c r="H772" s="12">
        <v>0.26</v>
      </c>
      <c r="I772" s="12">
        <v>0.2576</v>
      </c>
      <c r="J772" s="12">
        <v>0.5</v>
      </c>
      <c r="K772" s="12">
        <v>0.22389999999999999</v>
      </c>
      <c r="L772" s="12">
        <v>9</v>
      </c>
      <c r="M772" s="12">
        <v>73</v>
      </c>
      <c r="N772" s="12">
        <v>82</v>
      </c>
      <c r="O772" s="12" t="str">
        <f>VLOOKUP(G772,calculate_field!$B$2:$C$5,2,FALSE)</f>
        <v xml:space="preserve">Mist / cloudy </v>
      </c>
      <c r="P772" s="12" t="str">
        <f t="shared" si="86"/>
        <v>Friday</v>
      </c>
      <c r="Q772" s="12" t="str">
        <f t="shared" si="87"/>
        <v>Weekday</v>
      </c>
      <c r="R772" s="12" t="str">
        <f t="shared" si="88"/>
        <v>Afternoon</v>
      </c>
      <c r="S772" s="28" t="str">
        <f>INDEX(calculate_field!$F$2:$F$4, MATCH(H772, calculate_field!$E$2:$E$4, 1))</f>
        <v>Mild</v>
      </c>
      <c r="T772" s="33">
        <f t="shared" si="89"/>
        <v>53.708333333333336</v>
      </c>
      <c r="U772" s="33">
        <f t="shared" si="90"/>
        <v>50.777844506769121</v>
      </c>
      <c r="V772" s="33">
        <f t="shared" si="91"/>
        <v>8.2343047611765086E-2</v>
      </c>
      <c r="W772" s="12" t="b">
        <f t="shared" si="92"/>
        <v>0</v>
      </c>
    </row>
    <row r="773" spans="1:23">
      <c r="A773" s="26">
        <v>772</v>
      </c>
      <c r="B773" s="27">
        <v>40578</v>
      </c>
      <c r="C773" s="12">
        <v>2</v>
      </c>
      <c r="D773" s="12">
        <v>14</v>
      </c>
      <c r="E773" s="12" t="b">
        <v>0</v>
      </c>
      <c r="F773" s="12">
        <v>5</v>
      </c>
      <c r="G773" s="12">
        <v>2</v>
      </c>
      <c r="H773" s="12">
        <v>0.28000000000000003</v>
      </c>
      <c r="I773" s="12">
        <v>0.2727</v>
      </c>
      <c r="J773" s="12">
        <v>0.45</v>
      </c>
      <c r="K773" s="12">
        <v>0.16420000000000001</v>
      </c>
      <c r="L773" s="12">
        <v>15</v>
      </c>
      <c r="M773" s="12">
        <v>76</v>
      </c>
      <c r="N773" s="12">
        <v>91</v>
      </c>
      <c r="O773" s="12" t="str">
        <f>VLOOKUP(G773,calculate_field!$B$2:$C$5,2,FALSE)</f>
        <v xml:space="preserve">Mist / cloudy </v>
      </c>
      <c r="P773" s="12" t="str">
        <f t="shared" si="86"/>
        <v>Friday</v>
      </c>
      <c r="Q773" s="12" t="str">
        <f t="shared" si="87"/>
        <v>Weekday</v>
      </c>
      <c r="R773" s="12" t="str">
        <f t="shared" si="88"/>
        <v>Afternoon</v>
      </c>
      <c r="S773" s="28" t="str">
        <f>INDEX(calculate_field!$F$2:$F$4, MATCH(H773, calculate_field!$E$2:$E$4, 1))</f>
        <v>Mild</v>
      </c>
      <c r="T773" s="33">
        <f t="shared" si="89"/>
        <v>53.291666666666664</v>
      </c>
      <c r="U773" s="33">
        <f t="shared" si="90"/>
        <v>50.576226729016938</v>
      </c>
      <c r="V773" s="33">
        <f t="shared" si="91"/>
        <v>0.4332126331818269</v>
      </c>
      <c r="W773" s="12" t="b">
        <f t="shared" si="92"/>
        <v>0</v>
      </c>
    </row>
    <row r="774" spans="1:23">
      <c r="A774" s="26">
        <v>773</v>
      </c>
      <c r="B774" s="27">
        <v>40578</v>
      </c>
      <c r="C774" s="12">
        <v>2</v>
      </c>
      <c r="D774" s="12">
        <v>15</v>
      </c>
      <c r="E774" s="12" t="b">
        <v>0</v>
      </c>
      <c r="F774" s="12">
        <v>5</v>
      </c>
      <c r="G774" s="12">
        <v>2</v>
      </c>
      <c r="H774" s="12">
        <v>0.28000000000000003</v>
      </c>
      <c r="I774" s="12">
        <v>0.2727</v>
      </c>
      <c r="J774" s="12">
        <v>0.48</v>
      </c>
      <c r="K774" s="12">
        <v>0.25369999999999998</v>
      </c>
      <c r="L774" s="12">
        <v>9</v>
      </c>
      <c r="M774" s="12">
        <v>81</v>
      </c>
      <c r="N774" s="12">
        <v>90</v>
      </c>
      <c r="O774" s="12" t="str">
        <f>VLOOKUP(G774,calculate_field!$B$2:$C$5,2,FALSE)</f>
        <v xml:space="preserve">Mist / cloudy </v>
      </c>
      <c r="P774" s="12" t="str">
        <f t="shared" si="86"/>
        <v>Friday</v>
      </c>
      <c r="Q774" s="12" t="str">
        <f t="shared" si="87"/>
        <v>Weekday</v>
      </c>
      <c r="R774" s="12" t="str">
        <f t="shared" si="88"/>
        <v>Afternoon</v>
      </c>
      <c r="S774" s="28" t="str">
        <f>INDEX(calculate_field!$F$2:$F$4, MATCH(H774, calculate_field!$E$2:$E$4, 1))</f>
        <v>Mild</v>
      </c>
      <c r="T774" s="33">
        <f t="shared" si="89"/>
        <v>51.791666666666664</v>
      </c>
      <c r="U774" s="33">
        <f t="shared" si="90"/>
        <v>49.939075200528677</v>
      </c>
      <c r="V774" s="33">
        <f t="shared" si="91"/>
        <v>-8.5080817785249147E-2</v>
      </c>
      <c r="W774" s="12" t="b">
        <f t="shared" si="92"/>
        <v>0</v>
      </c>
    </row>
    <row r="775" spans="1:23">
      <c r="A775" s="26">
        <v>774</v>
      </c>
      <c r="B775" s="27">
        <v>40578</v>
      </c>
      <c r="C775" s="12">
        <v>2</v>
      </c>
      <c r="D775" s="12">
        <v>16</v>
      </c>
      <c r="E775" s="12" t="b">
        <v>0</v>
      </c>
      <c r="F775" s="12">
        <v>5</v>
      </c>
      <c r="G775" s="12">
        <v>2</v>
      </c>
      <c r="H775" s="12">
        <v>0.3</v>
      </c>
      <c r="I775" s="12">
        <v>0.28789999999999999</v>
      </c>
      <c r="J775" s="12">
        <v>0.42</v>
      </c>
      <c r="K775" s="12">
        <v>0.22389999999999999</v>
      </c>
      <c r="L775" s="12">
        <v>8</v>
      </c>
      <c r="M775" s="12">
        <v>91</v>
      </c>
      <c r="N775" s="12">
        <v>99</v>
      </c>
      <c r="O775" s="12" t="str">
        <f>VLOOKUP(G775,calculate_field!$B$2:$C$5,2,FALSE)</f>
        <v xml:space="preserve">Mist / cloudy </v>
      </c>
      <c r="P775" s="12" t="str">
        <f t="shared" si="86"/>
        <v>Friday</v>
      </c>
      <c r="Q775" s="12" t="str">
        <f t="shared" si="87"/>
        <v>Weekday</v>
      </c>
      <c r="R775" s="12" t="str">
        <f t="shared" si="88"/>
        <v>Afternoon</v>
      </c>
      <c r="S775" s="28" t="str">
        <f>INDEX(calculate_field!$F$2:$F$4, MATCH(H775, calculate_field!$E$2:$E$4, 1))</f>
        <v>Warm</v>
      </c>
      <c r="T775" s="33">
        <f t="shared" si="89"/>
        <v>50.541666666666664</v>
      </c>
      <c r="U775" s="33">
        <f t="shared" si="90"/>
        <v>49.312648669895843</v>
      </c>
      <c r="V775" s="33">
        <f t="shared" si="91"/>
        <v>-6.6938456790214915E-2</v>
      </c>
      <c r="W775" s="12" t="b">
        <f t="shared" si="92"/>
        <v>0</v>
      </c>
    </row>
    <row r="776" spans="1:23">
      <c r="A776" s="26">
        <v>775</v>
      </c>
      <c r="B776" s="27">
        <v>40578</v>
      </c>
      <c r="C776" s="12">
        <v>2</v>
      </c>
      <c r="D776" s="12">
        <v>17</v>
      </c>
      <c r="E776" s="12" t="b">
        <v>0</v>
      </c>
      <c r="F776" s="12">
        <v>5</v>
      </c>
      <c r="G776" s="12">
        <v>2</v>
      </c>
      <c r="H776" s="12">
        <v>0.26</v>
      </c>
      <c r="I776" s="12">
        <v>0.2727</v>
      </c>
      <c r="J776" s="12">
        <v>0.56000000000000005</v>
      </c>
      <c r="K776" s="12">
        <v>0.1343</v>
      </c>
      <c r="L776" s="12">
        <v>10</v>
      </c>
      <c r="M776" s="12">
        <v>195</v>
      </c>
      <c r="N776" s="12">
        <v>205</v>
      </c>
      <c r="O776" s="12" t="str">
        <f>VLOOKUP(G776,calculate_field!$B$2:$C$5,2,FALSE)</f>
        <v xml:space="preserve">Mist / cloudy </v>
      </c>
      <c r="P776" s="12" t="str">
        <f t="shared" si="86"/>
        <v>Friday</v>
      </c>
      <c r="Q776" s="12" t="str">
        <f t="shared" si="87"/>
        <v>Weekday</v>
      </c>
      <c r="R776" s="12" t="str">
        <f t="shared" si="88"/>
        <v>Evening</v>
      </c>
      <c r="S776" s="28" t="str">
        <f>INDEX(calculate_field!$F$2:$F$4, MATCH(H776, calculate_field!$E$2:$E$4, 1))</f>
        <v>Mild</v>
      </c>
      <c r="T776" s="33">
        <f t="shared" si="89"/>
        <v>49.375</v>
      </c>
      <c r="U776" s="33">
        <f t="shared" si="90"/>
        <v>48.43984391243297</v>
      </c>
      <c r="V776" s="33">
        <f t="shared" si="91"/>
        <v>4.1961145624313689E-2</v>
      </c>
      <c r="W776" s="12" t="b">
        <f t="shared" si="92"/>
        <v>0</v>
      </c>
    </row>
    <row r="777" spans="1:23">
      <c r="A777" s="26">
        <v>776</v>
      </c>
      <c r="B777" s="27">
        <v>40578</v>
      </c>
      <c r="C777" s="12">
        <v>2</v>
      </c>
      <c r="D777" s="12">
        <v>18</v>
      </c>
      <c r="E777" s="12" t="b">
        <v>0</v>
      </c>
      <c r="F777" s="12">
        <v>5</v>
      </c>
      <c r="G777" s="12">
        <v>2</v>
      </c>
      <c r="H777" s="12">
        <v>0.24</v>
      </c>
      <c r="I777" s="12">
        <v>0.2576</v>
      </c>
      <c r="J777" s="12">
        <v>0.6</v>
      </c>
      <c r="K777" s="12">
        <v>0.1045</v>
      </c>
      <c r="L777" s="12">
        <v>3</v>
      </c>
      <c r="M777" s="12">
        <v>152</v>
      </c>
      <c r="N777" s="12">
        <v>155</v>
      </c>
      <c r="O777" s="12" t="str">
        <f>VLOOKUP(G777,calculate_field!$B$2:$C$5,2,FALSE)</f>
        <v xml:space="preserve">Mist / cloudy </v>
      </c>
      <c r="P777" s="12" t="str">
        <f t="shared" si="86"/>
        <v>Friday</v>
      </c>
      <c r="Q777" s="12" t="str">
        <f t="shared" si="87"/>
        <v>Weekday</v>
      </c>
      <c r="R777" s="12" t="str">
        <f t="shared" si="88"/>
        <v>Evening</v>
      </c>
      <c r="S777" s="28" t="str">
        <f>INDEX(calculate_field!$F$2:$F$4, MATCH(H777, calculate_field!$E$2:$E$4, 1))</f>
        <v>Mild</v>
      </c>
      <c r="T777" s="33">
        <f t="shared" si="89"/>
        <v>44.083333333333336</v>
      </c>
      <c r="U777" s="33">
        <f t="shared" si="90"/>
        <v>36.053000437962304</v>
      </c>
      <c r="V777" s="33">
        <f t="shared" si="91"/>
        <v>9.6644240715792029E-2</v>
      </c>
      <c r="W777" s="12" t="b">
        <f t="shared" si="92"/>
        <v>0</v>
      </c>
    </row>
    <row r="778" spans="1:23">
      <c r="A778" s="26">
        <v>777</v>
      </c>
      <c r="B778" s="27">
        <v>40578</v>
      </c>
      <c r="C778" s="12">
        <v>2</v>
      </c>
      <c r="D778" s="12">
        <v>19</v>
      </c>
      <c r="E778" s="12" t="b">
        <v>0</v>
      </c>
      <c r="F778" s="12">
        <v>5</v>
      </c>
      <c r="G778" s="12">
        <v>2</v>
      </c>
      <c r="H778" s="12">
        <v>0.24</v>
      </c>
      <c r="I778" s="12">
        <v>0.2424</v>
      </c>
      <c r="J778" s="12">
        <v>0.65</v>
      </c>
      <c r="K778" s="12">
        <v>0.1343</v>
      </c>
      <c r="L778" s="12">
        <v>1</v>
      </c>
      <c r="M778" s="12">
        <v>102</v>
      </c>
      <c r="N778" s="12">
        <v>103</v>
      </c>
      <c r="O778" s="12" t="str">
        <f>VLOOKUP(G778,calculate_field!$B$2:$C$5,2,FALSE)</f>
        <v xml:space="preserve">Mist / cloudy </v>
      </c>
      <c r="P778" s="12" t="str">
        <f t="shared" si="86"/>
        <v>Friday</v>
      </c>
      <c r="Q778" s="12" t="str">
        <f t="shared" si="87"/>
        <v>Weekday</v>
      </c>
      <c r="R778" s="12" t="str">
        <f t="shared" si="88"/>
        <v>Evening</v>
      </c>
      <c r="S778" s="28" t="str">
        <f>INDEX(calculate_field!$F$2:$F$4, MATCH(H778, calculate_field!$E$2:$E$4, 1))</f>
        <v>Mild</v>
      </c>
      <c r="T778" s="33">
        <f t="shared" si="89"/>
        <v>41.083333333333336</v>
      </c>
      <c r="U778" s="33">
        <f t="shared" si="90"/>
        <v>28.659798638005373</v>
      </c>
      <c r="V778" s="33">
        <f t="shared" si="91"/>
        <v>0.14780672103882678</v>
      </c>
      <c r="W778" s="12" t="b">
        <f t="shared" si="92"/>
        <v>0</v>
      </c>
    </row>
    <row r="779" spans="1:23">
      <c r="A779" s="26">
        <v>778</v>
      </c>
      <c r="B779" s="27">
        <v>40578</v>
      </c>
      <c r="C779" s="12">
        <v>2</v>
      </c>
      <c r="D779" s="12">
        <v>20</v>
      </c>
      <c r="E779" s="12" t="b">
        <v>0</v>
      </c>
      <c r="F779" s="12">
        <v>5</v>
      </c>
      <c r="G779" s="12">
        <v>2</v>
      </c>
      <c r="H779" s="12">
        <v>0.24</v>
      </c>
      <c r="I779" s="12">
        <v>0.2424</v>
      </c>
      <c r="J779" s="12">
        <v>0.65</v>
      </c>
      <c r="K779" s="12">
        <v>0.16420000000000001</v>
      </c>
      <c r="L779" s="12">
        <v>2</v>
      </c>
      <c r="M779" s="12">
        <v>69</v>
      </c>
      <c r="N779" s="12">
        <v>71</v>
      </c>
      <c r="O779" s="12" t="str">
        <f>VLOOKUP(G779,calculate_field!$B$2:$C$5,2,FALSE)</f>
        <v xml:space="preserve">Mist / cloudy </v>
      </c>
      <c r="P779" s="12" t="str">
        <f t="shared" si="86"/>
        <v>Friday</v>
      </c>
      <c r="Q779" s="12" t="str">
        <f t="shared" si="87"/>
        <v>Weekday</v>
      </c>
      <c r="R779" s="12" t="str">
        <f t="shared" si="88"/>
        <v>Evening</v>
      </c>
      <c r="S779" s="28" t="str">
        <f>INDEX(calculate_field!$F$2:$F$4, MATCH(H779, calculate_field!$E$2:$E$4, 1))</f>
        <v>Mild</v>
      </c>
      <c r="T779" s="33">
        <f t="shared" si="89"/>
        <v>40.291666666666664</v>
      </c>
      <c r="U779" s="33">
        <f t="shared" si="90"/>
        <v>27.094808048561738</v>
      </c>
      <c r="V779" s="33">
        <f t="shared" si="91"/>
        <v>0.16762442275801784</v>
      </c>
      <c r="W779" s="12" t="b">
        <f t="shared" si="92"/>
        <v>0</v>
      </c>
    </row>
    <row r="780" spans="1:23">
      <c r="A780" s="26">
        <v>779</v>
      </c>
      <c r="B780" s="27">
        <v>40578</v>
      </c>
      <c r="C780" s="12">
        <v>2</v>
      </c>
      <c r="D780" s="12">
        <v>21</v>
      </c>
      <c r="E780" s="12" t="b">
        <v>0</v>
      </c>
      <c r="F780" s="12">
        <v>5</v>
      </c>
      <c r="G780" s="12">
        <v>2</v>
      </c>
      <c r="H780" s="12">
        <v>0.24</v>
      </c>
      <c r="I780" s="12">
        <v>0.2424</v>
      </c>
      <c r="J780" s="12">
        <v>0.7</v>
      </c>
      <c r="K780" s="12">
        <v>0.16420000000000001</v>
      </c>
      <c r="L780" s="12">
        <v>2</v>
      </c>
      <c r="M780" s="12">
        <v>41</v>
      </c>
      <c r="N780" s="12">
        <v>43</v>
      </c>
      <c r="O780" s="12" t="str">
        <f>VLOOKUP(G780,calculate_field!$B$2:$C$5,2,FALSE)</f>
        <v xml:space="preserve">Mist / cloudy </v>
      </c>
      <c r="P780" s="12" t="str">
        <f t="shared" si="86"/>
        <v>Friday</v>
      </c>
      <c r="Q780" s="12" t="str">
        <f t="shared" si="87"/>
        <v>Weekday</v>
      </c>
      <c r="R780" s="12" t="str">
        <f t="shared" si="88"/>
        <v>Night</v>
      </c>
      <c r="S780" s="28" t="str">
        <f>INDEX(calculate_field!$F$2:$F$4, MATCH(H780, calculate_field!$E$2:$E$4, 1))</f>
        <v>Mild</v>
      </c>
      <c r="T780" s="33">
        <f t="shared" si="89"/>
        <v>40.208333333333336</v>
      </c>
      <c r="U780" s="33">
        <f t="shared" si="90"/>
        <v>26.999161285953452</v>
      </c>
      <c r="V780" s="33">
        <f t="shared" si="91"/>
        <v>-3.425470581157336E-2</v>
      </c>
      <c r="W780" s="12" t="b">
        <f t="shared" si="92"/>
        <v>0</v>
      </c>
    </row>
    <row r="781" spans="1:23">
      <c r="A781" s="26">
        <v>780</v>
      </c>
      <c r="B781" s="27">
        <v>40578</v>
      </c>
      <c r="C781" s="12">
        <v>2</v>
      </c>
      <c r="D781" s="12">
        <v>22</v>
      </c>
      <c r="E781" s="12" t="b">
        <v>0</v>
      </c>
      <c r="F781" s="12">
        <v>5</v>
      </c>
      <c r="G781" s="12">
        <v>2</v>
      </c>
      <c r="H781" s="12">
        <v>0.24</v>
      </c>
      <c r="I781" s="12">
        <v>0.2424</v>
      </c>
      <c r="J781" s="12">
        <v>0.65</v>
      </c>
      <c r="K781" s="12">
        <v>0.16420000000000001</v>
      </c>
      <c r="L781" s="12">
        <v>1</v>
      </c>
      <c r="M781" s="12">
        <v>45</v>
      </c>
      <c r="N781" s="12">
        <v>46</v>
      </c>
      <c r="O781" s="12" t="str">
        <f>VLOOKUP(G781,calculate_field!$B$2:$C$5,2,FALSE)</f>
        <v xml:space="preserve">Mist / cloudy </v>
      </c>
      <c r="P781" s="12" t="str">
        <f t="shared" si="86"/>
        <v>Friday</v>
      </c>
      <c r="Q781" s="12" t="str">
        <f t="shared" si="87"/>
        <v>Weekday</v>
      </c>
      <c r="R781" s="12" t="str">
        <f t="shared" si="88"/>
        <v>Night</v>
      </c>
      <c r="S781" s="28" t="str">
        <f>INDEX(calculate_field!$F$2:$F$4, MATCH(H781, calculate_field!$E$2:$E$4, 1))</f>
        <v>Mild</v>
      </c>
      <c r="T781" s="33">
        <f t="shared" si="89"/>
        <v>40.75</v>
      </c>
      <c r="U781" s="33">
        <f t="shared" si="90"/>
        <v>27.187353198004462</v>
      </c>
      <c r="V781" s="33">
        <f t="shared" si="91"/>
        <v>-0.2125968180486455</v>
      </c>
      <c r="W781" s="12" t="b">
        <f t="shared" si="92"/>
        <v>1</v>
      </c>
    </row>
    <row r="782" spans="1:23">
      <c r="A782" s="26">
        <v>781</v>
      </c>
      <c r="B782" s="27">
        <v>40578</v>
      </c>
      <c r="C782" s="12">
        <v>2</v>
      </c>
      <c r="D782" s="12">
        <v>23</v>
      </c>
      <c r="E782" s="12" t="b">
        <v>0</v>
      </c>
      <c r="F782" s="12">
        <v>5</v>
      </c>
      <c r="G782" s="12">
        <v>2</v>
      </c>
      <c r="H782" s="12">
        <v>0.24</v>
      </c>
      <c r="I782" s="12">
        <v>0.2424</v>
      </c>
      <c r="J782" s="12">
        <v>0.7</v>
      </c>
      <c r="K782" s="12">
        <v>0.1343</v>
      </c>
      <c r="L782" s="12">
        <v>1</v>
      </c>
      <c r="M782" s="12">
        <v>30</v>
      </c>
      <c r="N782" s="12">
        <v>31</v>
      </c>
      <c r="O782" s="12" t="str">
        <f>VLOOKUP(G782,calculate_field!$B$2:$C$5,2,FALSE)</f>
        <v xml:space="preserve">Mist / cloudy </v>
      </c>
      <c r="P782" s="12" t="str">
        <f t="shared" si="86"/>
        <v>Friday</v>
      </c>
      <c r="Q782" s="12" t="str">
        <f t="shared" si="87"/>
        <v>Weekday</v>
      </c>
      <c r="R782" s="12" t="str">
        <f t="shared" si="88"/>
        <v>Night</v>
      </c>
      <c r="S782" s="28" t="str">
        <f>INDEX(calculate_field!$F$2:$F$4, MATCH(H782, calculate_field!$E$2:$E$4, 1))</f>
        <v>Mild</v>
      </c>
      <c r="T782" s="33">
        <f t="shared" si="89"/>
        <v>40.708333333333336</v>
      </c>
      <c r="U782" s="33">
        <f t="shared" si="90"/>
        <v>27.179722567395345</v>
      </c>
      <c r="V782" s="33">
        <f t="shared" si="91"/>
        <v>-0.36554573809178953</v>
      </c>
      <c r="W782" s="12" t="b">
        <f t="shared" si="92"/>
        <v>0</v>
      </c>
    </row>
    <row r="783" spans="1:23">
      <c r="A783" s="26">
        <v>782</v>
      </c>
      <c r="B783" s="27">
        <v>40579</v>
      </c>
      <c r="C783" s="12">
        <v>2</v>
      </c>
      <c r="D783" s="12">
        <v>0</v>
      </c>
      <c r="E783" s="12" t="b">
        <v>0</v>
      </c>
      <c r="F783" s="12">
        <v>6</v>
      </c>
      <c r="G783" s="12">
        <v>2</v>
      </c>
      <c r="H783" s="12">
        <v>0.24</v>
      </c>
      <c r="I783" s="12">
        <v>0.2424</v>
      </c>
      <c r="J783" s="12">
        <v>0.7</v>
      </c>
      <c r="K783" s="12">
        <v>0.16420000000000001</v>
      </c>
      <c r="L783" s="12">
        <v>3</v>
      </c>
      <c r="M783" s="12">
        <v>36</v>
      </c>
      <c r="N783" s="12">
        <v>39</v>
      </c>
      <c r="O783" s="12" t="str">
        <f>VLOOKUP(G783,calculate_field!$B$2:$C$5,2,FALSE)</f>
        <v xml:space="preserve">Mist / cloudy </v>
      </c>
      <c r="P783" s="12" t="str">
        <f t="shared" si="86"/>
        <v>Saturday</v>
      </c>
      <c r="Q783" s="12" t="str">
        <f t="shared" si="87"/>
        <v>Weekend</v>
      </c>
      <c r="R783" s="12" t="str">
        <f t="shared" si="88"/>
        <v>Night</v>
      </c>
      <c r="S783" s="28" t="str">
        <f>INDEX(calculate_field!$F$2:$F$4, MATCH(H783, calculate_field!$E$2:$E$4, 1))</f>
        <v>Mild</v>
      </c>
      <c r="T783" s="33">
        <f t="shared" si="89"/>
        <v>41.875</v>
      </c>
      <c r="U783" s="33">
        <f t="shared" si="90"/>
        <v>27.345315948948663</v>
      </c>
      <c r="V783" s="33">
        <f t="shared" si="91"/>
        <v>-0.15587108233593541</v>
      </c>
      <c r="W783" s="12" t="b">
        <f t="shared" si="92"/>
        <v>1</v>
      </c>
    </row>
    <row r="784" spans="1:23">
      <c r="A784" s="26">
        <v>783</v>
      </c>
      <c r="B784" s="27">
        <v>40579</v>
      </c>
      <c r="C784" s="12">
        <v>2</v>
      </c>
      <c r="D784" s="12">
        <v>1</v>
      </c>
      <c r="E784" s="12" t="b">
        <v>0</v>
      </c>
      <c r="F784" s="12">
        <v>6</v>
      </c>
      <c r="G784" s="12">
        <v>2</v>
      </c>
      <c r="H784" s="12">
        <v>0.24</v>
      </c>
      <c r="I784" s="12">
        <v>0.2424</v>
      </c>
      <c r="J784" s="12">
        <v>0.65</v>
      </c>
      <c r="K784" s="12">
        <v>0.16420000000000001</v>
      </c>
      <c r="L784" s="12">
        <v>1</v>
      </c>
      <c r="M784" s="12">
        <v>17</v>
      </c>
      <c r="N784" s="12">
        <v>18</v>
      </c>
      <c r="O784" s="12" t="str">
        <f>VLOOKUP(G784,calculate_field!$B$2:$C$5,2,FALSE)</f>
        <v xml:space="preserve">Mist / cloudy </v>
      </c>
      <c r="P784" s="12" t="str">
        <f t="shared" si="86"/>
        <v>Saturday</v>
      </c>
      <c r="Q784" s="12" t="str">
        <f t="shared" si="87"/>
        <v>Weekend</v>
      </c>
      <c r="R784" s="12" t="str">
        <f t="shared" si="88"/>
        <v>Night</v>
      </c>
      <c r="S784" s="28" t="str">
        <f>INDEX(calculate_field!$F$2:$F$4, MATCH(H784, calculate_field!$E$2:$E$4, 1))</f>
        <v>Mild</v>
      </c>
      <c r="T784" s="33">
        <f t="shared" si="89"/>
        <v>41.875</v>
      </c>
      <c r="U784" s="33">
        <f t="shared" si="90"/>
        <v>27.345315948948663</v>
      </c>
      <c r="V784" s="33">
        <f t="shared" si="91"/>
        <v>-0.45037026711938133</v>
      </c>
      <c r="W784" s="12" t="b">
        <f t="shared" si="92"/>
        <v>1</v>
      </c>
    </row>
    <row r="785" spans="1:23">
      <c r="A785" s="26">
        <v>784</v>
      </c>
      <c r="B785" s="27">
        <v>40579</v>
      </c>
      <c r="C785" s="12">
        <v>2</v>
      </c>
      <c r="D785" s="12">
        <v>2</v>
      </c>
      <c r="E785" s="12" t="b">
        <v>0</v>
      </c>
      <c r="F785" s="12">
        <v>6</v>
      </c>
      <c r="G785" s="12">
        <v>2</v>
      </c>
      <c r="H785" s="12">
        <v>0.24</v>
      </c>
      <c r="I785" s="12">
        <v>0.2424</v>
      </c>
      <c r="J785" s="12">
        <v>0.75</v>
      </c>
      <c r="K785" s="12">
        <v>0.16420000000000001</v>
      </c>
      <c r="L785" s="12">
        <v>5</v>
      </c>
      <c r="M785" s="12">
        <v>12</v>
      </c>
      <c r="N785" s="12">
        <v>17</v>
      </c>
      <c r="O785" s="12" t="str">
        <f>VLOOKUP(G785,calculate_field!$B$2:$C$5,2,FALSE)</f>
        <v xml:space="preserve">Mist / cloudy </v>
      </c>
      <c r="P785" s="12" t="str">
        <f t="shared" si="86"/>
        <v>Saturday</v>
      </c>
      <c r="Q785" s="12" t="str">
        <f t="shared" si="87"/>
        <v>Weekend</v>
      </c>
      <c r="R785" s="12" t="str">
        <f t="shared" si="88"/>
        <v>Night</v>
      </c>
      <c r="S785" s="28" t="str">
        <f>INDEX(calculate_field!$F$2:$F$4, MATCH(H785, calculate_field!$E$2:$E$4, 1))</f>
        <v>Mild</v>
      </c>
      <c r="T785" s="33">
        <f t="shared" si="89"/>
        <v>42.958333333333336</v>
      </c>
      <c r="U785" s="33">
        <f t="shared" si="90"/>
        <v>26.869214914934297</v>
      </c>
      <c r="V785" s="33">
        <f t="shared" si="91"/>
        <v>-0.35233646427240356</v>
      </c>
      <c r="W785" s="12" t="b">
        <f t="shared" si="92"/>
        <v>0</v>
      </c>
    </row>
    <row r="786" spans="1:23">
      <c r="A786" s="26">
        <v>785</v>
      </c>
      <c r="B786" s="27">
        <v>40579</v>
      </c>
      <c r="C786" s="12">
        <v>2</v>
      </c>
      <c r="D786" s="12">
        <v>3</v>
      </c>
      <c r="E786" s="12" t="b">
        <v>0</v>
      </c>
      <c r="F786" s="12">
        <v>6</v>
      </c>
      <c r="G786" s="12">
        <v>2</v>
      </c>
      <c r="H786" s="12">
        <v>0.24</v>
      </c>
      <c r="I786" s="12">
        <v>0.2424</v>
      </c>
      <c r="J786" s="12">
        <v>0.75</v>
      </c>
      <c r="K786" s="12">
        <v>0.16420000000000001</v>
      </c>
      <c r="L786" s="12">
        <v>1</v>
      </c>
      <c r="M786" s="12">
        <v>10</v>
      </c>
      <c r="N786" s="12">
        <v>11</v>
      </c>
      <c r="O786" s="12" t="str">
        <f>VLOOKUP(G786,calculate_field!$B$2:$C$5,2,FALSE)</f>
        <v xml:space="preserve">Mist / cloudy </v>
      </c>
      <c r="P786" s="12" t="str">
        <f t="shared" si="86"/>
        <v>Saturday</v>
      </c>
      <c r="Q786" s="12" t="str">
        <f t="shared" si="87"/>
        <v>Weekend</v>
      </c>
      <c r="R786" s="12" t="str">
        <f t="shared" si="88"/>
        <v>Night</v>
      </c>
      <c r="S786" s="28" t="str">
        <f>INDEX(calculate_field!$F$2:$F$4, MATCH(H786, calculate_field!$E$2:$E$4, 1))</f>
        <v>Mild</v>
      </c>
      <c r="T786" s="33">
        <f t="shared" si="89"/>
        <v>43.083333333333336</v>
      </c>
      <c r="U786" s="33">
        <f t="shared" si="90"/>
        <v>26.749915345931338</v>
      </c>
      <c r="V786" s="33">
        <f t="shared" si="91"/>
        <v>-0.68916951510218805</v>
      </c>
      <c r="W786" s="12" t="b">
        <f t="shared" si="92"/>
        <v>0</v>
      </c>
    </row>
    <row r="787" spans="1:23">
      <c r="A787" s="26">
        <v>786</v>
      </c>
      <c r="B787" s="27">
        <v>40579</v>
      </c>
      <c r="C787" s="12">
        <v>2</v>
      </c>
      <c r="D787" s="12">
        <v>4</v>
      </c>
      <c r="E787" s="12" t="b">
        <v>0</v>
      </c>
      <c r="F787" s="12">
        <v>6</v>
      </c>
      <c r="G787" s="12">
        <v>3</v>
      </c>
      <c r="H787" s="12">
        <v>0.22</v>
      </c>
      <c r="I787" s="12">
        <v>0.2273</v>
      </c>
      <c r="J787" s="12">
        <v>0.93</v>
      </c>
      <c r="K787" s="12">
        <v>0.1343</v>
      </c>
      <c r="L787" s="12">
        <v>0</v>
      </c>
      <c r="M787" s="12">
        <v>8</v>
      </c>
      <c r="N787" s="12">
        <v>8</v>
      </c>
      <c r="O787" s="12" t="str">
        <f>VLOOKUP(G787,calculate_field!$B$2:$C$5,2,FALSE)</f>
        <v xml:space="preserve">Light Snow / Rain </v>
      </c>
      <c r="P787" s="12" t="str">
        <f t="shared" si="86"/>
        <v>Saturday</v>
      </c>
      <c r="Q787" s="12" t="str">
        <f t="shared" si="87"/>
        <v>Weekend</v>
      </c>
      <c r="R787" s="12" t="str">
        <f t="shared" si="88"/>
        <v>Night</v>
      </c>
      <c r="S787" s="28" t="str">
        <f>INDEX(calculate_field!$F$2:$F$4, MATCH(H787, calculate_field!$E$2:$E$4, 1))</f>
        <v>Mild</v>
      </c>
      <c r="T787" s="33">
        <f t="shared" si="89"/>
        <v>43.166666666666664</v>
      </c>
      <c r="U787" s="33">
        <f t="shared" si="90"/>
        <v>26.648544566940839</v>
      </c>
      <c r="V787" s="33">
        <f t="shared" si="91"/>
        <v>-0.77838681201757609</v>
      </c>
      <c r="W787" s="12" t="b">
        <f t="shared" si="92"/>
        <v>0</v>
      </c>
    </row>
    <row r="788" spans="1:23">
      <c r="A788" s="26">
        <v>787</v>
      </c>
      <c r="B788" s="27">
        <v>40579</v>
      </c>
      <c r="C788" s="12">
        <v>2</v>
      </c>
      <c r="D788" s="12">
        <v>5</v>
      </c>
      <c r="E788" s="12" t="b">
        <v>0</v>
      </c>
      <c r="F788" s="12">
        <v>6</v>
      </c>
      <c r="G788" s="12">
        <v>3</v>
      </c>
      <c r="H788" s="12">
        <v>0.2</v>
      </c>
      <c r="I788" s="12">
        <v>0.2273</v>
      </c>
      <c r="J788" s="12">
        <v>1</v>
      </c>
      <c r="K788" s="12">
        <v>8.9599999999999999E-2</v>
      </c>
      <c r="L788" s="12">
        <v>0</v>
      </c>
      <c r="M788" s="12">
        <v>9</v>
      </c>
      <c r="N788" s="12">
        <v>9</v>
      </c>
      <c r="O788" s="12" t="str">
        <f>VLOOKUP(G788,calculate_field!$B$2:$C$5,2,FALSE)</f>
        <v xml:space="preserve">Light Snow / Rain </v>
      </c>
      <c r="P788" s="12" t="str">
        <f t="shared" si="86"/>
        <v>Saturday</v>
      </c>
      <c r="Q788" s="12" t="str">
        <f t="shared" si="87"/>
        <v>Weekend</v>
      </c>
      <c r="R788" s="12" t="str">
        <f t="shared" si="88"/>
        <v>Night</v>
      </c>
      <c r="S788" s="28" t="str">
        <f>INDEX(calculate_field!$F$2:$F$4, MATCH(H788, calculate_field!$E$2:$E$4, 1))</f>
        <v>Mild</v>
      </c>
      <c r="T788" s="33">
        <f t="shared" si="89"/>
        <v>42.916666666666664</v>
      </c>
      <c r="U788" s="33">
        <f t="shared" si="90"/>
        <v>27.018378071660564</v>
      </c>
      <c r="V788" s="33">
        <f t="shared" si="91"/>
        <v>-0.93136977121522257</v>
      </c>
      <c r="W788" s="12" t="b">
        <f t="shared" si="92"/>
        <v>0</v>
      </c>
    </row>
    <row r="789" spans="1:23">
      <c r="A789" s="26">
        <v>788</v>
      </c>
      <c r="B789" s="27">
        <v>40579</v>
      </c>
      <c r="C789" s="12">
        <v>2</v>
      </c>
      <c r="D789" s="12">
        <v>6</v>
      </c>
      <c r="E789" s="12" t="b">
        <v>0</v>
      </c>
      <c r="F789" s="12">
        <v>6</v>
      </c>
      <c r="G789" s="12">
        <v>3</v>
      </c>
      <c r="H789" s="12">
        <v>0.2</v>
      </c>
      <c r="I789" s="12">
        <v>0.2576</v>
      </c>
      <c r="J789" s="12">
        <v>1</v>
      </c>
      <c r="K789" s="12">
        <v>0</v>
      </c>
      <c r="L789" s="12">
        <v>0</v>
      </c>
      <c r="M789" s="12">
        <v>4</v>
      </c>
      <c r="N789" s="12">
        <v>4</v>
      </c>
      <c r="O789" s="12" t="str">
        <f>VLOOKUP(G789,calculate_field!$B$2:$C$5,2,FALSE)</f>
        <v xml:space="preserve">Light Snow / Rain </v>
      </c>
      <c r="P789" s="12" t="str">
        <f t="shared" si="86"/>
        <v>Saturday</v>
      </c>
      <c r="Q789" s="12" t="str">
        <f t="shared" si="87"/>
        <v>Weekend</v>
      </c>
      <c r="R789" s="12" t="str">
        <f t="shared" si="88"/>
        <v>Morning</v>
      </c>
      <c r="S789" s="28" t="str">
        <f>INDEX(calculate_field!$F$2:$F$4, MATCH(H789, calculate_field!$E$2:$E$4, 1))</f>
        <v>Mild</v>
      </c>
      <c r="T789" s="33">
        <f t="shared" si="89"/>
        <v>42.583333333333336</v>
      </c>
      <c r="U789" s="33">
        <f t="shared" si="90"/>
        <v>27.500065876073933</v>
      </c>
      <c r="V789" s="33">
        <f t="shared" si="91"/>
        <v>-0.94644251194965645</v>
      </c>
      <c r="W789" s="12" t="b">
        <f t="shared" si="92"/>
        <v>0</v>
      </c>
    </row>
    <row r="790" spans="1:23">
      <c r="A790" s="26">
        <v>789</v>
      </c>
      <c r="B790" s="27">
        <v>40579</v>
      </c>
      <c r="C790" s="12">
        <v>2</v>
      </c>
      <c r="D790" s="12">
        <v>7</v>
      </c>
      <c r="E790" s="12" t="b">
        <v>0</v>
      </c>
      <c r="F790" s="12">
        <v>6</v>
      </c>
      <c r="G790" s="12">
        <v>3</v>
      </c>
      <c r="H790" s="12">
        <v>0.22</v>
      </c>
      <c r="I790" s="12">
        <v>0.2576</v>
      </c>
      <c r="J790" s="12">
        <v>0.93</v>
      </c>
      <c r="K790" s="12">
        <v>8.9599999999999999E-2</v>
      </c>
      <c r="L790" s="12">
        <v>0</v>
      </c>
      <c r="M790" s="12">
        <v>4</v>
      </c>
      <c r="N790" s="12">
        <v>4</v>
      </c>
      <c r="O790" s="12" t="str">
        <f>VLOOKUP(G790,calculate_field!$B$2:$C$5,2,FALSE)</f>
        <v xml:space="preserve">Light Snow / Rain </v>
      </c>
      <c r="P790" s="12" t="str">
        <f t="shared" si="86"/>
        <v>Saturday</v>
      </c>
      <c r="Q790" s="12" t="str">
        <f t="shared" si="87"/>
        <v>Weekend</v>
      </c>
      <c r="R790" s="12" t="str">
        <f t="shared" si="88"/>
        <v>Morning</v>
      </c>
      <c r="S790" s="28" t="str">
        <f>INDEX(calculate_field!$F$2:$F$4, MATCH(H790, calculate_field!$E$2:$E$4, 1))</f>
        <v>Mild</v>
      </c>
      <c r="T790" s="33">
        <f t="shared" si="89"/>
        <v>42.458333333333336</v>
      </c>
      <c r="U790" s="33">
        <f t="shared" si="90"/>
        <v>27.689236908584359</v>
      </c>
      <c r="V790" s="33">
        <f t="shared" si="91"/>
        <v>-0.95708344432218095</v>
      </c>
      <c r="W790" s="12" t="b">
        <f t="shared" si="92"/>
        <v>0</v>
      </c>
    </row>
    <row r="791" spans="1:23">
      <c r="A791" s="26">
        <v>790</v>
      </c>
      <c r="B791" s="27">
        <v>40579</v>
      </c>
      <c r="C791" s="12">
        <v>2</v>
      </c>
      <c r="D791" s="12">
        <v>8</v>
      </c>
      <c r="E791" s="12" t="b">
        <v>0</v>
      </c>
      <c r="F791" s="12">
        <v>6</v>
      </c>
      <c r="G791" s="12">
        <v>3</v>
      </c>
      <c r="H791" s="12">
        <v>0.2</v>
      </c>
      <c r="I791" s="12">
        <v>0.2273</v>
      </c>
      <c r="J791" s="12">
        <v>1</v>
      </c>
      <c r="K791" s="12">
        <v>8.9599999999999999E-2</v>
      </c>
      <c r="L791" s="12">
        <v>0</v>
      </c>
      <c r="M791" s="12">
        <v>10</v>
      </c>
      <c r="N791" s="12">
        <v>10</v>
      </c>
      <c r="O791" s="12" t="str">
        <f>VLOOKUP(G791,calculate_field!$B$2:$C$5,2,FALSE)</f>
        <v xml:space="preserve">Light Snow / Rain </v>
      </c>
      <c r="P791" s="12" t="str">
        <f t="shared" si="86"/>
        <v>Saturday</v>
      </c>
      <c r="Q791" s="12" t="str">
        <f t="shared" si="87"/>
        <v>Weekend</v>
      </c>
      <c r="R791" s="12" t="str">
        <f t="shared" si="88"/>
        <v>Morning</v>
      </c>
      <c r="S791" s="28" t="str">
        <f>INDEX(calculate_field!$F$2:$F$4, MATCH(H791, calculate_field!$E$2:$E$4, 1))</f>
        <v>Mild</v>
      </c>
      <c r="T791" s="33">
        <f t="shared" si="89"/>
        <v>42.625</v>
      </c>
      <c r="U791" s="33">
        <f t="shared" si="90"/>
        <v>27.458763549223658</v>
      </c>
      <c r="V791" s="33">
        <f t="shared" si="91"/>
        <v>-0.88199993607222005</v>
      </c>
      <c r="W791" s="12" t="b">
        <f t="shared" si="92"/>
        <v>0</v>
      </c>
    </row>
    <row r="792" spans="1:23">
      <c r="A792" s="26">
        <v>791</v>
      </c>
      <c r="B792" s="27">
        <v>40579</v>
      </c>
      <c r="C792" s="12">
        <v>2</v>
      </c>
      <c r="D792" s="12">
        <v>9</v>
      </c>
      <c r="E792" s="12" t="b">
        <v>0</v>
      </c>
      <c r="F792" s="12">
        <v>6</v>
      </c>
      <c r="G792" s="12">
        <v>3</v>
      </c>
      <c r="H792" s="12">
        <v>0.2</v>
      </c>
      <c r="I792" s="12">
        <v>0.2273</v>
      </c>
      <c r="J792" s="12">
        <v>1</v>
      </c>
      <c r="K792" s="12">
        <v>8.9599999999999999E-2</v>
      </c>
      <c r="L792" s="12">
        <v>3</v>
      </c>
      <c r="M792" s="12">
        <v>17</v>
      </c>
      <c r="N792" s="12">
        <v>20</v>
      </c>
      <c r="O792" s="12" t="str">
        <f>VLOOKUP(G792,calculate_field!$B$2:$C$5,2,FALSE)</f>
        <v xml:space="preserve">Light Snow / Rain </v>
      </c>
      <c r="P792" s="12" t="str">
        <f t="shared" si="86"/>
        <v>Saturday</v>
      </c>
      <c r="Q792" s="12" t="str">
        <f t="shared" si="87"/>
        <v>Weekend</v>
      </c>
      <c r="R792" s="12" t="str">
        <f t="shared" si="88"/>
        <v>Morning</v>
      </c>
      <c r="S792" s="28" t="str">
        <f>INDEX(calculate_field!$F$2:$F$4, MATCH(H792, calculate_field!$E$2:$E$4, 1))</f>
        <v>Mild</v>
      </c>
      <c r="T792" s="33">
        <f t="shared" si="89"/>
        <v>43.166666666666664</v>
      </c>
      <c r="U792" s="33">
        <f t="shared" si="90"/>
        <v>26.909941054120353</v>
      </c>
      <c r="V792" s="33">
        <f t="shared" si="91"/>
        <v>-0.71726687134619249</v>
      </c>
      <c r="W792" s="12" t="b">
        <f t="shared" si="92"/>
        <v>0</v>
      </c>
    </row>
    <row r="793" spans="1:23">
      <c r="A793" s="26">
        <v>792</v>
      </c>
      <c r="B793" s="27">
        <v>40579</v>
      </c>
      <c r="C793" s="12">
        <v>2</v>
      </c>
      <c r="D793" s="12">
        <v>10</v>
      </c>
      <c r="E793" s="12" t="b">
        <v>0</v>
      </c>
      <c r="F793" s="12">
        <v>6</v>
      </c>
      <c r="G793" s="12">
        <v>3</v>
      </c>
      <c r="H793" s="12">
        <v>0.2</v>
      </c>
      <c r="I793" s="12">
        <v>0.21210000000000001</v>
      </c>
      <c r="J793" s="12">
        <v>1</v>
      </c>
      <c r="K793" s="12">
        <v>0.1343</v>
      </c>
      <c r="L793" s="12">
        <v>3</v>
      </c>
      <c r="M793" s="12">
        <v>31</v>
      </c>
      <c r="N793" s="12">
        <v>34</v>
      </c>
      <c r="O793" s="12" t="str">
        <f>VLOOKUP(G793,calculate_field!$B$2:$C$5,2,FALSE)</f>
        <v xml:space="preserve">Light Snow / Rain </v>
      </c>
      <c r="P793" s="12" t="str">
        <f t="shared" si="86"/>
        <v>Saturday</v>
      </c>
      <c r="Q793" s="12" t="str">
        <f t="shared" si="87"/>
        <v>Weekend</v>
      </c>
      <c r="R793" s="12" t="str">
        <f t="shared" si="88"/>
        <v>Morning</v>
      </c>
      <c r="S793" s="28" t="str">
        <f>INDEX(calculate_field!$F$2:$F$4, MATCH(H793, calculate_field!$E$2:$E$4, 1))</f>
        <v>Mild</v>
      </c>
      <c r="T793" s="33">
        <f t="shared" si="89"/>
        <v>44.208333333333336</v>
      </c>
      <c r="U793" s="33">
        <f t="shared" si="90"/>
        <v>26.454192018701288</v>
      </c>
      <c r="V793" s="33">
        <f t="shared" si="91"/>
        <v>-0.45817600603690423</v>
      </c>
      <c r="W793" s="12" t="b">
        <f t="shared" si="92"/>
        <v>0</v>
      </c>
    </row>
    <row r="794" spans="1:23">
      <c r="A794" s="26">
        <v>793</v>
      </c>
      <c r="B794" s="27">
        <v>40579</v>
      </c>
      <c r="C794" s="12">
        <v>2</v>
      </c>
      <c r="D794" s="12">
        <v>11</v>
      </c>
      <c r="E794" s="12" t="b">
        <v>0</v>
      </c>
      <c r="F794" s="12">
        <v>6</v>
      </c>
      <c r="G794" s="12">
        <v>3</v>
      </c>
      <c r="H794" s="12">
        <v>0.22</v>
      </c>
      <c r="I794" s="12">
        <v>0.2273</v>
      </c>
      <c r="J794" s="12">
        <v>1</v>
      </c>
      <c r="K794" s="12">
        <v>0.1343</v>
      </c>
      <c r="L794" s="12">
        <v>1</v>
      </c>
      <c r="M794" s="12">
        <v>46</v>
      </c>
      <c r="N794" s="12">
        <v>47</v>
      </c>
      <c r="O794" s="12" t="str">
        <f>VLOOKUP(G794,calculate_field!$B$2:$C$5,2,FALSE)</f>
        <v xml:space="preserve">Light Snow / Rain </v>
      </c>
      <c r="P794" s="12" t="str">
        <f t="shared" si="86"/>
        <v>Saturday</v>
      </c>
      <c r="Q794" s="12" t="str">
        <f t="shared" si="87"/>
        <v>Weekend</v>
      </c>
      <c r="R794" s="12" t="str">
        <f t="shared" si="88"/>
        <v>Morning</v>
      </c>
      <c r="S794" s="28" t="str">
        <f>INDEX(calculate_field!$F$2:$F$4, MATCH(H794, calculate_field!$E$2:$E$4, 1))</f>
        <v>Mild</v>
      </c>
      <c r="T794" s="33">
        <f t="shared" si="89"/>
        <v>46.5</v>
      </c>
      <c r="U794" s="33">
        <f t="shared" si="90"/>
        <v>27.875499605583208</v>
      </c>
      <c r="V794" s="33">
        <f t="shared" si="91"/>
        <v>0.11685882540009357</v>
      </c>
      <c r="W794" s="12" t="b">
        <f t="shared" si="92"/>
        <v>0</v>
      </c>
    </row>
    <row r="795" spans="1:23">
      <c r="A795" s="26">
        <v>794</v>
      </c>
      <c r="B795" s="27">
        <v>40579</v>
      </c>
      <c r="C795" s="12">
        <v>2</v>
      </c>
      <c r="D795" s="12">
        <v>12</v>
      </c>
      <c r="E795" s="12" t="b">
        <v>0</v>
      </c>
      <c r="F795" s="12">
        <v>6</v>
      </c>
      <c r="G795" s="12">
        <v>3</v>
      </c>
      <c r="H795" s="12">
        <v>0.22</v>
      </c>
      <c r="I795" s="12">
        <v>0.2273</v>
      </c>
      <c r="J795" s="12">
        <v>1</v>
      </c>
      <c r="K795" s="12">
        <v>0.16420000000000001</v>
      </c>
      <c r="L795" s="12">
        <v>10</v>
      </c>
      <c r="M795" s="12">
        <v>42</v>
      </c>
      <c r="N795" s="12">
        <v>52</v>
      </c>
      <c r="O795" s="12" t="str">
        <f>VLOOKUP(G795,calculate_field!$B$2:$C$5,2,FALSE)</f>
        <v xml:space="preserve">Light Snow / Rain </v>
      </c>
      <c r="P795" s="12" t="str">
        <f t="shared" si="86"/>
        <v>Saturday</v>
      </c>
      <c r="Q795" s="12" t="str">
        <f t="shared" si="87"/>
        <v>Weekend</v>
      </c>
      <c r="R795" s="12" t="str">
        <f t="shared" si="88"/>
        <v>Afternoon</v>
      </c>
      <c r="S795" s="28" t="str">
        <f>INDEX(calculate_field!$F$2:$F$4, MATCH(H795, calculate_field!$E$2:$E$4, 1))</f>
        <v>Mild</v>
      </c>
      <c r="T795" s="33">
        <f t="shared" si="89"/>
        <v>49.416666666666664</v>
      </c>
      <c r="U795" s="33">
        <f t="shared" si="90"/>
        <v>31.372816628227785</v>
      </c>
      <c r="V795" s="33">
        <f t="shared" si="91"/>
        <v>0.52815004431426837</v>
      </c>
      <c r="W795" s="12" t="b">
        <f t="shared" si="92"/>
        <v>0</v>
      </c>
    </row>
    <row r="796" spans="1:23">
      <c r="A796" s="26">
        <v>795</v>
      </c>
      <c r="B796" s="27">
        <v>40579</v>
      </c>
      <c r="C796" s="12">
        <v>2</v>
      </c>
      <c r="D796" s="12">
        <v>13</v>
      </c>
      <c r="E796" s="12" t="b">
        <v>0</v>
      </c>
      <c r="F796" s="12">
        <v>6</v>
      </c>
      <c r="G796" s="12">
        <v>3</v>
      </c>
      <c r="H796" s="12">
        <v>0.22</v>
      </c>
      <c r="I796" s="12">
        <v>0.2273</v>
      </c>
      <c r="J796" s="12">
        <v>1</v>
      </c>
      <c r="K796" s="12">
        <v>0.16420000000000001</v>
      </c>
      <c r="L796" s="12">
        <v>10</v>
      </c>
      <c r="M796" s="12">
        <v>62</v>
      </c>
      <c r="N796" s="12">
        <v>72</v>
      </c>
      <c r="O796" s="12" t="str">
        <f>VLOOKUP(G796,calculate_field!$B$2:$C$5,2,FALSE)</f>
        <v xml:space="preserve">Light Snow / Rain </v>
      </c>
      <c r="P796" s="12" t="str">
        <f t="shared" si="86"/>
        <v>Saturday</v>
      </c>
      <c r="Q796" s="12" t="str">
        <f t="shared" si="87"/>
        <v>Weekend</v>
      </c>
      <c r="R796" s="12" t="str">
        <f t="shared" si="88"/>
        <v>Afternoon</v>
      </c>
      <c r="S796" s="28" t="str">
        <f>INDEX(calculate_field!$F$2:$F$4, MATCH(H796, calculate_field!$E$2:$E$4, 1))</f>
        <v>Mild</v>
      </c>
      <c r="T796" s="33">
        <f t="shared" si="89"/>
        <v>54.5</v>
      </c>
      <c r="U796" s="33">
        <f t="shared" si="90"/>
        <v>40.395867201441803</v>
      </c>
      <c r="V796" s="33">
        <f t="shared" si="91"/>
        <v>1.3698665536980605</v>
      </c>
      <c r="W796" s="12" t="b">
        <f t="shared" si="92"/>
        <v>0</v>
      </c>
    </row>
    <row r="797" spans="1:23">
      <c r="A797" s="26">
        <v>796</v>
      </c>
      <c r="B797" s="27">
        <v>40579</v>
      </c>
      <c r="C797" s="12">
        <v>2</v>
      </c>
      <c r="D797" s="12">
        <v>14</v>
      </c>
      <c r="E797" s="12" t="b">
        <v>0</v>
      </c>
      <c r="F797" s="12">
        <v>6</v>
      </c>
      <c r="G797" s="12">
        <v>3</v>
      </c>
      <c r="H797" s="12">
        <v>0.22</v>
      </c>
      <c r="I797" s="12">
        <v>0.2727</v>
      </c>
      <c r="J797" s="12">
        <v>1</v>
      </c>
      <c r="K797" s="12">
        <v>0</v>
      </c>
      <c r="L797" s="12">
        <v>5</v>
      </c>
      <c r="M797" s="12">
        <v>50</v>
      </c>
      <c r="N797" s="12">
        <v>55</v>
      </c>
      <c r="O797" s="12" t="str">
        <f>VLOOKUP(G797,calculate_field!$B$2:$C$5,2,FALSE)</f>
        <v xml:space="preserve">Light Snow / Rain </v>
      </c>
      <c r="P797" s="12" t="str">
        <f t="shared" si="86"/>
        <v>Saturday</v>
      </c>
      <c r="Q797" s="12" t="str">
        <f t="shared" si="87"/>
        <v>Weekend</v>
      </c>
      <c r="R797" s="12" t="str">
        <f t="shared" si="88"/>
        <v>Afternoon</v>
      </c>
      <c r="S797" s="28" t="str">
        <f>INDEX(calculate_field!$F$2:$F$4, MATCH(H797, calculate_field!$E$2:$E$4, 1))</f>
        <v>Mild</v>
      </c>
      <c r="T797" s="33">
        <f t="shared" si="89"/>
        <v>59.083333333333336</v>
      </c>
      <c r="U797" s="33">
        <f t="shared" si="90"/>
        <v>47.993583508329678</v>
      </c>
      <c r="V797" s="33">
        <f t="shared" si="91"/>
        <v>1.6152200951170479</v>
      </c>
      <c r="W797" s="12" t="b">
        <f t="shared" si="92"/>
        <v>0</v>
      </c>
    </row>
    <row r="798" spans="1:23">
      <c r="A798" s="26">
        <v>797</v>
      </c>
      <c r="B798" s="27">
        <v>40579</v>
      </c>
      <c r="C798" s="12">
        <v>2</v>
      </c>
      <c r="D798" s="12">
        <v>15</v>
      </c>
      <c r="E798" s="12" t="b">
        <v>0</v>
      </c>
      <c r="F798" s="12">
        <v>6</v>
      </c>
      <c r="G798" s="12">
        <v>3</v>
      </c>
      <c r="H798" s="12">
        <v>0.22</v>
      </c>
      <c r="I798" s="12">
        <v>0.2727</v>
      </c>
      <c r="J798" s="12">
        <v>1</v>
      </c>
      <c r="K798" s="12">
        <v>0</v>
      </c>
      <c r="L798" s="12">
        <v>11</v>
      </c>
      <c r="M798" s="12">
        <v>49</v>
      </c>
      <c r="N798" s="12">
        <v>60</v>
      </c>
      <c r="O798" s="12" t="str">
        <f>VLOOKUP(G798,calculate_field!$B$2:$C$5,2,FALSE)</f>
        <v xml:space="preserve">Light Snow / Rain </v>
      </c>
      <c r="P798" s="12" t="str">
        <f t="shared" si="86"/>
        <v>Saturday</v>
      </c>
      <c r="Q798" s="12" t="str">
        <f t="shared" si="87"/>
        <v>Weekend</v>
      </c>
      <c r="R798" s="12" t="str">
        <f t="shared" si="88"/>
        <v>Afternoon</v>
      </c>
      <c r="S798" s="28" t="str">
        <f>INDEX(calculate_field!$F$2:$F$4, MATCH(H798, calculate_field!$E$2:$E$4, 1))</f>
        <v>Mild</v>
      </c>
      <c r="T798" s="33">
        <f t="shared" si="89"/>
        <v>63.5</v>
      </c>
      <c r="U798" s="33">
        <f t="shared" si="90"/>
        <v>52.286834322592732</v>
      </c>
      <c r="V798" s="33">
        <f t="shared" si="91"/>
        <v>1.4690245766430845</v>
      </c>
      <c r="W798" s="12" t="b">
        <f t="shared" si="92"/>
        <v>0</v>
      </c>
    </row>
    <row r="799" spans="1:23">
      <c r="A799" s="26">
        <v>798</v>
      </c>
      <c r="B799" s="27">
        <v>40579</v>
      </c>
      <c r="C799" s="12">
        <v>2</v>
      </c>
      <c r="D799" s="12">
        <v>16</v>
      </c>
      <c r="E799" s="12" t="b">
        <v>0</v>
      </c>
      <c r="F799" s="12">
        <v>6</v>
      </c>
      <c r="G799" s="12">
        <v>3</v>
      </c>
      <c r="H799" s="12">
        <v>0.22</v>
      </c>
      <c r="I799" s="12">
        <v>0.2273</v>
      </c>
      <c r="J799" s="12">
        <v>1</v>
      </c>
      <c r="K799" s="12">
        <v>0.1343</v>
      </c>
      <c r="L799" s="12">
        <v>8</v>
      </c>
      <c r="M799" s="12">
        <v>63</v>
      </c>
      <c r="N799" s="12">
        <v>71</v>
      </c>
      <c r="O799" s="12" t="str">
        <f>VLOOKUP(G799,calculate_field!$B$2:$C$5,2,FALSE)</f>
        <v xml:space="preserve">Light Snow / Rain </v>
      </c>
      <c r="P799" s="12" t="str">
        <f t="shared" si="86"/>
        <v>Saturday</v>
      </c>
      <c r="Q799" s="12" t="str">
        <f t="shared" si="87"/>
        <v>Weekend</v>
      </c>
      <c r="R799" s="12" t="str">
        <f t="shared" si="88"/>
        <v>Afternoon</v>
      </c>
      <c r="S799" s="28" t="str">
        <f>INDEX(calculate_field!$F$2:$F$4, MATCH(H799, calculate_field!$E$2:$E$4, 1))</f>
        <v>Mild</v>
      </c>
      <c r="T799" s="33">
        <f t="shared" si="89"/>
        <v>68.583333333333329</v>
      </c>
      <c r="U799" s="33">
        <f t="shared" si="90"/>
        <v>57.592962029768174</v>
      </c>
      <c r="V799" s="33">
        <f t="shared" si="91"/>
        <v>1.9610166633303543</v>
      </c>
      <c r="W799" s="12" t="b">
        <f t="shared" si="92"/>
        <v>0</v>
      </c>
    </row>
    <row r="800" spans="1:23">
      <c r="A800" s="26">
        <v>799</v>
      </c>
      <c r="B800" s="27">
        <v>40579</v>
      </c>
      <c r="C800" s="12">
        <v>2</v>
      </c>
      <c r="D800" s="12">
        <v>17</v>
      </c>
      <c r="E800" s="12" t="b">
        <v>0</v>
      </c>
      <c r="F800" s="12">
        <v>6</v>
      </c>
      <c r="G800" s="12">
        <v>2</v>
      </c>
      <c r="H800" s="12">
        <v>0.24</v>
      </c>
      <c r="I800" s="12">
        <v>0.21210000000000001</v>
      </c>
      <c r="J800" s="12">
        <v>1</v>
      </c>
      <c r="K800" s="12">
        <v>0.28360000000000002</v>
      </c>
      <c r="L800" s="12">
        <v>14</v>
      </c>
      <c r="M800" s="12">
        <v>64</v>
      </c>
      <c r="N800" s="12">
        <v>78</v>
      </c>
      <c r="O800" s="12" t="str">
        <f>VLOOKUP(G800,calculate_field!$B$2:$C$5,2,FALSE)</f>
        <v xml:space="preserve">Mist / cloudy </v>
      </c>
      <c r="P800" s="12" t="str">
        <f t="shared" si="86"/>
        <v>Saturday</v>
      </c>
      <c r="Q800" s="12" t="str">
        <f t="shared" si="87"/>
        <v>Weekend</v>
      </c>
      <c r="R800" s="12" t="str">
        <f t="shared" si="88"/>
        <v>Evening</v>
      </c>
      <c r="S800" s="28" t="str">
        <f>INDEX(calculate_field!$F$2:$F$4, MATCH(H800, calculate_field!$E$2:$E$4, 1))</f>
        <v>Mild</v>
      </c>
      <c r="T800" s="33">
        <f t="shared" si="89"/>
        <v>72.166666666666671</v>
      </c>
      <c r="U800" s="33">
        <f t="shared" si="90"/>
        <v>60.358830387915084</v>
      </c>
      <c r="V800" s="33">
        <f t="shared" si="91"/>
        <v>1.8048089833453904</v>
      </c>
      <c r="W800" s="12" t="b">
        <f t="shared" si="92"/>
        <v>1</v>
      </c>
    </row>
    <row r="801" spans="1:23">
      <c r="A801" s="26">
        <v>800</v>
      </c>
      <c r="B801" s="27">
        <v>40579</v>
      </c>
      <c r="C801" s="12">
        <v>2</v>
      </c>
      <c r="D801" s="12">
        <v>18</v>
      </c>
      <c r="E801" s="12" t="b">
        <v>0</v>
      </c>
      <c r="F801" s="12">
        <v>6</v>
      </c>
      <c r="G801" s="12">
        <v>2</v>
      </c>
      <c r="H801" s="12">
        <v>0.28000000000000003</v>
      </c>
      <c r="I801" s="12">
        <v>0.2424</v>
      </c>
      <c r="J801" s="12">
        <v>0.93</v>
      </c>
      <c r="K801" s="12">
        <v>0.44779999999999998</v>
      </c>
      <c r="L801" s="12">
        <v>2</v>
      </c>
      <c r="M801" s="12">
        <v>81</v>
      </c>
      <c r="N801" s="12">
        <v>83</v>
      </c>
      <c r="O801" s="12" t="str">
        <f>VLOOKUP(G801,calculate_field!$B$2:$C$5,2,FALSE)</f>
        <v xml:space="preserve">Mist / cloudy </v>
      </c>
      <c r="P801" s="12" t="str">
        <f t="shared" si="86"/>
        <v>Saturday</v>
      </c>
      <c r="Q801" s="12" t="str">
        <f t="shared" si="87"/>
        <v>Weekend</v>
      </c>
      <c r="R801" s="12" t="str">
        <f t="shared" si="88"/>
        <v>Evening</v>
      </c>
      <c r="S801" s="28" t="str">
        <f>INDEX(calculate_field!$F$2:$F$4, MATCH(H801, calculate_field!$E$2:$E$4, 1))</f>
        <v>Mild</v>
      </c>
      <c r="T801" s="33">
        <f t="shared" si="89"/>
        <v>73.958333333333329</v>
      </c>
      <c r="U801" s="33">
        <f t="shared" si="90"/>
        <v>61.172229538138197</v>
      </c>
      <c r="V801" s="33">
        <f t="shared" si="91"/>
        <v>1.2481034816576657</v>
      </c>
      <c r="W801" s="12" t="b">
        <f t="shared" si="92"/>
        <v>0</v>
      </c>
    </row>
    <row r="802" spans="1:23">
      <c r="A802" s="26">
        <v>801</v>
      </c>
      <c r="B802" s="27">
        <v>40579</v>
      </c>
      <c r="C802" s="12">
        <v>2</v>
      </c>
      <c r="D802" s="12">
        <v>19</v>
      </c>
      <c r="E802" s="12" t="b">
        <v>0</v>
      </c>
      <c r="F802" s="12">
        <v>6</v>
      </c>
      <c r="G802" s="12">
        <v>2</v>
      </c>
      <c r="H802" s="12">
        <v>0.28000000000000003</v>
      </c>
      <c r="I802" s="12">
        <v>0.2424</v>
      </c>
      <c r="J802" s="12">
        <v>0.93</v>
      </c>
      <c r="K802" s="12">
        <v>0.44779999999999998</v>
      </c>
      <c r="L802" s="12">
        <v>6</v>
      </c>
      <c r="M802" s="12">
        <v>78</v>
      </c>
      <c r="N802" s="12">
        <v>84</v>
      </c>
      <c r="O802" s="12" t="str">
        <f>VLOOKUP(G802,calculate_field!$B$2:$C$5,2,FALSE)</f>
        <v xml:space="preserve">Mist / cloudy </v>
      </c>
      <c r="P802" s="12" t="str">
        <f t="shared" si="86"/>
        <v>Saturday</v>
      </c>
      <c r="Q802" s="12" t="str">
        <f t="shared" si="87"/>
        <v>Weekend</v>
      </c>
      <c r="R802" s="12" t="str">
        <f t="shared" si="88"/>
        <v>Evening</v>
      </c>
      <c r="S802" s="28" t="str">
        <f>INDEX(calculate_field!$F$2:$F$4, MATCH(H802, calculate_field!$E$2:$E$4, 1))</f>
        <v>Mild</v>
      </c>
      <c r="T802" s="33">
        <f t="shared" si="89"/>
        <v>73.75</v>
      </c>
      <c r="U802" s="33">
        <f t="shared" si="90"/>
        <v>61.148607293323074</v>
      </c>
      <c r="V802" s="33">
        <f t="shared" si="91"/>
        <v>0.30706825154249695</v>
      </c>
      <c r="W802" s="12" t="b">
        <f t="shared" si="92"/>
        <v>0</v>
      </c>
    </row>
    <row r="803" spans="1:23">
      <c r="A803" s="26">
        <v>802</v>
      </c>
      <c r="B803" s="27">
        <v>40579</v>
      </c>
      <c r="C803" s="12">
        <v>2</v>
      </c>
      <c r="D803" s="12">
        <v>20</v>
      </c>
      <c r="E803" s="12" t="b">
        <v>0</v>
      </c>
      <c r="F803" s="12">
        <v>6</v>
      </c>
      <c r="G803" s="12">
        <v>1</v>
      </c>
      <c r="H803" s="12">
        <v>0.3</v>
      </c>
      <c r="I803" s="12">
        <v>0.28789999999999999</v>
      </c>
      <c r="J803" s="12">
        <v>0.87</v>
      </c>
      <c r="K803" s="12">
        <v>0.25369999999999998</v>
      </c>
      <c r="L803" s="12">
        <v>5</v>
      </c>
      <c r="M803" s="12">
        <v>64</v>
      </c>
      <c r="N803" s="12">
        <v>69</v>
      </c>
      <c r="O803" s="12" t="str">
        <f>VLOOKUP(G803,calculate_field!$B$2:$C$5,2,FALSE)</f>
        <v>Clear/Partly Cloudy</v>
      </c>
      <c r="P803" s="12" t="str">
        <f t="shared" si="86"/>
        <v>Saturday</v>
      </c>
      <c r="Q803" s="12" t="str">
        <f t="shared" si="87"/>
        <v>Weekend</v>
      </c>
      <c r="R803" s="12" t="str">
        <f t="shared" si="88"/>
        <v>Evening</v>
      </c>
      <c r="S803" s="28" t="str">
        <f>INDEX(calculate_field!$F$2:$F$4, MATCH(H803, calculate_field!$E$2:$E$4, 1))</f>
        <v>Warm</v>
      </c>
      <c r="T803" s="33">
        <f t="shared" si="89"/>
        <v>71.125</v>
      </c>
      <c r="U803" s="33">
        <f t="shared" si="90"/>
        <v>62.03527222475936</v>
      </c>
      <c r="V803" s="33">
        <f t="shared" si="91"/>
        <v>-0.65232639720810659</v>
      </c>
      <c r="W803" s="12" t="b">
        <f t="shared" si="92"/>
        <v>0</v>
      </c>
    </row>
    <row r="804" spans="1:23">
      <c r="A804" s="26">
        <v>803</v>
      </c>
      <c r="B804" s="27">
        <v>40579</v>
      </c>
      <c r="C804" s="12">
        <v>2</v>
      </c>
      <c r="D804" s="12">
        <v>21</v>
      </c>
      <c r="E804" s="12" t="b">
        <v>0</v>
      </c>
      <c r="F804" s="12">
        <v>6</v>
      </c>
      <c r="G804" s="12">
        <v>1</v>
      </c>
      <c r="H804" s="12">
        <v>0.26</v>
      </c>
      <c r="I804" s="12">
        <v>0.2576</v>
      </c>
      <c r="J804" s="12">
        <v>1</v>
      </c>
      <c r="K804" s="12">
        <v>0.19400000000000001</v>
      </c>
      <c r="L804" s="12">
        <v>3</v>
      </c>
      <c r="M804" s="12">
        <v>53</v>
      </c>
      <c r="N804" s="12">
        <v>56</v>
      </c>
      <c r="O804" s="12" t="str">
        <f>VLOOKUP(G804,calculate_field!$B$2:$C$5,2,FALSE)</f>
        <v>Clear/Partly Cloudy</v>
      </c>
      <c r="P804" s="12" t="str">
        <f t="shared" si="86"/>
        <v>Saturday</v>
      </c>
      <c r="Q804" s="12" t="str">
        <f t="shared" si="87"/>
        <v>Weekend</v>
      </c>
      <c r="R804" s="12" t="str">
        <f t="shared" si="88"/>
        <v>Night</v>
      </c>
      <c r="S804" s="28" t="str">
        <f>INDEX(calculate_field!$F$2:$F$4, MATCH(H804, calculate_field!$E$2:$E$4, 1))</f>
        <v>Mild</v>
      </c>
      <c r="T804" s="33">
        <f t="shared" si="89"/>
        <v>69.333333333333329</v>
      </c>
      <c r="U804" s="33">
        <f t="shared" si="90"/>
        <v>62.716523491346202</v>
      </c>
      <c r="V804" s="33">
        <f t="shared" si="91"/>
        <v>-0.63781233174655283</v>
      </c>
      <c r="W804" s="12" t="b">
        <f t="shared" si="92"/>
        <v>0</v>
      </c>
    </row>
    <row r="805" spans="1:23">
      <c r="A805" s="26">
        <v>804</v>
      </c>
      <c r="B805" s="27">
        <v>40579</v>
      </c>
      <c r="C805" s="12">
        <v>2</v>
      </c>
      <c r="D805" s="12">
        <v>22</v>
      </c>
      <c r="E805" s="12" t="b">
        <v>0</v>
      </c>
      <c r="F805" s="12">
        <v>6</v>
      </c>
      <c r="G805" s="12">
        <v>1</v>
      </c>
      <c r="H805" s="12">
        <v>0.26</v>
      </c>
      <c r="I805" s="12">
        <v>0.2727</v>
      </c>
      <c r="J805" s="12">
        <v>0.93</v>
      </c>
      <c r="K805" s="12">
        <v>0.1343</v>
      </c>
      <c r="L805" s="12">
        <v>2</v>
      </c>
      <c r="M805" s="12">
        <v>43</v>
      </c>
      <c r="N805" s="12">
        <v>45</v>
      </c>
      <c r="O805" s="12" t="str">
        <f>VLOOKUP(G805,calculate_field!$B$2:$C$5,2,FALSE)</f>
        <v>Clear/Partly Cloudy</v>
      </c>
      <c r="P805" s="12" t="str">
        <f t="shared" si="86"/>
        <v>Saturday</v>
      </c>
      <c r="Q805" s="12" t="str">
        <f t="shared" si="87"/>
        <v>Weekend</v>
      </c>
      <c r="R805" s="12" t="str">
        <f t="shared" si="88"/>
        <v>Night</v>
      </c>
      <c r="S805" s="28" t="str">
        <f>INDEX(calculate_field!$F$2:$F$4, MATCH(H805, calculate_field!$E$2:$E$4, 1))</f>
        <v>Mild</v>
      </c>
      <c r="T805" s="33">
        <f t="shared" si="89"/>
        <v>68.125</v>
      </c>
      <c r="U805" s="33">
        <f t="shared" si="90"/>
        <v>63.261577390332619</v>
      </c>
      <c r="V805" s="33">
        <f t="shared" si="91"/>
        <v>-0.66702326890902908</v>
      </c>
      <c r="W805" s="12" t="b">
        <f t="shared" si="92"/>
        <v>0</v>
      </c>
    </row>
    <row r="806" spans="1:23">
      <c r="A806" s="26">
        <v>805</v>
      </c>
      <c r="B806" s="27">
        <v>40579</v>
      </c>
      <c r="C806" s="12">
        <v>2</v>
      </c>
      <c r="D806" s="12">
        <v>23</v>
      </c>
      <c r="E806" s="12" t="b">
        <v>0</v>
      </c>
      <c r="F806" s="12">
        <v>6</v>
      </c>
      <c r="G806" s="12">
        <v>1</v>
      </c>
      <c r="H806" s="12">
        <v>0.26</v>
      </c>
      <c r="I806" s="12">
        <v>0.2576</v>
      </c>
      <c r="J806" s="12">
        <v>0.93</v>
      </c>
      <c r="K806" s="12">
        <v>0.22389999999999999</v>
      </c>
      <c r="L806" s="12">
        <v>7</v>
      </c>
      <c r="M806" s="12">
        <v>52</v>
      </c>
      <c r="N806" s="12">
        <v>59</v>
      </c>
      <c r="O806" s="12" t="str">
        <f>VLOOKUP(G806,calculate_field!$B$2:$C$5,2,FALSE)</f>
        <v>Clear/Partly Cloudy</v>
      </c>
      <c r="P806" s="12" t="str">
        <f t="shared" si="86"/>
        <v>Saturday</v>
      </c>
      <c r="Q806" s="12" t="str">
        <f t="shared" si="87"/>
        <v>Weekend</v>
      </c>
      <c r="R806" s="12" t="str">
        <f t="shared" si="88"/>
        <v>Night</v>
      </c>
      <c r="S806" s="28" t="str">
        <f>INDEX(calculate_field!$F$2:$F$4, MATCH(H806, calculate_field!$E$2:$E$4, 1))</f>
        <v>Mild</v>
      </c>
      <c r="T806" s="33">
        <f t="shared" si="89"/>
        <v>68.833333333333329</v>
      </c>
      <c r="U806" s="33">
        <f t="shared" si="90"/>
        <v>63.086322273302748</v>
      </c>
      <c r="V806" s="33">
        <f t="shared" si="91"/>
        <v>-0.16407747171293011</v>
      </c>
      <c r="W806" s="12" t="b">
        <f t="shared" si="92"/>
        <v>0</v>
      </c>
    </row>
    <row r="807" spans="1:23">
      <c r="A807" s="26">
        <v>806</v>
      </c>
      <c r="B807" s="27">
        <v>40580</v>
      </c>
      <c r="C807" s="12">
        <v>2</v>
      </c>
      <c r="D807" s="12">
        <v>0</v>
      </c>
      <c r="E807" s="12" t="b">
        <v>0</v>
      </c>
      <c r="F807" s="12">
        <v>0</v>
      </c>
      <c r="G807" s="12">
        <v>1</v>
      </c>
      <c r="H807" s="12">
        <v>0.26</v>
      </c>
      <c r="I807" s="12">
        <v>0.2576</v>
      </c>
      <c r="J807" s="12">
        <v>0.7</v>
      </c>
      <c r="K807" s="12">
        <v>0.19400000000000001</v>
      </c>
      <c r="L807" s="12">
        <v>2</v>
      </c>
      <c r="M807" s="12">
        <v>37</v>
      </c>
      <c r="N807" s="12">
        <v>39</v>
      </c>
      <c r="O807" s="12" t="str">
        <f>VLOOKUP(G807,calculate_field!$B$2:$C$5,2,FALSE)</f>
        <v>Clear/Partly Cloudy</v>
      </c>
      <c r="P807" s="12" t="str">
        <f t="shared" si="86"/>
        <v>Sunday</v>
      </c>
      <c r="Q807" s="12" t="str">
        <f t="shared" si="87"/>
        <v>Weekend</v>
      </c>
      <c r="R807" s="12" t="str">
        <f t="shared" si="88"/>
        <v>Night</v>
      </c>
      <c r="S807" s="28" t="str">
        <f>INDEX(calculate_field!$F$2:$F$4, MATCH(H807, calculate_field!$E$2:$E$4, 1))</f>
        <v>Mild</v>
      </c>
      <c r="T807" s="33">
        <f t="shared" si="89"/>
        <v>67.625</v>
      </c>
      <c r="U807" s="33">
        <f t="shared" si="90"/>
        <v>63.558813913468811</v>
      </c>
      <c r="V807" s="33">
        <f t="shared" si="91"/>
        <v>-0.64027329586249893</v>
      </c>
      <c r="W807" s="12" t="b">
        <f t="shared" si="92"/>
        <v>0</v>
      </c>
    </row>
    <row r="808" spans="1:23">
      <c r="A808" s="26">
        <v>807</v>
      </c>
      <c r="B808" s="27">
        <v>40580</v>
      </c>
      <c r="C808" s="12">
        <v>2</v>
      </c>
      <c r="D808" s="12">
        <v>1</v>
      </c>
      <c r="E808" s="12" t="b">
        <v>0</v>
      </c>
      <c r="F808" s="12">
        <v>0</v>
      </c>
      <c r="G808" s="12">
        <v>1</v>
      </c>
      <c r="H808" s="12">
        <v>0.26</v>
      </c>
      <c r="I808" s="12">
        <v>0.2273</v>
      </c>
      <c r="J808" s="12">
        <v>0.65</v>
      </c>
      <c r="K808" s="12">
        <v>0.41789999999999999</v>
      </c>
      <c r="L808" s="12">
        <v>4</v>
      </c>
      <c r="M808" s="12">
        <v>40</v>
      </c>
      <c r="N808" s="12">
        <v>44</v>
      </c>
      <c r="O808" s="12" t="str">
        <f>VLOOKUP(G808,calculate_field!$B$2:$C$5,2,FALSE)</f>
        <v>Clear/Partly Cloudy</v>
      </c>
      <c r="P808" s="12" t="str">
        <f t="shared" si="86"/>
        <v>Sunday</v>
      </c>
      <c r="Q808" s="12" t="str">
        <f t="shared" si="87"/>
        <v>Weekend</v>
      </c>
      <c r="R808" s="12" t="str">
        <f t="shared" si="88"/>
        <v>Night</v>
      </c>
      <c r="S808" s="28" t="str">
        <f>INDEX(calculate_field!$F$2:$F$4, MATCH(H808, calculate_field!$E$2:$E$4, 1))</f>
        <v>Mild</v>
      </c>
      <c r="T808" s="33">
        <f t="shared" si="89"/>
        <v>66.625</v>
      </c>
      <c r="U808" s="33">
        <f t="shared" si="90"/>
        <v>64.214188124757442</v>
      </c>
      <c r="V808" s="33">
        <f t="shared" si="91"/>
        <v>-0.86629084289193992</v>
      </c>
      <c r="W808" s="12" t="b">
        <f t="shared" si="92"/>
        <v>0</v>
      </c>
    </row>
    <row r="809" spans="1:23">
      <c r="A809" s="26">
        <v>808</v>
      </c>
      <c r="B809" s="27">
        <v>40580</v>
      </c>
      <c r="C809" s="12">
        <v>2</v>
      </c>
      <c r="D809" s="12">
        <v>2</v>
      </c>
      <c r="E809" s="12" t="b">
        <v>0</v>
      </c>
      <c r="F809" s="12">
        <v>0</v>
      </c>
      <c r="G809" s="12">
        <v>1</v>
      </c>
      <c r="H809" s="12">
        <v>0.26</v>
      </c>
      <c r="I809" s="12">
        <v>0.2273</v>
      </c>
      <c r="J809" s="12">
        <v>0.6</v>
      </c>
      <c r="K809" s="12">
        <v>0.32840000000000003</v>
      </c>
      <c r="L809" s="12">
        <v>0</v>
      </c>
      <c r="M809" s="12">
        <v>20</v>
      </c>
      <c r="N809" s="12">
        <v>20</v>
      </c>
      <c r="O809" s="12" t="str">
        <f>VLOOKUP(G809,calculate_field!$B$2:$C$5,2,FALSE)</f>
        <v>Clear/Partly Cloudy</v>
      </c>
      <c r="P809" s="12" t="str">
        <f t="shared" si="86"/>
        <v>Sunday</v>
      </c>
      <c r="Q809" s="12" t="str">
        <f t="shared" si="87"/>
        <v>Weekend</v>
      </c>
      <c r="R809" s="12" t="str">
        <f t="shared" si="88"/>
        <v>Night</v>
      </c>
      <c r="S809" s="28" t="str">
        <f>INDEX(calculate_field!$F$2:$F$4, MATCH(H809, calculate_field!$E$2:$E$4, 1))</f>
        <v>Mild</v>
      </c>
      <c r="T809" s="33">
        <f t="shared" si="89"/>
        <v>65</v>
      </c>
      <c r="U809" s="33">
        <f t="shared" si="90"/>
        <v>65.295981632802679</v>
      </c>
      <c r="V809" s="33">
        <f t="shared" si="91"/>
        <v>-1.0138102503368633</v>
      </c>
      <c r="W809" s="12" t="b">
        <f t="shared" si="92"/>
        <v>1</v>
      </c>
    </row>
    <row r="810" spans="1:23">
      <c r="A810" s="26">
        <v>809</v>
      </c>
      <c r="B810" s="27">
        <v>40580</v>
      </c>
      <c r="C810" s="12">
        <v>2</v>
      </c>
      <c r="D810" s="12">
        <v>3</v>
      </c>
      <c r="E810" s="12" t="b">
        <v>0</v>
      </c>
      <c r="F810" s="12">
        <v>0</v>
      </c>
      <c r="G810" s="12">
        <v>1</v>
      </c>
      <c r="H810" s="12">
        <v>0.26</v>
      </c>
      <c r="I810" s="12">
        <v>0.28789999999999999</v>
      </c>
      <c r="J810" s="12">
        <v>0.6</v>
      </c>
      <c r="K810" s="12">
        <v>8.9599999999999999E-2</v>
      </c>
      <c r="L810" s="12">
        <v>3</v>
      </c>
      <c r="M810" s="12">
        <v>10</v>
      </c>
      <c r="N810" s="12">
        <v>13</v>
      </c>
      <c r="O810" s="12" t="str">
        <f>VLOOKUP(G810,calculate_field!$B$2:$C$5,2,FALSE)</f>
        <v>Clear/Partly Cloudy</v>
      </c>
      <c r="P810" s="12" t="str">
        <f t="shared" si="86"/>
        <v>Sunday</v>
      </c>
      <c r="Q810" s="12" t="str">
        <f t="shared" si="87"/>
        <v>Weekend</v>
      </c>
      <c r="R810" s="12" t="str">
        <f t="shared" si="88"/>
        <v>Night</v>
      </c>
      <c r="S810" s="28" t="str">
        <f>INDEX(calculate_field!$F$2:$F$4, MATCH(H810, calculate_field!$E$2:$E$4, 1))</f>
        <v>Mild</v>
      </c>
      <c r="T810" s="33">
        <f t="shared" si="89"/>
        <v>64.291666666666671</v>
      </c>
      <c r="U810" s="33">
        <f t="shared" si="90"/>
        <v>65.894830018662361</v>
      </c>
      <c r="V810" s="33">
        <f t="shared" si="91"/>
        <v>-1.0431250631307256</v>
      </c>
      <c r="W810" s="12" t="b">
        <f t="shared" si="92"/>
        <v>1</v>
      </c>
    </row>
    <row r="811" spans="1:23">
      <c r="A811" s="26">
        <v>810</v>
      </c>
      <c r="B811" s="27">
        <v>40580</v>
      </c>
      <c r="C811" s="12">
        <v>2</v>
      </c>
      <c r="D811" s="12">
        <v>4</v>
      </c>
      <c r="E811" s="12" t="b">
        <v>0</v>
      </c>
      <c r="F811" s="12">
        <v>0</v>
      </c>
      <c r="G811" s="12">
        <v>1</v>
      </c>
      <c r="H811" s="12">
        <v>0.26</v>
      </c>
      <c r="I811" s="12">
        <v>0.2273</v>
      </c>
      <c r="J811" s="12">
        <v>0.6</v>
      </c>
      <c r="K811" s="12">
        <v>0.35820000000000002</v>
      </c>
      <c r="L811" s="12">
        <v>0</v>
      </c>
      <c r="M811" s="12">
        <v>2</v>
      </c>
      <c r="N811" s="12">
        <v>2</v>
      </c>
      <c r="O811" s="12" t="str">
        <f>VLOOKUP(G811,calculate_field!$B$2:$C$5,2,FALSE)</f>
        <v>Clear/Partly Cloudy</v>
      </c>
      <c r="P811" s="12" t="str">
        <f t="shared" si="86"/>
        <v>Sunday</v>
      </c>
      <c r="Q811" s="12" t="str">
        <f t="shared" si="87"/>
        <v>Weekend</v>
      </c>
      <c r="R811" s="12" t="str">
        <f t="shared" si="88"/>
        <v>Night</v>
      </c>
      <c r="S811" s="28" t="str">
        <f>INDEX(calculate_field!$F$2:$F$4, MATCH(H811, calculate_field!$E$2:$E$4, 1))</f>
        <v>Mild</v>
      </c>
      <c r="T811" s="33">
        <f t="shared" si="89"/>
        <v>63.791666666666664</v>
      </c>
      <c r="U811" s="33">
        <f t="shared" si="90"/>
        <v>66.344934714858525</v>
      </c>
      <c r="V811" s="33">
        <f t="shared" si="91"/>
        <v>-1.0723791253235802</v>
      </c>
      <c r="W811" s="12" t="b">
        <f t="shared" si="92"/>
        <v>0</v>
      </c>
    </row>
    <row r="812" spans="1:23">
      <c r="A812" s="26">
        <v>811</v>
      </c>
      <c r="B812" s="27">
        <v>40580</v>
      </c>
      <c r="C812" s="12">
        <v>2</v>
      </c>
      <c r="D812" s="12">
        <v>5</v>
      </c>
      <c r="E812" s="12" t="b">
        <v>0</v>
      </c>
      <c r="F812" s="12">
        <v>0</v>
      </c>
      <c r="G812" s="12">
        <v>1</v>
      </c>
      <c r="H812" s="12">
        <v>0.26</v>
      </c>
      <c r="I812" s="12">
        <v>0.2576</v>
      </c>
      <c r="J812" s="12">
        <v>0.6</v>
      </c>
      <c r="K812" s="12">
        <v>0.22389999999999999</v>
      </c>
      <c r="L812" s="12">
        <v>0</v>
      </c>
      <c r="M812" s="12">
        <v>1</v>
      </c>
      <c r="N812" s="12">
        <v>1</v>
      </c>
      <c r="O812" s="12" t="str">
        <f>VLOOKUP(G812,calculate_field!$B$2:$C$5,2,FALSE)</f>
        <v>Clear/Partly Cloudy</v>
      </c>
      <c r="P812" s="12" t="str">
        <f t="shared" si="86"/>
        <v>Sunday</v>
      </c>
      <c r="Q812" s="12" t="str">
        <f t="shared" si="87"/>
        <v>Weekend</v>
      </c>
      <c r="R812" s="12" t="str">
        <f t="shared" si="88"/>
        <v>Night</v>
      </c>
      <c r="S812" s="28" t="str">
        <f>INDEX(calculate_field!$F$2:$F$4, MATCH(H812, calculate_field!$E$2:$E$4, 1))</f>
        <v>Mild</v>
      </c>
      <c r="T812" s="33">
        <f t="shared" si="89"/>
        <v>63.791666666666664</v>
      </c>
      <c r="U812" s="33">
        <f t="shared" si="90"/>
        <v>66.344934714858525</v>
      </c>
      <c r="V812" s="33">
        <f t="shared" si="91"/>
        <v>-1.0570685369786865</v>
      </c>
      <c r="W812" s="12" t="b">
        <f t="shared" si="92"/>
        <v>0</v>
      </c>
    </row>
    <row r="813" spans="1:23">
      <c r="A813" s="26">
        <v>812</v>
      </c>
      <c r="B813" s="27">
        <v>40580</v>
      </c>
      <c r="C813" s="12">
        <v>2</v>
      </c>
      <c r="D813" s="12">
        <v>6</v>
      </c>
      <c r="E813" s="12" t="b">
        <v>0</v>
      </c>
      <c r="F813" s="12">
        <v>0</v>
      </c>
      <c r="G813" s="12">
        <v>1</v>
      </c>
      <c r="H813" s="12">
        <v>0.26</v>
      </c>
      <c r="I813" s="12">
        <v>0.2576</v>
      </c>
      <c r="J813" s="12">
        <v>0.6</v>
      </c>
      <c r="K813" s="12">
        <v>0.22389999999999999</v>
      </c>
      <c r="L813" s="12">
        <v>0</v>
      </c>
      <c r="M813" s="12">
        <v>1</v>
      </c>
      <c r="N813" s="12">
        <v>1</v>
      </c>
      <c r="O813" s="12" t="str">
        <f>VLOOKUP(G813,calculate_field!$B$2:$C$5,2,FALSE)</f>
        <v>Clear/Partly Cloudy</v>
      </c>
      <c r="P813" s="12" t="str">
        <f t="shared" si="86"/>
        <v>Sunday</v>
      </c>
      <c r="Q813" s="12" t="str">
        <f t="shared" si="87"/>
        <v>Weekend</v>
      </c>
      <c r="R813" s="12" t="str">
        <f t="shared" si="88"/>
        <v>Morning</v>
      </c>
      <c r="S813" s="28" t="str">
        <f>INDEX(calculate_field!$F$2:$F$4, MATCH(H813, calculate_field!$E$2:$E$4, 1))</f>
        <v>Mild</v>
      </c>
      <c r="T813" s="33">
        <f t="shared" si="89"/>
        <v>64.166666666666671</v>
      </c>
      <c r="U813" s="33">
        <f t="shared" si="90"/>
        <v>65.999121645450813</v>
      </c>
      <c r="V813" s="33">
        <f t="shared" si="91"/>
        <v>-0.93587597463258498</v>
      </c>
      <c r="W813" s="12" t="b">
        <f t="shared" si="92"/>
        <v>0</v>
      </c>
    </row>
    <row r="814" spans="1:23">
      <c r="A814" s="26">
        <v>813</v>
      </c>
      <c r="B814" s="27">
        <v>40580</v>
      </c>
      <c r="C814" s="12">
        <v>2</v>
      </c>
      <c r="D814" s="12">
        <v>7</v>
      </c>
      <c r="E814" s="12" t="b">
        <v>0</v>
      </c>
      <c r="F814" s="12">
        <v>0</v>
      </c>
      <c r="G814" s="12">
        <v>1</v>
      </c>
      <c r="H814" s="12">
        <v>0.24</v>
      </c>
      <c r="I814" s="12">
        <v>0.2424</v>
      </c>
      <c r="J814" s="12">
        <v>0.65</v>
      </c>
      <c r="K814" s="12">
        <v>0.16420000000000001</v>
      </c>
      <c r="L814" s="12">
        <v>0</v>
      </c>
      <c r="M814" s="12">
        <v>8</v>
      </c>
      <c r="N814" s="12">
        <v>8</v>
      </c>
      <c r="O814" s="12" t="str">
        <f>VLOOKUP(G814,calculate_field!$B$2:$C$5,2,FALSE)</f>
        <v>Clear/Partly Cloudy</v>
      </c>
      <c r="P814" s="12" t="str">
        <f t="shared" si="86"/>
        <v>Sunday</v>
      </c>
      <c r="Q814" s="12" t="str">
        <f t="shared" si="87"/>
        <v>Weekend</v>
      </c>
      <c r="R814" s="12" t="str">
        <f t="shared" si="88"/>
        <v>Morning</v>
      </c>
      <c r="S814" s="28" t="str">
        <f>INDEX(calculate_field!$F$2:$F$4, MATCH(H814, calculate_field!$E$2:$E$4, 1))</f>
        <v>Mild</v>
      </c>
      <c r="T814" s="33">
        <f t="shared" si="89"/>
        <v>65.375</v>
      </c>
      <c r="U814" s="33">
        <f t="shared" si="90"/>
        <v>65.051025123092543</v>
      </c>
      <c r="V814" s="33">
        <f t="shared" si="91"/>
        <v>-0.62105971483226852</v>
      </c>
      <c r="W814" s="12" t="b">
        <f t="shared" si="92"/>
        <v>0</v>
      </c>
    </row>
    <row r="815" spans="1:23">
      <c r="A815" s="26">
        <v>814</v>
      </c>
      <c r="B815" s="27">
        <v>40580</v>
      </c>
      <c r="C815" s="12">
        <v>2</v>
      </c>
      <c r="D815" s="12">
        <v>8</v>
      </c>
      <c r="E815" s="12" t="b">
        <v>0</v>
      </c>
      <c r="F815" s="12">
        <v>0</v>
      </c>
      <c r="G815" s="12">
        <v>1</v>
      </c>
      <c r="H815" s="12">
        <v>0.24</v>
      </c>
      <c r="I815" s="12">
        <v>0.2576</v>
      </c>
      <c r="J815" s="12">
        <v>0.65</v>
      </c>
      <c r="K815" s="12">
        <v>0.1045</v>
      </c>
      <c r="L815" s="12">
        <v>2</v>
      </c>
      <c r="M815" s="12">
        <v>21</v>
      </c>
      <c r="N815" s="12">
        <v>23</v>
      </c>
      <c r="O815" s="12" t="str">
        <f>VLOOKUP(G815,calculate_field!$B$2:$C$5,2,FALSE)</f>
        <v>Clear/Partly Cloudy</v>
      </c>
      <c r="P815" s="12" t="str">
        <f t="shared" si="86"/>
        <v>Sunday</v>
      </c>
      <c r="Q815" s="12" t="str">
        <f t="shared" si="87"/>
        <v>Weekend</v>
      </c>
      <c r="R815" s="12" t="str">
        <f t="shared" si="88"/>
        <v>Morning</v>
      </c>
      <c r="S815" s="28" t="str">
        <f>INDEX(calculate_field!$F$2:$F$4, MATCH(H815, calculate_field!$E$2:$E$4, 1))</f>
        <v>Mild</v>
      </c>
      <c r="T815" s="33">
        <f t="shared" si="89"/>
        <v>69</v>
      </c>
      <c r="U815" s="33">
        <f t="shared" si="90"/>
        <v>64.132336007190091</v>
      </c>
      <c r="V815" s="33">
        <f t="shared" si="91"/>
        <v>0.36508353174217401</v>
      </c>
      <c r="W815" s="12" t="b">
        <f t="shared" si="92"/>
        <v>0</v>
      </c>
    </row>
    <row r="816" spans="1:23">
      <c r="A816" s="26">
        <v>815</v>
      </c>
      <c r="B816" s="27">
        <v>40580</v>
      </c>
      <c r="C816" s="12">
        <v>2</v>
      </c>
      <c r="D816" s="12">
        <v>9</v>
      </c>
      <c r="E816" s="12" t="b">
        <v>0</v>
      </c>
      <c r="F816" s="12">
        <v>0</v>
      </c>
      <c r="G816" s="12">
        <v>1</v>
      </c>
      <c r="H816" s="12">
        <v>0.28000000000000003</v>
      </c>
      <c r="I816" s="12">
        <v>0.28789999999999999</v>
      </c>
      <c r="J816" s="12">
        <v>0.56000000000000005</v>
      </c>
      <c r="K816" s="12">
        <v>0.1045</v>
      </c>
      <c r="L816" s="12">
        <v>7</v>
      </c>
      <c r="M816" s="12">
        <v>38</v>
      </c>
      <c r="N816" s="12">
        <v>45</v>
      </c>
      <c r="O816" s="12" t="str">
        <f>VLOOKUP(G816,calculate_field!$B$2:$C$5,2,FALSE)</f>
        <v>Clear/Partly Cloudy</v>
      </c>
      <c r="P816" s="12" t="str">
        <f t="shared" si="86"/>
        <v>Sunday</v>
      </c>
      <c r="Q816" s="12" t="str">
        <f t="shared" si="87"/>
        <v>Weekend</v>
      </c>
      <c r="R816" s="12" t="str">
        <f t="shared" si="88"/>
        <v>Morning</v>
      </c>
      <c r="S816" s="28" t="str">
        <f>INDEX(calculate_field!$F$2:$F$4, MATCH(H816, calculate_field!$E$2:$E$4, 1))</f>
        <v>Mild</v>
      </c>
      <c r="T816" s="33">
        <f t="shared" si="89"/>
        <v>77.625</v>
      </c>
      <c r="U816" s="33">
        <f t="shared" si="90"/>
        <v>71.20626041114032</v>
      </c>
      <c r="V816" s="33">
        <f t="shared" si="91"/>
        <v>2.4230109343438606</v>
      </c>
      <c r="W816" s="12" t="b">
        <f t="shared" si="92"/>
        <v>0</v>
      </c>
    </row>
    <row r="817" spans="1:23">
      <c r="A817" s="26">
        <v>816</v>
      </c>
      <c r="B817" s="27">
        <v>40580</v>
      </c>
      <c r="C817" s="12">
        <v>2</v>
      </c>
      <c r="D817" s="12">
        <v>10</v>
      </c>
      <c r="E817" s="12" t="b">
        <v>0</v>
      </c>
      <c r="F817" s="12">
        <v>0</v>
      </c>
      <c r="G817" s="12">
        <v>1</v>
      </c>
      <c r="H817" s="12">
        <v>0.3</v>
      </c>
      <c r="I817" s="12">
        <v>0.28789999999999999</v>
      </c>
      <c r="J817" s="12">
        <v>0.52</v>
      </c>
      <c r="K817" s="12">
        <v>0.25369999999999998</v>
      </c>
      <c r="L817" s="12">
        <v>15</v>
      </c>
      <c r="M817" s="12">
        <v>74</v>
      </c>
      <c r="N817" s="12">
        <v>89</v>
      </c>
      <c r="O817" s="12" t="str">
        <f>VLOOKUP(G817,calculate_field!$B$2:$C$5,2,FALSE)</f>
        <v>Clear/Partly Cloudy</v>
      </c>
      <c r="P817" s="12" t="str">
        <f t="shared" si="86"/>
        <v>Sunday</v>
      </c>
      <c r="Q817" s="12" t="str">
        <f t="shared" si="87"/>
        <v>Weekend</v>
      </c>
      <c r="R817" s="12" t="str">
        <f t="shared" si="88"/>
        <v>Morning</v>
      </c>
      <c r="S817" s="28" t="str">
        <f>INDEX(calculate_field!$F$2:$F$4, MATCH(H817, calculate_field!$E$2:$E$4, 1))</f>
        <v>Warm</v>
      </c>
      <c r="T817" s="33">
        <f t="shared" si="89"/>
        <v>80.666666666666671</v>
      </c>
      <c r="U817" s="33">
        <f t="shared" si="90"/>
        <v>71.311116681193823</v>
      </c>
      <c r="V817" s="33">
        <f t="shared" si="91"/>
        <v>0.68955032772391833</v>
      </c>
      <c r="W817" s="12" t="b">
        <f t="shared" si="92"/>
        <v>0</v>
      </c>
    </row>
    <row r="818" spans="1:23">
      <c r="A818" s="26">
        <v>817</v>
      </c>
      <c r="B818" s="27">
        <v>40580</v>
      </c>
      <c r="C818" s="12">
        <v>2</v>
      </c>
      <c r="D818" s="12">
        <v>11</v>
      </c>
      <c r="E818" s="12" t="b">
        <v>0</v>
      </c>
      <c r="F818" s="12">
        <v>0</v>
      </c>
      <c r="G818" s="12">
        <v>1</v>
      </c>
      <c r="H818" s="12">
        <v>0.32</v>
      </c>
      <c r="I818" s="12">
        <v>0.30299999999999999</v>
      </c>
      <c r="J818" s="12">
        <v>0.49</v>
      </c>
      <c r="K818" s="12">
        <v>0.25369999999999998</v>
      </c>
      <c r="L818" s="12">
        <v>28</v>
      </c>
      <c r="M818" s="12">
        <v>89</v>
      </c>
      <c r="N818" s="12">
        <v>117</v>
      </c>
      <c r="O818" s="12" t="str">
        <f>VLOOKUP(G818,calculate_field!$B$2:$C$5,2,FALSE)</f>
        <v>Clear/Partly Cloudy</v>
      </c>
      <c r="P818" s="12" t="str">
        <f t="shared" si="86"/>
        <v>Sunday</v>
      </c>
      <c r="Q818" s="12" t="str">
        <f t="shared" si="87"/>
        <v>Weekend</v>
      </c>
      <c r="R818" s="12" t="str">
        <f t="shared" si="88"/>
        <v>Morning</v>
      </c>
      <c r="S818" s="28" t="str">
        <f>INDEX(calculate_field!$F$2:$F$4, MATCH(H818, calculate_field!$E$2:$E$4, 1))</f>
        <v>Warm</v>
      </c>
      <c r="T818" s="33">
        <f t="shared" si="89"/>
        <v>79.25</v>
      </c>
      <c r="U818" s="33">
        <f t="shared" si="90"/>
        <v>71.475900468801981</v>
      </c>
      <c r="V818" s="33">
        <f t="shared" si="91"/>
        <v>-0.26053847903929162</v>
      </c>
      <c r="W818" s="12" t="b">
        <f t="shared" si="92"/>
        <v>0</v>
      </c>
    </row>
    <row r="819" spans="1:23">
      <c r="A819" s="26">
        <v>818</v>
      </c>
      <c r="B819" s="27">
        <v>40580</v>
      </c>
      <c r="C819" s="12">
        <v>2</v>
      </c>
      <c r="D819" s="12">
        <v>12</v>
      </c>
      <c r="E819" s="12" t="b">
        <v>0</v>
      </c>
      <c r="F819" s="12">
        <v>0</v>
      </c>
      <c r="G819" s="12">
        <v>1</v>
      </c>
      <c r="H819" s="12">
        <v>0.34</v>
      </c>
      <c r="I819" s="12">
        <v>0.33329999999999999</v>
      </c>
      <c r="J819" s="12">
        <v>0.46</v>
      </c>
      <c r="K819" s="12">
        <v>0</v>
      </c>
      <c r="L819" s="12">
        <v>48</v>
      </c>
      <c r="M819" s="12">
        <v>126</v>
      </c>
      <c r="N819" s="12">
        <v>174</v>
      </c>
      <c r="O819" s="12" t="str">
        <f>VLOOKUP(G819,calculate_field!$B$2:$C$5,2,FALSE)</f>
        <v>Clear/Partly Cloudy</v>
      </c>
      <c r="P819" s="12" t="str">
        <f t="shared" si="86"/>
        <v>Sunday</v>
      </c>
      <c r="Q819" s="12" t="str">
        <f t="shared" si="87"/>
        <v>Weekend</v>
      </c>
      <c r="R819" s="12" t="str">
        <f t="shared" si="88"/>
        <v>Afternoon</v>
      </c>
      <c r="S819" s="28" t="str">
        <f>INDEX(calculate_field!$F$2:$F$4, MATCH(H819, calculate_field!$E$2:$E$4, 1))</f>
        <v>Warm</v>
      </c>
      <c r="T819" s="33">
        <f t="shared" si="89"/>
        <v>76.333333333333329</v>
      </c>
      <c r="U819" s="33">
        <f t="shared" si="90"/>
        <v>71.296482422326434</v>
      </c>
      <c r="V819" s="33">
        <f t="shared" si="91"/>
        <v>-0.37423237695352884</v>
      </c>
      <c r="W819" s="12" t="b">
        <f t="shared" si="92"/>
        <v>0</v>
      </c>
    </row>
    <row r="820" spans="1:23">
      <c r="A820" s="26">
        <v>819</v>
      </c>
      <c r="B820" s="27">
        <v>40580</v>
      </c>
      <c r="C820" s="12">
        <v>2</v>
      </c>
      <c r="D820" s="12">
        <v>13</v>
      </c>
      <c r="E820" s="12" t="b">
        <v>0</v>
      </c>
      <c r="F820" s="12">
        <v>0</v>
      </c>
      <c r="G820" s="12">
        <v>1</v>
      </c>
      <c r="H820" s="12">
        <v>0.34</v>
      </c>
      <c r="I820" s="12">
        <v>0.36359999999999998</v>
      </c>
      <c r="J820" s="12">
        <v>0.46</v>
      </c>
      <c r="K820" s="12">
        <v>0</v>
      </c>
      <c r="L820" s="12">
        <v>47</v>
      </c>
      <c r="M820" s="12">
        <v>135</v>
      </c>
      <c r="N820" s="12">
        <v>182</v>
      </c>
      <c r="O820" s="12" t="str">
        <f>VLOOKUP(G820,calculate_field!$B$2:$C$5,2,FALSE)</f>
        <v>Clear/Partly Cloudy</v>
      </c>
      <c r="P820" s="12" t="str">
        <f t="shared" si="86"/>
        <v>Sunday</v>
      </c>
      <c r="Q820" s="12" t="str">
        <f t="shared" si="87"/>
        <v>Weekend</v>
      </c>
      <c r="R820" s="12" t="str">
        <f t="shared" si="88"/>
        <v>Afternoon</v>
      </c>
      <c r="S820" s="28" t="str">
        <f>INDEX(calculate_field!$F$2:$F$4, MATCH(H820, calculate_field!$E$2:$E$4, 1))</f>
        <v>Warm</v>
      </c>
      <c r="T820" s="33">
        <f t="shared" si="89"/>
        <v>71.833333333333329</v>
      </c>
      <c r="U820" s="33">
        <f t="shared" si="90"/>
        <v>68.205359133229067</v>
      </c>
      <c r="V820" s="33">
        <f t="shared" si="91"/>
        <v>-9.5010026303431722E-2</v>
      </c>
      <c r="W820" s="12" t="b">
        <f t="shared" si="92"/>
        <v>0</v>
      </c>
    </row>
    <row r="821" spans="1:23">
      <c r="A821" s="26">
        <v>820</v>
      </c>
      <c r="B821" s="27">
        <v>40580</v>
      </c>
      <c r="C821" s="12">
        <v>2</v>
      </c>
      <c r="D821" s="12">
        <v>14</v>
      </c>
      <c r="E821" s="12" t="b">
        <v>0</v>
      </c>
      <c r="F821" s="12">
        <v>0</v>
      </c>
      <c r="G821" s="12">
        <v>1</v>
      </c>
      <c r="H821" s="12">
        <v>0.34</v>
      </c>
      <c r="I821" s="12">
        <v>0.34849999999999998</v>
      </c>
      <c r="J821" s="12">
        <v>0.46</v>
      </c>
      <c r="K821" s="12">
        <v>8.9599999999999999E-2</v>
      </c>
      <c r="L821" s="12">
        <v>47</v>
      </c>
      <c r="M821" s="12">
        <v>114</v>
      </c>
      <c r="N821" s="12">
        <v>161</v>
      </c>
      <c r="O821" s="12" t="str">
        <f>VLOOKUP(G821,calculate_field!$B$2:$C$5,2,FALSE)</f>
        <v>Clear/Partly Cloudy</v>
      </c>
      <c r="P821" s="12" t="str">
        <f t="shared" si="86"/>
        <v>Sunday</v>
      </c>
      <c r="Q821" s="12" t="str">
        <f t="shared" si="87"/>
        <v>Weekend</v>
      </c>
      <c r="R821" s="12" t="str">
        <f t="shared" si="88"/>
        <v>Afternoon</v>
      </c>
      <c r="S821" s="28" t="str">
        <f>INDEX(calculate_field!$F$2:$F$4, MATCH(H821, calculate_field!$E$2:$E$4, 1))</f>
        <v>Warm</v>
      </c>
      <c r="T821" s="33">
        <f t="shared" si="89"/>
        <v>66.916666666666671</v>
      </c>
      <c r="U821" s="33">
        <f t="shared" si="90"/>
        <v>64.044764688910917</v>
      </c>
      <c r="V821" s="33">
        <f t="shared" si="91"/>
        <v>-0.12399844233752465</v>
      </c>
      <c r="W821" s="12" t="b">
        <f t="shared" si="92"/>
        <v>0</v>
      </c>
    </row>
    <row r="822" spans="1:23">
      <c r="A822" s="26">
        <v>821</v>
      </c>
      <c r="B822" s="27">
        <v>40580</v>
      </c>
      <c r="C822" s="12">
        <v>2</v>
      </c>
      <c r="D822" s="12">
        <v>15</v>
      </c>
      <c r="E822" s="12" t="b">
        <v>0</v>
      </c>
      <c r="F822" s="12">
        <v>0</v>
      </c>
      <c r="G822" s="12">
        <v>1</v>
      </c>
      <c r="H822" s="12">
        <v>0.34</v>
      </c>
      <c r="I822" s="12">
        <v>0.34849999999999998</v>
      </c>
      <c r="J822" s="12">
        <v>0.46</v>
      </c>
      <c r="K822" s="12">
        <v>8.9599999999999999E-2</v>
      </c>
      <c r="L822" s="12">
        <v>52</v>
      </c>
      <c r="M822" s="12">
        <v>130</v>
      </c>
      <c r="N822" s="12">
        <v>182</v>
      </c>
      <c r="O822" s="12" t="str">
        <f>VLOOKUP(G822,calculate_field!$B$2:$C$5,2,FALSE)</f>
        <v>Clear/Partly Cloudy</v>
      </c>
      <c r="P822" s="12" t="str">
        <f t="shared" si="86"/>
        <v>Sunday</v>
      </c>
      <c r="Q822" s="12" t="str">
        <f t="shared" si="87"/>
        <v>Weekend</v>
      </c>
      <c r="R822" s="12" t="str">
        <f t="shared" si="88"/>
        <v>Afternoon</v>
      </c>
      <c r="S822" s="28" t="str">
        <f>INDEX(calculate_field!$F$2:$F$4, MATCH(H822, calculate_field!$E$2:$E$4, 1))</f>
        <v>Warm</v>
      </c>
      <c r="T822" s="33">
        <f t="shared" si="89"/>
        <v>62.708333333333336</v>
      </c>
      <c r="U822" s="33">
        <f t="shared" si="90"/>
        <v>60.831541565830484</v>
      </c>
      <c r="V822" s="33">
        <f t="shared" si="91"/>
        <v>-0.17423455691869258</v>
      </c>
      <c r="W822" s="12" t="b">
        <f t="shared" si="92"/>
        <v>0</v>
      </c>
    </row>
    <row r="823" spans="1:23">
      <c r="A823" s="26">
        <v>822</v>
      </c>
      <c r="B823" s="27">
        <v>40580</v>
      </c>
      <c r="C823" s="12">
        <v>2</v>
      </c>
      <c r="D823" s="12">
        <v>16</v>
      </c>
      <c r="E823" s="12" t="b">
        <v>0</v>
      </c>
      <c r="F823" s="12">
        <v>0</v>
      </c>
      <c r="G823" s="12">
        <v>1</v>
      </c>
      <c r="H823" s="12">
        <v>0.34</v>
      </c>
      <c r="I823" s="12">
        <v>0.34849999999999998</v>
      </c>
      <c r="J823" s="12">
        <v>0.49</v>
      </c>
      <c r="K823" s="12">
        <v>0.1045</v>
      </c>
      <c r="L823" s="12">
        <v>42</v>
      </c>
      <c r="M823" s="12">
        <v>115</v>
      </c>
      <c r="N823" s="12">
        <v>157</v>
      </c>
      <c r="O823" s="12" t="str">
        <f>VLOOKUP(G823,calculate_field!$B$2:$C$5,2,FALSE)</f>
        <v>Clear/Partly Cloudy</v>
      </c>
      <c r="P823" s="12" t="str">
        <f t="shared" si="86"/>
        <v>Sunday</v>
      </c>
      <c r="Q823" s="12" t="str">
        <f t="shared" si="87"/>
        <v>Weekend</v>
      </c>
      <c r="R823" s="12" t="str">
        <f t="shared" si="88"/>
        <v>Afternoon</v>
      </c>
      <c r="S823" s="28" t="str">
        <f>INDEX(calculate_field!$F$2:$F$4, MATCH(H823, calculate_field!$E$2:$E$4, 1))</f>
        <v>Warm</v>
      </c>
      <c r="T823" s="33">
        <f t="shared" si="89"/>
        <v>57.208333333333336</v>
      </c>
      <c r="U823" s="33">
        <f t="shared" si="90"/>
        <v>55.292093283851578</v>
      </c>
      <c r="V823" s="33">
        <f t="shared" si="91"/>
        <v>-0.32457971909667976</v>
      </c>
      <c r="W823" s="12" t="b">
        <f t="shared" si="92"/>
        <v>0</v>
      </c>
    </row>
    <row r="824" spans="1:23">
      <c r="A824" s="26">
        <v>823</v>
      </c>
      <c r="B824" s="27">
        <v>40580</v>
      </c>
      <c r="C824" s="12">
        <v>2</v>
      </c>
      <c r="D824" s="12">
        <v>17</v>
      </c>
      <c r="E824" s="12" t="b">
        <v>0</v>
      </c>
      <c r="F824" s="12">
        <v>0</v>
      </c>
      <c r="G824" s="12">
        <v>1</v>
      </c>
      <c r="H824" s="12">
        <v>0.34</v>
      </c>
      <c r="I824" s="12">
        <v>0.36359999999999998</v>
      </c>
      <c r="J824" s="12">
        <v>0.46</v>
      </c>
      <c r="K824" s="12">
        <v>0</v>
      </c>
      <c r="L824" s="12">
        <v>24</v>
      </c>
      <c r="M824" s="12">
        <v>97</v>
      </c>
      <c r="N824" s="12">
        <v>121</v>
      </c>
      <c r="O824" s="12" t="str">
        <f>VLOOKUP(G824,calculate_field!$B$2:$C$5,2,FALSE)</f>
        <v>Clear/Partly Cloudy</v>
      </c>
      <c r="P824" s="12" t="str">
        <f t="shared" si="86"/>
        <v>Sunday</v>
      </c>
      <c r="Q824" s="12" t="str">
        <f t="shared" si="87"/>
        <v>Weekend</v>
      </c>
      <c r="R824" s="12" t="str">
        <f t="shared" si="88"/>
        <v>Evening</v>
      </c>
      <c r="S824" s="28" t="str">
        <f>INDEX(calculate_field!$F$2:$F$4, MATCH(H824, calculate_field!$E$2:$E$4, 1))</f>
        <v>Warm</v>
      </c>
      <c r="T824" s="33">
        <f t="shared" si="89"/>
        <v>55.416666666666664</v>
      </c>
      <c r="U824" s="33">
        <f t="shared" si="90"/>
        <v>52.546390821880401</v>
      </c>
      <c r="V824" s="33">
        <f t="shared" si="91"/>
        <v>0.62095471947846914</v>
      </c>
      <c r="W824" s="12" t="b">
        <f t="shared" si="92"/>
        <v>1</v>
      </c>
    </row>
    <row r="825" spans="1:23">
      <c r="A825" s="26">
        <v>824</v>
      </c>
      <c r="B825" s="27">
        <v>40580</v>
      </c>
      <c r="C825" s="12">
        <v>2</v>
      </c>
      <c r="D825" s="12">
        <v>18</v>
      </c>
      <c r="E825" s="12" t="b">
        <v>0</v>
      </c>
      <c r="F825" s="12">
        <v>0</v>
      </c>
      <c r="G825" s="12">
        <v>1</v>
      </c>
      <c r="H825" s="12">
        <v>0.3</v>
      </c>
      <c r="I825" s="12">
        <v>0.30299999999999999</v>
      </c>
      <c r="J825" s="12">
        <v>0.56000000000000005</v>
      </c>
      <c r="K825" s="12">
        <v>0.16420000000000001</v>
      </c>
      <c r="L825" s="12">
        <v>13</v>
      </c>
      <c r="M825" s="12">
        <v>65</v>
      </c>
      <c r="N825" s="12">
        <v>78</v>
      </c>
      <c r="O825" s="12" t="str">
        <f>VLOOKUP(G825,calculate_field!$B$2:$C$5,2,FALSE)</f>
        <v>Clear/Partly Cloudy</v>
      </c>
      <c r="P825" s="12" t="str">
        <f t="shared" si="86"/>
        <v>Sunday</v>
      </c>
      <c r="Q825" s="12" t="str">
        <f t="shared" si="87"/>
        <v>Weekend</v>
      </c>
      <c r="R825" s="12" t="str">
        <f t="shared" si="88"/>
        <v>Evening</v>
      </c>
      <c r="S825" s="28" t="str">
        <f>INDEX(calculate_field!$F$2:$F$4, MATCH(H825, calculate_field!$E$2:$E$4, 1))</f>
        <v>Warm</v>
      </c>
      <c r="T825" s="33">
        <f t="shared" si="89"/>
        <v>59.375</v>
      </c>
      <c r="U825" s="33">
        <f t="shared" si="90"/>
        <v>60.654267923958201</v>
      </c>
      <c r="V825" s="33">
        <f t="shared" si="91"/>
        <v>2.1654727748103419</v>
      </c>
      <c r="W825" s="12" t="b">
        <f t="shared" si="92"/>
        <v>0</v>
      </c>
    </row>
    <row r="826" spans="1:23">
      <c r="A826" s="26">
        <v>825</v>
      </c>
      <c r="B826" s="27">
        <v>40580</v>
      </c>
      <c r="C826" s="12">
        <v>2</v>
      </c>
      <c r="D826" s="12">
        <v>19</v>
      </c>
      <c r="E826" s="12" t="b">
        <v>0</v>
      </c>
      <c r="F826" s="12">
        <v>0</v>
      </c>
      <c r="G826" s="12">
        <v>1</v>
      </c>
      <c r="H826" s="12">
        <v>0.28000000000000003</v>
      </c>
      <c r="I826" s="12">
        <v>0.28789999999999999</v>
      </c>
      <c r="J826" s="12">
        <v>0.61</v>
      </c>
      <c r="K826" s="12">
        <v>0.1343</v>
      </c>
      <c r="L826" s="12">
        <v>1</v>
      </c>
      <c r="M826" s="12">
        <v>20</v>
      </c>
      <c r="N826" s="12">
        <v>21</v>
      </c>
      <c r="O826" s="12" t="str">
        <f>VLOOKUP(G826,calculate_field!$B$2:$C$5,2,FALSE)</f>
        <v>Clear/Partly Cloudy</v>
      </c>
      <c r="P826" s="12" t="str">
        <f t="shared" si="86"/>
        <v>Sunday</v>
      </c>
      <c r="Q826" s="12" t="str">
        <f t="shared" si="87"/>
        <v>Weekend</v>
      </c>
      <c r="R826" s="12" t="str">
        <f t="shared" si="88"/>
        <v>Evening</v>
      </c>
      <c r="S826" s="28" t="str">
        <f>INDEX(calculate_field!$F$2:$F$4, MATCH(H826, calculate_field!$E$2:$E$4, 1))</f>
        <v>Mild</v>
      </c>
      <c r="T826" s="33">
        <f t="shared" si="89"/>
        <v>63.416666666666664</v>
      </c>
      <c r="U826" s="33">
        <f t="shared" si="90"/>
        <v>65.023685762535237</v>
      </c>
      <c r="V826" s="33">
        <f t="shared" si="91"/>
        <v>1.6623091833337043</v>
      </c>
      <c r="W826" s="12" t="b">
        <f t="shared" si="92"/>
        <v>0</v>
      </c>
    </row>
    <row r="827" spans="1:23">
      <c r="A827" s="26">
        <v>826</v>
      </c>
      <c r="B827" s="27">
        <v>40580</v>
      </c>
      <c r="C827" s="12">
        <v>2</v>
      </c>
      <c r="D827" s="12">
        <v>20</v>
      </c>
      <c r="E827" s="12" t="b">
        <v>0</v>
      </c>
      <c r="F827" s="12">
        <v>0</v>
      </c>
      <c r="G827" s="12">
        <v>1</v>
      </c>
      <c r="H827" s="12">
        <v>0.28000000000000003</v>
      </c>
      <c r="I827" s="12">
        <v>0.28789999999999999</v>
      </c>
      <c r="J827" s="12">
        <v>0.61</v>
      </c>
      <c r="K827" s="12">
        <v>0.1045</v>
      </c>
      <c r="L827" s="12">
        <v>5</v>
      </c>
      <c r="M827" s="12">
        <v>21</v>
      </c>
      <c r="N827" s="12">
        <v>26</v>
      </c>
      <c r="O827" s="12" t="str">
        <f>VLOOKUP(G827,calculate_field!$B$2:$C$5,2,FALSE)</f>
        <v>Clear/Partly Cloudy</v>
      </c>
      <c r="P827" s="12" t="str">
        <f t="shared" si="86"/>
        <v>Sunday</v>
      </c>
      <c r="Q827" s="12" t="str">
        <f t="shared" si="87"/>
        <v>Weekend</v>
      </c>
      <c r="R827" s="12" t="str">
        <f t="shared" si="88"/>
        <v>Evening</v>
      </c>
      <c r="S827" s="28" t="str">
        <f>INDEX(calculate_field!$F$2:$F$4, MATCH(H827, calculate_field!$E$2:$E$4, 1))</f>
        <v>Mild</v>
      </c>
      <c r="T827" s="33">
        <f t="shared" si="89"/>
        <v>67.875</v>
      </c>
      <c r="U827" s="33">
        <f t="shared" si="90"/>
        <v>65.654108451198539</v>
      </c>
      <c r="V827" s="33">
        <f t="shared" si="91"/>
        <v>0.96275767433158221</v>
      </c>
      <c r="W827" s="12" t="b">
        <f t="shared" si="92"/>
        <v>0</v>
      </c>
    </row>
    <row r="828" spans="1:23">
      <c r="A828" s="26">
        <v>827</v>
      </c>
      <c r="B828" s="27">
        <v>40580</v>
      </c>
      <c r="C828" s="12">
        <v>2</v>
      </c>
      <c r="D828" s="12">
        <v>21</v>
      </c>
      <c r="E828" s="12" t="b">
        <v>0</v>
      </c>
      <c r="F828" s="12">
        <v>0</v>
      </c>
      <c r="G828" s="12">
        <v>1</v>
      </c>
      <c r="H828" s="12">
        <v>0.26</v>
      </c>
      <c r="I828" s="12">
        <v>0.30299999999999999</v>
      </c>
      <c r="J828" s="12">
        <v>0.6</v>
      </c>
      <c r="K828" s="12">
        <v>0</v>
      </c>
      <c r="L828" s="12">
        <v>5</v>
      </c>
      <c r="M828" s="12">
        <v>22</v>
      </c>
      <c r="N828" s="12">
        <v>27</v>
      </c>
      <c r="O828" s="12" t="str">
        <f>VLOOKUP(G828,calculate_field!$B$2:$C$5,2,FALSE)</f>
        <v>Clear/Partly Cloudy</v>
      </c>
      <c r="P828" s="12" t="str">
        <f t="shared" si="86"/>
        <v>Sunday</v>
      </c>
      <c r="Q828" s="12" t="str">
        <f t="shared" si="87"/>
        <v>Weekend</v>
      </c>
      <c r="R828" s="12" t="str">
        <f t="shared" si="88"/>
        <v>Night</v>
      </c>
      <c r="S828" s="28" t="str">
        <f>INDEX(calculate_field!$F$2:$F$4, MATCH(H828, calculate_field!$E$2:$E$4, 1))</f>
        <v>Mild</v>
      </c>
      <c r="T828" s="33">
        <f t="shared" si="89"/>
        <v>70.458333333333329</v>
      </c>
      <c r="U828" s="33">
        <f t="shared" si="90"/>
        <v>65.15264962856989</v>
      </c>
      <c r="V828" s="33">
        <f t="shared" si="91"/>
        <v>0.34302294232242792</v>
      </c>
      <c r="W828" s="12" t="b">
        <f t="shared" si="92"/>
        <v>0</v>
      </c>
    </row>
    <row r="829" spans="1:23">
      <c r="A829" s="26">
        <v>828</v>
      </c>
      <c r="B829" s="27">
        <v>40580</v>
      </c>
      <c r="C829" s="12">
        <v>2</v>
      </c>
      <c r="D829" s="12">
        <v>22</v>
      </c>
      <c r="E829" s="12" t="b">
        <v>0</v>
      </c>
      <c r="F829" s="12">
        <v>0</v>
      </c>
      <c r="G829" s="12">
        <v>1</v>
      </c>
      <c r="H829" s="12">
        <v>0.26</v>
      </c>
      <c r="I829" s="12">
        <v>0.30299999999999999</v>
      </c>
      <c r="J829" s="12">
        <v>0.6</v>
      </c>
      <c r="K829" s="12">
        <v>0</v>
      </c>
      <c r="L829" s="12">
        <v>5</v>
      </c>
      <c r="M829" s="12">
        <v>57</v>
      </c>
      <c r="N829" s="12">
        <v>62</v>
      </c>
      <c r="O829" s="12" t="str">
        <f>VLOOKUP(G829,calculate_field!$B$2:$C$5,2,FALSE)</f>
        <v>Clear/Partly Cloudy</v>
      </c>
      <c r="P829" s="12" t="str">
        <f t="shared" si="86"/>
        <v>Sunday</v>
      </c>
      <c r="Q829" s="12" t="str">
        <f t="shared" si="87"/>
        <v>Weekend</v>
      </c>
      <c r="R829" s="12" t="str">
        <f t="shared" si="88"/>
        <v>Night</v>
      </c>
      <c r="S829" s="28" t="str">
        <f>INDEX(calculate_field!$F$2:$F$4, MATCH(H829, calculate_field!$E$2:$E$4, 1))</f>
        <v>Mild</v>
      </c>
      <c r="T829" s="33">
        <f t="shared" si="89"/>
        <v>72.583333333333329</v>
      </c>
      <c r="U829" s="33">
        <f t="shared" si="90"/>
        <v>64.502050298836423</v>
      </c>
      <c r="V829" s="33">
        <f t="shared" si="91"/>
        <v>0.20216539823333177</v>
      </c>
      <c r="W829" s="12" t="b">
        <f t="shared" si="92"/>
        <v>0</v>
      </c>
    </row>
    <row r="830" spans="1:23">
      <c r="A830" s="26">
        <v>829</v>
      </c>
      <c r="B830" s="27">
        <v>40580</v>
      </c>
      <c r="C830" s="12">
        <v>2</v>
      </c>
      <c r="D830" s="12">
        <v>23</v>
      </c>
      <c r="E830" s="12" t="b">
        <v>0</v>
      </c>
      <c r="F830" s="12">
        <v>0</v>
      </c>
      <c r="G830" s="12">
        <v>1</v>
      </c>
      <c r="H830" s="12">
        <v>0.24</v>
      </c>
      <c r="I830" s="12">
        <v>0.28789999999999999</v>
      </c>
      <c r="J830" s="12">
        <v>0.65</v>
      </c>
      <c r="K830" s="12">
        <v>0</v>
      </c>
      <c r="L830" s="12">
        <v>4</v>
      </c>
      <c r="M830" s="12">
        <v>26</v>
      </c>
      <c r="N830" s="12">
        <v>30</v>
      </c>
      <c r="O830" s="12" t="str">
        <f>VLOOKUP(G830,calculate_field!$B$2:$C$5,2,FALSE)</f>
        <v>Clear/Partly Cloudy</v>
      </c>
      <c r="P830" s="12" t="str">
        <f t="shared" si="86"/>
        <v>Sunday</v>
      </c>
      <c r="Q830" s="12" t="str">
        <f t="shared" si="87"/>
        <v>Weekend</v>
      </c>
      <c r="R830" s="12" t="str">
        <f t="shared" si="88"/>
        <v>Night</v>
      </c>
      <c r="S830" s="28" t="str">
        <f>INDEX(calculate_field!$F$2:$F$4, MATCH(H830, calculate_field!$E$2:$E$4, 1))</f>
        <v>Mild</v>
      </c>
      <c r="T830" s="33">
        <f t="shared" si="89"/>
        <v>71.541666666666671</v>
      </c>
      <c r="U830" s="33">
        <f t="shared" si="90"/>
        <v>64.881148308249763</v>
      </c>
      <c r="V830" s="33">
        <f t="shared" si="91"/>
        <v>-0.4514085265683096</v>
      </c>
      <c r="W830" s="12" t="b">
        <f t="shared" si="92"/>
        <v>0</v>
      </c>
    </row>
    <row r="831" spans="1:23">
      <c r="A831" s="26">
        <v>830</v>
      </c>
      <c r="B831" s="27">
        <v>40581</v>
      </c>
      <c r="C831" s="12">
        <v>2</v>
      </c>
      <c r="D831" s="12">
        <v>0</v>
      </c>
      <c r="E831" s="12" t="b">
        <v>0</v>
      </c>
      <c r="F831" s="12">
        <v>1</v>
      </c>
      <c r="G831" s="12">
        <v>1</v>
      </c>
      <c r="H831" s="12">
        <v>0.24</v>
      </c>
      <c r="I831" s="12">
        <v>0.28789999999999999</v>
      </c>
      <c r="J831" s="12">
        <v>0.65</v>
      </c>
      <c r="K831" s="12">
        <v>0</v>
      </c>
      <c r="L831" s="12">
        <v>1</v>
      </c>
      <c r="M831" s="12">
        <v>14</v>
      </c>
      <c r="N831" s="12">
        <v>15</v>
      </c>
      <c r="O831" s="12" t="str">
        <f>VLOOKUP(G831,calculate_field!$B$2:$C$5,2,FALSE)</f>
        <v>Clear/Partly Cloudy</v>
      </c>
      <c r="P831" s="12" t="str">
        <f t="shared" si="86"/>
        <v>Monday</v>
      </c>
      <c r="Q831" s="12" t="str">
        <f t="shared" si="87"/>
        <v>Weekday</v>
      </c>
      <c r="R831" s="12" t="str">
        <f t="shared" si="88"/>
        <v>Night</v>
      </c>
      <c r="S831" s="28" t="str">
        <f>INDEX(calculate_field!$F$2:$F$4, MATCH(H831, calculate_field!$E$2:$E$4, 1))</f>
        <v>Mild</v>
      </c>
      <c r="T831" s="33">
        <f t="shared" si="89"/>
        <v>71.333333333333329</v>
      </c>
      <c r="U831" s="33">
        <f t="shared" si="90"/>
        <v>65.028199011403245</v>
      </c>
      <c r="V831" s="33">
        <f t="shared" si="91"/>
        <v>-0.64018094815027859</v>
      </c>
      <c r="W831" s="12" t="b">
        <f t="shared" si="92"/>
        <v>0</v>
      </c>
    </row>
    <row r="832" spans="1:23">
      <c r="A832" s="26">
        <v>831</v>
      </c>
      <c r="B832" s="27">
        <v>40581</v>
      </c>
      <c r="C832" s="12">
        <v>2</v>
      </c>
      <c r="D832" s="12">
        <v>1</v>
      </c>
      <c r="E832" s="12" t="b">
        <v>0</v>
      </c>
      <c r="F832" s="12">
        <v>1</v>
      </c>
      <c r="G832" s="12">
        <v>1</v>
      </c>
      <c r="H832" s="12">
        <v>0.22</v>
      </c>
      <c r="I832" s="12">
        <v>0.2727</v>
      </c>
      <c r="J832" s="12">
        <v>0.75</v>
      </c>
      <c r="K832" s="12">
        <v>0</v>
      </c>
      <c r="L832" s="12">
        <v>1</v>
      </c>
      <c r="M832" s="12">
        <v>4</v>
      </c>
      <c r="N832" s="12">
        <v>5</v>
      </c>
      <c r="O832" s="12" t="str">
        <f>VLOOKUP(G832,calculate_field!$B$2:$C$5,2,FALSE)</f>
        <v>Clear/Partly Cloudy</v>
      </c>
      <c r="P832" s="12" t="str">
        <f t="shared" si="86"/>
        <v>Monday</v>
      </c>
      <c r="Q832" s="12" t="str">
        <f t="shared" si="87"/>
        <v>Weekday</v>
      </c>
      <c r="R832" s="12" t="str">
        <f t="shared" si="88"/>
        <v>Night</v>
      </c>
      <c r="S832" s="28" t="str">
        <f>INDEX(calculate_field!$F$2:$F$4, MATCH(H832, calculate_field!$E$2:$E$4, 1))</f>
        <v>Mild</v>
      </c>
      <c r="T832" s="33">
        <f t="shared" si="89"/>
        <v>71.125</v>
      </c>
      <c r="U832" s="33">
        <f t="shared" si="90"/>
        <v>65.224236959557615</v>
      </c>
      <c r="V832" s="33">
        <f t="shared" si="91"/>
        <v>-0.86983032332386845</v>
      </c>
      <c r="W832" s="12" t="b">
        <f t="shared" si="92"/>
        <v>0</v>
      </c>
    </row>
    <row r="833" spans="1:23">
      <c r="A833" s="26">
        <v>832</v>
      </c>
      <c r="B833" s="27">
        <v>40581</v>
      </c>
      <c r="C833" s="12">
        <v>2</v>
      </c>
      <c r="D833" s="12">
        <v>2</v>
      </c>
      <c r="E833" s="12" t="b">
        <v>0</v>
      </c>
      <c r="F833" s="12">
        <v>1</v>
      </c>
      <c r="G833" s="12">
        <v>1</v>
      </c>
      <c r="H833" s="12">
        <v>0.2</v>
      </c>
      <c r="I833" s="12">
        <v>0.2576</v>
      </c>
      <c r="J833" s="12">
        <v>0.8</v>
      </c>
      <c r="K833" s="12">
        <v>0</v>
      </c>
      <c r="L833" s="12">
        <v>0</v>
      </c>
      <c r="M833" s="12">
        <v>3</v>
      </c>
      <c r="N833" s="12">
        <v>3</v>
      </c>
      <c r="O833" s="12" t="str">
        <f>VLOOKUP(G833,calculate_field!$B$2:$C$5,2,FALSE)</f>
        <v>Clear/Partly Cloudy</v>
      </c>
      <c r="P833" s="12" t="str">
        <f t="shared" si="86"/>
        <v>Monday</v>
      </c>
      <c r="Q833" s="12" t="str">
        <f t="shared" si="87"/>
        <v>Weekday</v>
      </c>
      <c r="R833" s="12" t="str">
        <f t="shared" si="88"/>
        <v>Night</v>
      </c>
      <c r="S833" s="28" t="str">
        <f>INDEX(calculate_field!$F$2:$F$4, MATCH(H833, calculate_field!$E$2:$E$4, 1))</f>
        <v>Mild</v>
      </c>
      <c r="T833" s="33">
        <f t="shared" si="89"/>
        <v>71.083333333333329</v>
      </c>
      <c r="U833" s="33">
        <f t="shared" si="90"/>
        <v>65.268619976395911</v>
      </c>
      <c r="V833" s="33">
        <f t="shared" si="91"/>
        <v>-0.97557423067890614</v>
      </c>
      <c r="W833" s="12" t="b">
        <f t="shared" si="92"/>
        <v>1</v>
      </c>
    </row>
    <row r="834" spans="1:23">
      <c r="A834" s="26">
        <v>833</v>
      </c>
      <c r="B834" s="27">
        <v>40581</v>
      </c>
      <c r="C834" s="12">
        <v>2</v>
      </c>
      <c r="D834" s="12">
        <v>3</v>
      </c>
      <c r="E834" s="12" t="b">
        <v>0</v>
      </c>
      <c r="F834" s="12">
        <v>1</v>
      </c>
      <c r="G834" s="12">
        <v>1</v>
      </c>
      <c r="H834" s="12">
        <v>0.2</v>
      </c>
      <c r="I834" s="12">
        <v>0.2576</v>
      </c>
      <c r="J834" s="12">
        <v>0.86</v>
      </c>
      <c r="K834" s="12">
        <v>0</v>
      </c>
      <c r="L834" s="12">
        <v>0</v>
      </c>
      <c r="M834" s="12">
        <v>1</v>
      </c>
      <c r="N834" s="12">
        <v>1</v>
      </c>
      <c r="O834" s="12" t="str">
        <f>VLOOKUP(G834,calculate_field!$B$2:$C$5,2,FALSE)</f>
        <v>Clear/Partly Cloudy</v>
      </c>
      <c r="P834" s="12" t="str">
        <f t="shared" ref="P834:P897" si="93">CHOOSE(F834+1,"Sunday","Monday","Tuesday","Wednesday","Thursday","Friday","Saturday")</f>
        <v>Monday</v>
      </c>
      <c r="Q834" s="12" t="str">
        <f t="shared" ref="Q834:Q897" si="94">IF(OR(F834=0,F834=6),"Weekend","Weekday")</f>
        <v>Weekday</v>
      </c>
      <c r="R834" s="12" t="str">
        <f t="shared" ref="R834:R897" si="95">IF(D834&lt;6,"Night",IF(D834&lt;12,"Morning",IF(D834&lt;17,"Afternoon",IF(D834&lt;21,"Evening","Night"))))</f>
        <v>Night</v>
      </c>
      <c r="S834" s="28" t="str">
        <f>INDEX(calculate_field!$F$2:$F$4, MATCH(H834, calculate_field!$E$2:$E$4, 1))</f>
        <v>Mild</v>
      </c>
      <c r="T834" s="33">
        <f t="shared" ref="T834:T897" si="96">AVERAGE(N834:N857)</f>
        <v>71.041666666666671</v>
      </c>
      <c r="U834" s="33">
        <f t="shared" ref="U834:U897" si="97">_xlfn.STDEV.S(N834:N857)</f>
        <v>65.314276464988325</v>
      </c>
      <c r="V834" s="33">
        <f t="shared" ref="V834:V897" si="98">(N857-T857)/U857</f>
        <v>-1.012146492188998</v>
      </c>
      <c r="W834" s="12" t="b">
        <f t="shared" ref="W834:W897" si="99">IFERROR(ABS(V850)&gt;1.5,FALSE)</f>
        <v>0</v>
      </c>
    </row>
    <row r="835" spans="1:23">
      <c r="A835" s="26">
        <v>834</v>
      </c>
      <c r="B835" s="27">
        <v>40581</v>
      </c>
      <c r="C835" s="12">
        <v>2</v>
      </c>
      <c r="D835" s="12">
        <v>4</v>
      </c>
      <c r="E835" s="12" t="b">
        <v>0</v>
      </c>
      <c r="F835" s="12">
        <v>1</v>
      </c>
      <c r="G835" s="12">
        <v>1</v>
      </c>
      <c r="H835" s="12">
        <v>0.2</v>
      </c>
      <c r="I835" s="12">
        <v>0.2576</v>
      </c>
      <c r="J835" s="12">
        <v>0.86</v>
      </c>
      <c r="K835" s="12">
        <v>0</v>
      </c>
      <c r="L835" s="12">
        <v>1</v>
      </c>
      <c r="M835" s="12">
        <v>1</v>
      </c>
      <c r="N835" s="12">
        <v>2</v>
      </c>
      <c r="O835" s="12" t="str">
        <f>VLOOKUP(G835,calculate_field!$B$2:$C$5,2,FALSE)</f>
        <v>Clear/Partly Cloudy</v>
      </c>
      <c r="P835" s="12" t="str">
        <f t="shared" si="93"/>
        <v>Monday</v>
      </c>
      <c r="Q835" s="12" t="str">
        <f t="shared" si="94"/>
        <v>Weekday</v>
      </c>
      <c r="R835" s="12" t="str">
        <f t="shared" si="95"/>
        <v>Night</v>
      </c>
      <c r="S835" s="28" t="str">
        <f>INDEX(calculate_field!$F$2:$F$4, MATCH(H835, calculate_field!$E$2:$E$4, 1))</f>
        <v>Mild</v>
      </c>
      <c r="T835" s="33">
        <f t="shared" si="96"/>
        <v>71.041666666666671</v>
      </c>
      <c r="U835" s="33">
        <f t="shared" si="97"/>
        <v>65.314276464988325</v>
      </c>
      <c r="V835" s="33">
        <f t="shared" si="98"/>
        <v>-1.0298384786319257</v>
      </c>
      <c r="W835" s="12" t="b">
        <f t="shared" si="99"/>
        <v>0</v>
      </c>
    </row>
    <row r="836" spans="1:23">
      <c r="A836" s="26">
        <v>835</v>
      </c>
      <c r="B836" s="27">
        <v>40581</v>
      </c>
      <c r="C836" s="12">
        <v>2</v>
      </c>
      <c r="D836" s="12">
        <v>5</v>
      </c>
      <c r="E836" s="12" t="b">
        <v>0</v>
      </c>
      <c r="F836" s="12">
        <v>1</v>
      </c>
      <c r="G836" s="12">
        <v>1</v>
      </c>
      <c r="H836" s="12">
        <v>0.2</v>
      </c>
      <c r="I836" s="12">
        <v>0.2576</v>
      </c>
      <c r="J836" s="12">
        <v>0.86</v>
      </c>
      <c r="K836" s="12">
        <v>0</v>
      </c>
      <c r="L836" s="12">
        <v>1</v>
      </c>
      <c r="M836" s="12">
        <v>9</v>
      </c>
      <c r="N836" s="12">
        <v>10</v>
      </c>
      <c r="O836" s="12" t="str">
        <f>VLOOKUP(G836,calculate_field!$B$2:$C$5,2,FALSE)</f>
        <v>Clear/Partly Cloudy</v>
      </c>
      <c r="P836" s="12" t="str">
        <f t="shared" si="93"/>
        <v>Monday</v>
      </c>
      <c r="Q836" s="12" t="str">
        <f t="shared" si="94"/>
        <v>Weekday</v>
      </c>
      <c r="R836" s="12" t="str">
        <f t="shared" si="95"/>
        <v>Night</v>
      </c>
      <c r="S836" s="28" t="str">
        <f>INDEX(calculate_field!$F$2:$F$4, MATCH(H836, calculate_field!$E$2:$E$4, 1))</f>
        <v>Mild</v>
      </c>
      <c r="T836" s="33">
        <f t="shared" si="96"/>
        <v>71.083333333333329</v>
      </c>
      <c r="U836" s="33">
        <f t="shared" si="97"/>
        <v>65.268619976395911</v>
      </c>
      <c r="V836" s="33">
        <f t="shared" si="98"/>
        <v>-0.99865509114861717</v>
      </c>
      <c r="W836" s="12" t="b">
        <f t="shared" si="99"/>
        <v>0</v>
      </c>
    </row>
    <row r="837" spans="1:23">
      <c r="A837" s="26">
        <v>836</v>
      </c>
      <c r="B837" s="27">
        <v>40581</v>
      </c>
      <c r="C837" s="12">
        <v>2</v>
      </c>
      <c r="D837" s="12">
        <v>6</v>
      </c>
      <c r="E837" s="12" t="b">
        <v>0</v>
      </c>
      <c r="F837" s="12">
        <v>1</v>
      </c>
      <c r="G837" s="12">
        <v>1</v>
      </c>
      <c r="H837" s="12">
        <v>0.18</v>
      </c>
      <c r="I837" s="12">
        <v>0.2424</v>
      </c>
      <c r="J837" s="12">
        <v>0.93</v>
      </c>
      <c r="K837" s="12">
        <v>0</v>
      </c>
      <c r="L837" s="12">
        <v>1</v>
      </c>
      <c r="M837" s="12">
        <v>29</v>
      </c>
      <c r="N837" s="12">
        <v>30</v>
      </c>
      <c r="O837" s="12" t="str">
        <f>VLOOKUP(G837,calculate_field!$B$2:$C$5,2,FALSE)</f>
        <v>Clear/Partly Cloudy</v>
      </c>
      <c r="P837" s="12" t="str">
        <f t="shared" si="93"/>
        <v>Monday</v>
      </c>
      <c r="Q837" s="12" t="str">
        <f t="shared" si="94"/>
        <v>Weekday</v>
      </c>
      <c r="R837" s="12" t="str">
        <f t="shared" si="95"/>
        <v>Morning</v>
      </c>
      <c r="S837" s="28" t="str">
        <f>INDEX(calculate_field!$F$2:$F$4, MATCH(H837, calculate_field!$E$2:$E$4, 1))</f>
        <v>Cold</v>
      </c>
      <c r="T837" s="33">
        <f t="shared" si="96"/>
        <v>70.75</v>
      </c>
      <c r="U837" s="33">
        <f t="shared" si="97"/>
        <v>65.613658440244308</v>
      </c>
      <c r="V837" s="33">
        <f t="shared" si="98"/>
        <v>-1.0204802747123041</v>
      </c>
      <c r="W837" s="12" t="b">
        <f t="shared" si="99"/>
        <v>0</v>
      </c>
    </row>
    <row r="838" spans="1:23">
      <c r="A838" s="26">
        <v>837</v>
      </c>
      <c r="B838" s="27">
        <v>40581</v>
      </c>
      <c r="C838" s="12">
        <v>2</v>
      </c>
      <c r="D838" s="12">
        <v>7</v>
      </c>
      <c r="E838" s="12" t="b">
        <v>0</v>
      </c>
      <c r="F838" s="12">
        <v>1</v>
      </c>
      <c r="G838" s="12">
        <v>1</v>
      </c>
      <c r="H838" s="12">
        <v>0.18</v>
      </c>
      <c r="I838" s="12">
        <v>0.2424</v>
      </c>
      <c r="J838" s="12">
        <v>0.86</v>
      </c>
      <c r="K838" s="12">
        <v>0</v>
      </c>
      <c r="L838" s="12">
        <v>6</v>
      </c>
      <c r="M838" s="12">
        <v>89</v>
      </c>
      <c r="N838" s="12">
        <v>95</v>
      </c>
      <c r="O838" s="12" t="str">
        <f>VLOOKUP(G838,calculate_field!$B$2:$C$5,2,FALSE)</f>
        <v>Clear/Partly Cloudy</v>
      </c>
      <c r="P838" s="12" t="str">
        <f t="shared" si="93"/>
        <v>Monday</v>
      </c>
      <c r="Q838" s="12" t="str">
        <f t="shared" si="94"/>
        <v>Weekday</v>
      </c>
      <c r="R838" s="12" t="str">
        <f t="shared" si="95"/>
        <v>Morning</v>
      </c>
      <c r="S838" s="28" t="str">
        <f>INDEX(calculate_field!$F$2:$F$4, MATCH(H838, calculate_field!$E$2:$E$4, 1))</f>
        <v>Cold</v>
      </c>
      <c r="T838" s="33">
        <f t="shared" si="96"/>
        <v>71.125</v>
      </c>
      <c r="U838" s="33">
        <f t="shared" si="97"/>
        <v>65.395992763817091</v>
      </c>
      <c r="V838" s="33">
        <f t="shared" si="98"/>
        <v>-0.45280405951327113</v>
      </c>
      <c r="W838" s="12" t="b">
        <f t="shared" si="99"/>
        <v>0</v>
      </c>
    </row>
    <row r="839" spans="1:23">
      <c r="A839" s="26">
        <v>838</v>
      </c>
      <c r="B839" s="27">
        <v>40581</v>
      </c>
      <c r="C839" s="12">
        <v>2</v>
      </c>
      <c r="D839" s="12">
        <v>8</v>
      </c>
      <c r="E839" s="12" t="b">
        <v>0</v>
      </c>
      <c r="F839" s="12">
        <v>1</v>
      </c>
      <c r="G839" s="12">
        <v>2</v>
      </c>
      <c r="H839" s="12">
        <v>0.16</v>
      </c>
      <c r="I839" s="12">
        <v>0.2273</v>
      </c>
      <c r="J839" s="12">
        <v>1</v>
      </c>
      <c r="K839" s="12">
        <v>0</v>
      </c>
      <c r="L839" s="12">
        <v>7</v>
      </c>
      <c r="M839" s="12">
        <v>223</v>
      </c>
      <c r="N839" s="12">
        <v>230</v>
      </c>
      <c r="O839" s="12" t="str">
        <f>VLOOKUP(G839,calculate_field!$B$2:$C$5,2,FALSE)</f>
        <v xml:space="preserve">Mist / cloudy </v>
      </c>
      <c r="P839" s="12" t="str">
        <f t="shared" si="93"/>
        <v>Monday</v>
      </c>
      <c r="Q839" s="12" t="str">
        <f t="shared" si="94"/>
        <v>Weekday</v>
      </c>
      <c r="R839" s="12" t="str">
        <f t="shared" si="95"/>
        <v>Morning</v>
      </c>
      <c r="S839" s="28" t="str">
        <f>INDEX(calculate_field!$F$2:$F$4, MATCH(H839, calculate_field!$E$2:$E$4, 1))</f>
        <v>Cold</v>
      </c>
      <c r="T839" s="33">
        <f t="shared" si="96"/>
        <v>71.333333333333329</v>
      </c>
      <c r="U839" s="33">
        <f t="shared" si="97"/>
        <v>65.483264816397877</v>
      </c>
      <c r="V839" s="33">
        <f t="shared" si="98"/>
        <v>0.52313270885528829</v>
      </c>
      <c r="W839" s="12" t="b">
        <f t="shared" si="99"/>
        <v>0</v>
      </c>
    </row>
    <row r="840" spans="1:23">
      <c r="A840" s="26">
        <v>839</v>
      </c>
      <c r="B840" s="27">
        <v>40581</v>
      </c>
      <c r="C840" s="12">
        <v>2</v>
      </c>
      <c r="D840" s="12">
        <v>9</v>
      </c>
      <c r="E840" s="12" t="b">
        <v>0</v>
      </c>
      <c r="F840" s="12">
        <v>1</v>
      </c>
      <c r="G840" s="12">
        <v>1</v>
      </c>
      <c r="H840" s="12">
        <v>0.22</v>
      </c>
      <c r="I840" s="12">
        <v>0.2727</v>
      </c>
      <c r="J840" s="12">
        <v>0.8</v>
      </c>
      <c r="K840" s="12">
        <v>0</v>
      </c>
      <c r="L840" s="12">
        <v>3</v>
      </c>
      <c r="M840" s="12">
        <v>115</v>
      </c>
      <c r="N840" s="12">
        <v>118</v>
      </c>
      <c r="O840" s="12" t="str">
        <f>VLOOKUP(G840,calculate_field!$B$2:$C$5,2,FALSE)</f>
        <v>Clear/Partly Cloudy</v>
      </c>
      <c r="P840" s="12" t="str">
        <f t="shared" si="93"/>
        <v>Monday</v>
      </c>
      <c r="Q840" s="12" t="str">
        <f t="shared" si="94"/>
        <v>Weekday</v>
      </c>
      <c r="R840" s="12" t="str">
        <f t="shared" si="95"/>
        <v>Morning</v>
      </c>
      <c r="S840" s="28" t="str">
        <f>INDEX(calculate_field!$F$2:$F$4, MATCH(H840, calculate_field!$E$2:$E$4, 1))</f>
        <v>Mild</v>
      </c>
      <c r="T840" s="33">
        <f t="shared" si="96"/>
        <v>71.875</v>
      </c>
      <c r="U840" s="33">
        <f t="shared" si="97"/>
        <v>66.891419154640005</v>
      </c>
      <c r="V840" s="33">
        <f t="shared" si="98"/>
        <v>2.6037163197705153</v>
      </c>
      <c r="W840" s="12" t="b">
        <f t="shared" si="99"/>
        <v>0</v>
      </c>
    </row>
    <row r="841" spans="1:23">
      <c r="A841" s="26">
        <v>840</v>
      </c>
      <c r="B841" s="27">
        <v>40581</v>
      </c>
      <c r="C841" s="12">
        <v>2</v>
      </c>
      <c r="D841" s="12">
        <v>10</v>
      </c>
      <c r="E841" s="12" t="b">
        <v>0</v>
      </c>
      <c r="F841" s="12">
        <v>1</v>
      </c>
      <c r="G841" s="12">
        <v>1</v>
      </c>
      <c r="H841" s="12">
        <v>0.24</v>
      </c>
      <c r="I841" s="12">
        <v>0.2576</v>
      </c>
      <c r="J841" s="12">
        <v>0.75</v>
      </c>
      <c r="K841" s="12">
        <v>0.1045</v>
      </c>
      <c r="L841" s="12">
        <v>6</v>
      </c>
      <c r="M841" s="12">
        <v>49</v>
      </c>
      <c r="N841" s="12">
        <v>55</v>
      </c>
      <c r="O841" s="12" t="str">
        <f>VLOOKUP(G841,calculate_field!$B$2:$C$5,2,FALSE)</f>
        <v>Clear/Partly Cloudy</v>
      </c>
      <c r="P841" s="12" t="str">
        <f t="shared" si="93"/>
        <v>Monday</v>
      </c>
      <c r="Q841" s="12" t="str">
        <f t="shared" si="94"/>
        <v>Weekday</v>
      </c>
      <c r="R841" s="12" t="str">
        <f t="shared" si="95"/>
        <v>Morning</v>
      </c>
      <c r="S841" s="28" t="str">
        <f>INDEX(calculate_field!$F$2:$F$4, MATCH(H841, calculate_field!$E$2:$E$4, 1))</f>
        <v>Mild</v>
      </c>
      <c r="T841" s="33">
        <f t="shared" si="96"/>
        <v>72.583333333333329</v>
      </c>
      <c r="U841" s="33">
        <f t="shared" si="97"/>
        <v>67.488431644224036</v>
      </c>
      <c r="V841" s="33">
        <f t="shared" si="98"/>
        <v>1.208044754245913</v>
      </c>
      <c r="W841" s="12" t="b">
        <f t="shared" si="99"/>
        <v>0</v>
      </c>
    </row>
    <row r="842" spans="1:23">
      <c r="A842" s="26">
        <v>841</v>
      </c>
      <c r="B842" s="27">
        <v>40581</v>
      </c>
      <c r="C842" s="12">
        <v>2</v>
      </c>
      <c r="D842" s="12">
        <v>11</v>
      </c>
      <c r="E842" s="12" t="b">
        <v>0</v>
      </c>
      <c r="F842" s="12">
        <v>1</v>
      </c>
      <c r="G842" s="12">
        <v>1</v>
      </c>
      <c r="H842" s="12">
        <v>0.3</v>
      </c>
      <c r="I842" s="12">
        <v>0.31819999999999998</v>
      </c>
      <c r="J842" s="12">
        <v>0.65</v>
      </c>
      <c r="K842" s="12">
        <v>8.9599999999999999E-2</v>
      </c>
      <c r="L842" s="12">
        <v>11</v>
      </c>
      <c r="M842" s="12">
        <v>36</v>
      </c>
      <c r="N842" s="12">
        <v>47</v>
      </c>
      <c r="O842" s="12" t="str">
        <f>VLOOKUP(G842,calculate_field!$B$2:$C$5,2,FALSE)</f>
        <v>Clear/Partly Cloudy</v>
      </c>
      <c r="P842" s="12" t="str">
        <f t="shared" si="93"/>
        <v>Monday</v>
      </c>
      <c r="Q842" s="12" t="str">
        <f t="shared" si="94"/>
        <v>Weekday</v>
      </c>
      <c r="R842" s="12" t="str">
        <f t="shared" si="95"/>
        <v>Morning</v>
      </c>
      <c r="S842" s="28" t="str">
        <f>INDEX(calculate_field!$F$2:$F$4, MATCH(H842, calculate_field!$E$2:$E$4, 1))</f>
        <v>Warm</v>
      </c>
      <c r="T842" s="33">
        <f t="shared" si="96"/>
        <v>72.291666666666671</v>
      </c>
      <c r="U842" s="33">
        <f t="shared" si="97"/>
        <v>67.582786055433473</v>
      </c>
      <c r="V842" s="33">
        <f t="shared" si="98"/>
        <v>-0.30819939681792463</v>
      </c>
      <c r="W842" s="12" t="b">
        <f t="shared" si="99"/>
        <v>0</v>
      </c>
    </row>
    <row r="843" spans="1:23">
      <c r="A843" s="26">
        <v>842</v>
      </c>
      <c r="B843" s="27">
        <v>40581</v>
      </c>
      <c r="C843" s="12">
        <v>2</v>
      </c>
      <c r="D843" s="12">
        <v>12</v>
      </c>
      <c r="E843" s="12" t="b">
        <v>0</v>
      </c>
      <c r="F843" s="12">
        <v>1</v>
      </c>
      <c r="G843" s="12">
        <v>2</v>
      </c>
      <c r="H843" s="12">
        <v>0.32</v>
      </c>
      <c r="I843" s="12">
        <v>0.34849999999999998</v>
      </c>
      <c r="J843" s="12">
        <v>0.62</v>
      </c>
      <c r="K843" s="12">
        <v>0</v>
      </c>
      <c r="L843" s="12">
        <v>7</v>
      </c>
      <c r="M843" s="12">
        <v>59</v>
      </c>
      <c r="N843" s="12">
        <v>66</v>
      </c>
      <c r="O843" s="12" t="str">
        <f>VLOOKUP(G843,calculate_field!$B$2:$C$5,2,FALSE)</f>
        <v xml:space="preserve">Mist / cloudy </v>
      </c>
      <c r="P843" s="12" t="str">
        <f t="shared" si="93"/>
        <v>Monday</v>
      </c>
      <c r="Q843" s="12" t="str">
        <f t="shared" si="94"/>
        <v>Weekday</v>
      </c>
      <c r="R843" s="12" t="str">
        <f t="shared" si="95"/>
        <v>Afternoon</v>
      </c>
      <c r="S843" s="28" t="str">
        <f>INDEX(calculate_field!$F$2:$F$4, MATCH(H843, calculate_field!$E$2:$E$4, 1))</f>
        <v>Warm</v>
      </c>
      <c r="T843" s="33">
        <f t="shared" si="96"/>
        <v>72.416666666666671</v>
      </c>
      <c r="U843" s="33">
        <f t="shared" si="97"/>
        <v>67.536731820006921</v>
      </c>
      <c r="V843" s="33">
        <f t="shared" si="98"/>
        <v>-0.26505409442115174</v>
      </c>
      <c r="W843" s="12" t="b">
        <f t="shared" si="99"/>
        <v>0</v>
      </c>
    </row>
    <row r="844" spans="1:23">
      <c r="A844" s="26">
        <v>843</v>
      </c>
      <c r="B844" s="27">
        <v>40581</v>
      </c>
      <c r="C844" s="12">
        <v>2</v>
      </c>
      <c r="D844" s="12">
        <v>13</v>
      </c>
      <c r="E844" s="12" t="b">
        <v>0</v>
      </c>
      <c r="F844" s="12">
        <v>1</v>
      </c>
      <c r="G844" s="12">
        <v>2</v>
      </c>
      <c r="H844" s="12">
        <v>0.36</v>
      </c>
      <c r="I844" s="12">
        <v>0.36359999999999998</v>
      </c>
      <c r="J844" s="12">
        <v>0.56999999999999995</v>
      </c>
      <c r="K844" s="12">
        <v>8.9599999999999999E-2</v>
      </c>
      <c r="L844" s="12">
        <v>10</v>
      </c>
      <c r="M844" s="12">
        <v>54</v>
      </c>
      <c r="N844" s="12">
        <v>64</v>
      </c>
      <c r="O844" s="12" t="str">
        <f>VLOOKUP(G844,calculate_field!$B$2:$C$5,2,FALSE)</f>
        <v xml:space="preserve">Mist / cloudy </v>
      </c>
      <c r="P844" s="12" t="str">
        <f t="shared" si="93"/>
        <v>Monday</v>
      </c>
      <c r="Q844" s="12" t="str">
        <f t="shared" si="94"/>
        <v>Weekday</v>
      </c>
      <c r="R844" s="12" t="str">
        <f t="shared" si="95"/>
        <v>Afternoon</v>
      </c>
      <c r="S844" s="28" t="str">
        <f>INDEX(calculate_field!$F$2:$F$4, MATCH(H844, calculate_field!$E$2:$E$4, 1))</f>
        <v>Warm</v>
      </c>
      <c r="T844" s="33">
        <f t="shared" si="96"/>
        <v>72.375</v>
      </c>
      <c r="U844" s="33">
        <f t="shared" si="97"/>
        <v>67.541171018932559</v>
      </c>
      <c r="V844" s="33">
        <f t="shared" si="98"/>
        <v>4.6434104091213945E-3</v>
      </c>
      <c r="W844" s="12" t="b">
        <f t="shared" si="99"/>
        <v>0</v>
      </c>
    </row>
    <row r="845" spans="1:23">
      <c r="A845" s="26">
        <v>844</v>
      </c>
      <c r="B845" s="27">
        <v>40581</v>
      </c>
      <c r="C845" s="12">
        <v>2</v>
      </c>
      <c r="D845" s="12">
        <v>14</v>
      </c>
      <c r="E845" s="12" t="b">
        <v>0</v>
      </c>
      <c r="F845" s="12">
        <v>1</v>
      </c>
      <c r="G845" s="12">
        <v>2</v>
      </c>
      <c r="H845" s="12">
        <v>0.36</v>
      </c>
      <c r="I845" s="12">
        <v>0.36359999999999998</v>
      </c>
      <c r="J845" s="12">
        <v>0.56999999999999995</v>
      </c>
      <c r="K845" s="12">
        <v>8.9599999999999999E-2</v>
      </c>
      <c r="L845" s="12">
        <v>8</v>
      </c>
      <c r="M845" s="12">
        <v>52</v>
      </c>
      <c r="N845" s="12">
        <v>60</v>
      </c>
      <c r="O845" s="12" t="str">
        <f>VLOOKUP(G845,calculate_field!$B$2:$C$5,2,FALSE)</f>
        <v xml:space="preserve">Mist / cloudy </v>
      </c>
      <c r="P845" s="12" t="str">
        <f t="shared" si="93"/>
        <v>Monday</v>
      </c>
      <c r="Q845" s="12" t="str">
        <f t="shared" si="94"/>
        <v>Weekday</v>
      </c>
      <c r="R845" s="12" t="str">
        <f t="shared" si="95"/>
        <v>Afternoon</v>
      </c>
      <c r="S845" s="28" t="str">
        <f>INDEX(calculate_field!$F$2:$F$4, MATCH(H845, calculate_field!$E$2:$E$4, 1))</f>
        <v>Warm</v>
      </c>
      <c r="T845" s="33">
        <f t="shared" si="96"/>
        <v>71.791666666666671</v>
      </c>
      <c r="U845" s="33">
        <f t="shared" si="97"/>
        <v>67.676968766702871</v>
      </c>
      <c r="V845" s="33">
        <f t="shared" si="98"/>
        <v>-0.2770208127827789</v>
      </c>
      <c r="W845" s="12" t="b">
        <f t="shared" si="99"/>
        <v>0</v>
      </c>
    </row>
    <row r="846" spans="1:23">
      <c r="A846" s="26">
        <v>845</v>
      </c>
      <c r="B846" s="27">
        <v>40581</v>
      </c>
      <c r="C846" s="12">
        <v>2</v>
      </c>
      <c r="D846" s="12">
        <v>15</v>
      </c>
      <c r="E846" s="12" t="b">
        <v>0</v>
      </c>
      <c r="F846" s="12">
        <v>1</v>
      </c>
      <c r="G846" s="12">
        <v>2</v>
      </c>
      <c r="H846" s="12">
        <v>0.38</v>
      </c>
      <c r="I846" s="12">
        <v>0.39389999999999997</v>
      </c>
      <c r="J846" s="12">
        <v>0.54</v>
      </c>
      <c r="K846" s="12">
        <v>8.9599999999999999E-2</v>
      </c>
      <c r="L846" s="12">
        <v>4</v>
      </c>
      <c r="M846" s="12">
        <v>46</v>
      </c>
      <c r="N846" s="12">
        <v>50</v>
      </c>
      <c r="O846" s="12" t="str">
        <f>VLOOKUP(G846,calculate_field!$B$2:$C$5,2,FALSE)</f>
        <v xml:space="preserve">Mist / cloudy </v>
      </c>
      <c r="P846" s="12" t="str">
        <f t="shared" si="93"/>
        <v>Monday</v>
      </c>
      <c r="Q846" s="12" t="str">
        <f t="shared" si="94"/>
        <v>Weekday</v>
      </c>
      <c r="R846" s="12" t="str">
        <f t="shared" si="95"/>
        <v>Afternoon</v>
      </c>
      <c r="S846" s="28" t="str">
        <f>INDEX(calculate_field!$F$2:$F$4, MATCH(H846, calculate_field!$E$2:$E$4, 1))</f>
        <v>Warm</v>
      </c>
      <c r="T846" s="33">
        <f t="shared" si="96"/>
        <v>71.958333333333329</v>
      </c>
      <c r="U846" s="33">
        <f t="shared" si="97"/>
        <v>67.651587703767746</v>
      </c>
      <c r="V846" s="33">
        <f t="shared" si="98"/>
        <v>-2.3244961149734417E-2</v>
      </c>
      <c r="W846" s="12" t="b">
        <f t="shared" si="99"/>
        <v>0</v>
      </c>
    </row>
    <row r="847" spans="1:23">
      <c r="A847" s="26">
        <v>846</v>
      </c>
      <c r="B847" s="27">
        <v>40581</v>
      </c>
      <c r="C847" s="12">
        <v>2</v>
      </c>
      <c r="D847" s="12">
        <v>16</v>
      </c>
      <c r="E847" s="12" t="b">
        <v>0</v>
      </c>
      <c r="F847" s="12">
        <v>1</v>
      </c>
      <c r="G847" s="12">
        <v>2</v>
      </c>
      <c r="H847" s="12">
        <v>0.36</v>
      </c>
      <c r="I847" s="12">
        <v>0.34849999999999998</v>
      </c>
      <c r="J847" s="12">
        <v>0.56999999999999995</v>
      </c>
      <c r="K847" s="12">
        <v>0.1343</v>
      </c>
      <c r="L847" s="12">
        <v>16</v>
      </c>
      <c r="M847" s="12">
        <v>98</v>
      </c>
      <c r="N847" s="12">
        <v>114</v>
      </c>
      <c r="O847" s="12" t="str">
        <f>VLOOKUP(G847,calculate_field!$B$2:$C$5,2,FALSE)</f>
        <v xml:space="preserve">Mist / cloudy </v>
      </c>
      <c r="P847" s="12" t="str">
        <f t="shared" si="93"/>
        <v>Monday</v>
      </c>
      <c r="Q847" s="12" t="str">
        <f t="shared" si="94"/>
        <v>Weekday</v>
      </c>
      <c r="R847" s="12" t="str">
        <f t="shared" si="95"/>
        <v>Afternoon</v>
      </c>
      <c r="S847" s="28" t="str">
        <f>INDEX(calculate_field!$F$2:$F$4, MATCH(H847, calculate_field!$E$2:$E$4, 1))</f>
        <v>Warm</v>
      </c>
      <c r="T847" s="33">
        <f t="shared" si="96"/>
        <v>72</v>
      </c>
      <c r="U847" s="33">
        <f t="shared" si="97"/>
        <v>67.637782083813121</v>
      </c>
      <c r="V847" s="33">
        <f t="shared" si="98"/>
        <v>-0.26499255710697234</v>
      </c>
      <c r="W847" s="12" t="b">
        <f t="shared" si="99"/>
        <v>1</v>
      </c>
    </row>
    <row r="848" spans="1:23">
      <c r="A848" s="26">
        <v>847</v>
      </c>
      <c r="B848" s="27">
        <v>40581</v>
      </c>
      <c r="C848" s="12">
        <v>2</v>
      </c>
      <c r="D848" s="12">
        <v>17</v>
      </c>
      <c r="E848" s="12" t="b">
        <v>0</v>
      </c>
      <c r="F848" s="12">
        <v>1</v>
      </c>
      <c r="G848" s="12">
        <v>2</v>
      </c>
      <c r="H848" s="12">
        <v>0.32</v>
      </c>
      <c r="I848" s="12">
        <v>0.31819999999999998</v>
      </c>
      <c r="J848" s="12">
        <v>0.7</v>
      </c>
      <c r="K848" s="12">
        <v>0.16420000000000001</v>
      </c>
      <c r="L848" s="12">
        <v>9</v>
      </c>
      <c r="M848" s="12">
        <v>207</v>
      </c>
      <c r="N848" s="12">
        <v>216</v>
      </c>
      <c r="O848" s="12" t="str">
        <f>VLOOKUP(G848,calculate_field!$B$2:$C$5,2,FALSE)</f>
        <v xml:space="preserve">Mist / cloudy </v>
      </c>
      <c r="P848" s="12" t="str">
        <f t="shared" si="93"/>
        <v>Monday</v>
      </c>
      <c r="Q848" s="12" t="str">
        <f t="shared" si="94"/>
        <v>Weekday</v>
      </c>
      <c r="R848" s="12" t="str">
        <f t="shared" si="95"/>
        <v>Evening</v>
      </c>
      <c r="S848" s="28" t="str">
        <f>INDEX(calculate_field!$F$2:$F$4, MATCH(H848, calculate_field!$E$2:$E$4, 1))</f>
        <v>Warm</v>
      </c>
      <c r="T848" s="33">
        <f t="shared" si="96"/>
        <v>70.708333333333329</v>
      </c>
      <c r="U848" s="33">
        <f t="shared" si="97"/>
        <v>67.094663279427152</v>
      </c>
      <c r="V848" s="33">
        <f t="shared" si="98"/>
        <v>0.30849139575050188</v>
      </c>
      <c r="W848" s="12" t="b">
        <f t="shared" si="99"/>
        <v>0</v>
      </c>
    </row>
    <row r="849" spans="1:23">
      <c r="A849" s="26">
        <v>848</v>
      </c>
      <c r="B849" s="27">
        <v>40581</v>
      </c>
      <c r="C849" s="12">
        <v>2</v>
      </c>
      <c r="D849" s="12">
        <v>18</v>
      </c>
      <c r="E849" s="12" t="b">
        <v>0</v>
      </c>
      <c r="F849" s="12">
        <v>1</v>
      </c>
      <c r="G849" s="12">
        <v>2</v>
      </c>
      <c r="H849" s="12">
        <v>0.34</v>
      </c>
      <c r="I849" s="12">
        <v>0.33329999999999999</v>
      </c>
      <c r="J849" s="12">
        <v>0.66</v>
      </c>
      <c r="K849" s="12">
        <v>0.1343</v>
      </c>
      <c r="L849" s="12">
        <v>5</v>
      </c>
      <c r="M849" s="12">
        <v>170</v>
      </c>
      <c r="N849" s="12">
        <v>175</v>
      </c>
      <c r="O849" s="12" t="str">
        <f>VLOOKUP(G849,calculate_field!$B$2:$C$5,2,FALSE)</f>
        <v xml:space="preserve">Mist / cloudy </v>
      </c>
      <c r="P849" s="12" t="str">
        <f t="shared" si="93"/>
        <v>Monday</v>
      </c>
      <c r="Q849" s="12" t="str">
        <f t="shared" si="94"/>
        <v>Weekday</v>
      </c>
      <c r="R849" s="12" t="str">
        <f t="shared" si="95"/>
        <v>Evening</v>
      </c>
      <c r="S849" s="28" t="str">
        <f>INDEX(calculate_field!$F$2:$F$4, MATCH(H849, calculate_field!$E$2:$E$4, 1))</f>
        <v>Warm</v>
      </c>
      <c r="T849" s="33">
        <f t="shared" si="96"/>
        <v>69.041666666666671</v>
      </c>
      <c r="U849" s="33">
        <f t="shared" si="97"/>
        <v>63.741651911491886</v>
      </c>
      <c r="V849" s="33">
        <f t="shared" si="98"/>
        <v>1.8483902509310826</v>
      </c>
      <c r="W849" s="12" t="b">
        <f t="shared" si="99"/>
        <v>0</v>
      </c>
    </row>
    <row r="850" spans="1:23">
      <c r="A850" s="26">
        <v>849</v>
      </c>
      <c r="B850" s="27">
        <v>40581</v>
      </c>
      <c r="C850" s="12">
        <v>2</v>
      </c>
      <c r="D850" s="12">
        <v>19</v>
      </c>
      <c r="E850" s="12" t="b">
        <v>0</v>
      </c>
      <c r="F850" s="12">
        <v>1</v>
      </c>
      <c r="G850" s="12">
        <v>2</v>
      </c>
      <c r="H850" s="12">
        <v>0.32</v>
      </c>
      <c r="I850" s="12">
        <v>0.34849999999999998</v>
      </c>
      <c r="J850" s="12">
        <v>0.7</v>
      </c>
      <c r="K850" s="12">
        <v>0</v>
      </c>
      <c r="L850" s="12">
        <v>5</v>
      </c>
      <c r="M850" s="12">
        <v>123</v>
      </c>
      <c r="N850" s="12">
        <v>128</v>
      </c>
      <c r="O850" s="12" t="str">
        <f>VLOOKUP(G850,calculate_field!$B$2:$C$5,2,FALSE)</f>
        <v xml:space="preserve">Mist / cloudy </v>
      </c>
      <c r="P850" s="12" t="str">
        <f t="shared" si="93"/>
        <v>Monday</v>
      </c>
      <c r="Q850" s="12" t="str">
        <f t="shared" si="94"/>
        <v>Weekday</v>
      </c>
      <c r="R850" s="12" t="str">
        <f t="shared" si="95"/>
        <v>Evening</v>
      </c>
      <c r="S850" s="28" t="str">
        <f>INDEX(calculate_field!$F$2:$F$4, MATCH(H850, calculate_field!$E$2:$E$4, 1))</f>
        <v>Warm</v>
      </c>
      <c r="T850" s="33">
        <f t="shared" si="96"/>
        <v>68.083333333333329</v>
      </c>
      <c r="U850" s="33">
        <f t="shared" si="97"/>
        <v>62.234421250669612</v>
      </c>
      <c r="V850" s="33">
        <f t="shared" si="98"/>
        <v>1.4466026220704189</v>
      </c>
      <c r="W850" s="12" t="b">
        <f t="shared" si="99"/>
        <v>0</v>
      </c>
    </row>
    <row r="851" spans="1:23">
      <c r="A851" s="26">
        <v>850</v>
      </c>
      <c r="B851" s="27">
        <v>40581</v>
      </c>
      <c r="C851" s="12">
        <v>2</v>
      </c>
      <c r="D851" s="12">
        <v>20</v>
      </c>
      <c r="E851" s="12" t="b">
        <v>0</v>
      </c>
      <c r="F851" s="12">
        <v>1</v>
      </c>
      <c r="G851" s="12">
        <v>2</v>
      </c>
      <c r="H851" s="12">
        <v>0.32</v>
      </c>
      <c r="I851" s="12">
        <v>0.33329999999999999</v>
      </c>
      <c r="J851" s="12">
        <v>0.7</v>
      </c>
      <c r="K851" s="12">
        <v>0.1045</v>
      </c>
      <c r="L851" s="12">
        <v>6</v>
      </c>
      <c r="M851" s="12">
        <v>82</v>
      </c>
      <c r="N851" s="12">
        <v>88</v>
      </c>
      <c r="O851" s="12" t="str">
        <f>VLOOKUP(G851,calculate_field!$B$2:$C$5,2,FALSE)</f>
        <v xml:space="preserve">Mist / cloudy </v>
      </c>
      <c r="P851" s="12" t="str">
        <f t="shared" si="93"/>
        <v>Monday</v>
      </c>
      <c r="Q851" s="12" t="str">
        <f t="shared" si="94"/>
        <v>Weekday</v>
      </c>
      <c r="R851" s="12" t="str">
        <f t="shared" si="95"/>
        <v>Evening</v>
      </c>
      <c r="S851" s="28" t="str">
        <f>INDEX(calculate_field!$F$2:$F$4, MATCH(H851, calculate_field!$E$2:$E$4, 1))</f>
        <v>Warm</v>
      </c>
      <c r="T851" s="33">
        <f t="shared" si="96"/>
        <v>66.958333333333329</v>
      </c>
      <c r="U851" s="33">
        <f t="shared" si="97"/>
        <v>61.341863970393973</v>
      </c>
      <c r="V851" s="33">
        <f t="shared" si="98"/>
        <v>0.62624602990093792</v>
      </c>
      <c r="W851" s="12" t="b">
        <f t="shared" si="99"/>
        <v>0</v>
      </c>
    </row>
    <row r="852" spans="1:23">
      <c r="A852" s="26">
        <v>851</v>
      </c>
      <c r="B852" s="27">
        <v>40581</v>
      </c>
      <c r="C852" s="12">
        <v>2</v>
      </c>
      <c r="D852" s="12">
        <v>21</v>
      </c>
      <c r="E852" s="12" t="b">
        <v>0</v>
      </c>
      <c r="F852" s="12">
        <v>1</v>
      </c>
      <c r="G852" s="12">
        <v>1</v>
      </c>
      <c r="H852" s="12">
        <v>0.32</v>
      </c>
      <c r="I852" s="12">
        <v>0.34849999999999998</v>
      </c>
      <c r="J852" s="12">
        <v>0.7</v>
      </c>
      <c r="K852" s="12">
        <v>0</v>
      </c>
      <c r="L852" s="12">
        <v>3</v>
      </c>
      <c r="M852" s="12">
        <v>75</v>
      </c>
      <c r="N852" s="12">
        <v>78</v>
      </c>
      <c r="O852" s="12" t="str">
        <f>VLOOKUP(G852,calculate_field!$B$2:$C$5,2,FALSE)</f>
        <v>Clear/Partly Cloudy</v>
      </c>
      <c r="P852" s="12" t="str">
        <f t="shared" si="93"/>
        <v>Monday</v>
      </c>
      <c r="Q852" s="12" t="str">
        <f t="shared" si="94"/>
        <v>Weekday</v>
      </c>
      <c r="R852" s="12" t="str">
        <f t="shared" si="95"/>
        <v>Night</v>
      </c>
      <c r="S852" s="28" t="str">
        <f>INDEX(calculate_field!$F$2:$F$4, MATCH(H852, calculate_field!$E$2:$E$4, 1))</f>
        <v>Warm</v>
      </c>
      <c r="T852" s="33">
        <f t="shared" si="96"/>
        <v>65.625</v>
      </c>
      <c r="U852" s="33">
        <f t="shared" si="97"/>
        <v>61.212255450941392</v>
      </c>
      <c r="V852" s="33">
        <f t="shared" si="98"/>
        <v>-0.18979712863381612</v>
      </c>
      <c r="W852" s="12" t="b">
        <f t="shared" si="99"/>
        <v>0</v>
      </c>
    </row>
    <row r="853" spans="1:23">
      <c r="A853" s="26">
        <v>852</v>
      </c>
      <c r="B853" s="27">
        <v>40581</v>
      </c>
      <c r="C853" s="12">
        <v>2</v>
      </c>
      <c r="D853" s="12">
        <v>22</v>
      </c>
      <c r="E853" s="12" t="b">
        <v>0</v>
      </c>
      <c r="F853" s="12">
        <v>1</v>
      </c>
      <c r="G853" s="12">
        <v>1</v>
      </c>
      <c r="H853" s="12">
        <v>0.28000000000000003</v>
      </c>
      <c r="I853" s="12">
        <v>0.30299999999999999</v>
      </c>
      <c r="J853" s="12">
        <v>0.81</v>
      </c>
      <c r="K853" s="12">
        <v>8.9599999999999999E-2</v>
      </c>
      <c r="L853" s="12">
        <v>3</v>
      </c>
      <c r="M853" s="12">
        <v>34</v>
      </c>
      <c r="N853" s="12">
        <v>37</v>
      </c>
      <c r="O853" s="12" t="str">
        <f>VLOOKUP(G853,calculate_field!$B$2:$C$5,2,FALSE)</f>
        <v>Clear/Partly Cloudy</v>
      </c>
      <c r="P853" s="12" t="str">
        <f t="shared" si="93"/>
        <v>Monday</v>
      </c>
      <c r="Q853" s="12" t="str">
        <f t="shared" si="94"/>
        <v>Weekday</v>
      </c>
      <c r="R853" s="12" t="str">
        <f t="shared" si="95"/>
        <v>Night</v>
      </c>
      <c r="S853" s="28" t="str">
        <f>INDEX(calculate_field!$F$2:$F$4, MATCH(H853, calculate_field!$E$2:$E$4, 1))</f>
        <v>Mild</v>
      </c>
      <c r="T853" s="33">
        <f t="shared" si="96"/>
        <v>64.625</v>
      </c>
      <c r="U853" s="33">
        <f t="shared" si="97"/>
        <v>61.197337609039678</v>
      </c>
      <c r="V853" s="33">
        <f t="shared" si="98"/>
        <v>-0.24739463906218812</v>
      </c>
      <c r="W853" s="12" t="b">
        <f t="shared" si="99"/>
        <v>0</v>
      </c>
    </row>
    <row r="854" spans="1:23">
      <c r="A854" s="26">
        <v>853</v>
      </c>
      <c r="B854" s="27">
        <v>40581</v>
      </c>
      <c r="C854" s="12">
        <v>2</v>
      </c>
      <c r="D854" s="12">
        <v>23</v>
      </c>
      <c r="E854" s="12" t="b">
        <v>0</v>
      </c>
      <c r="F854" s="12">
        <v>1</v>
      </c>
      <c r="G854" s="12">
        <v>2</v>
      </c>
      <c r="H854" s="12">
        <v>0.3</v>
      </c>
      <c r="I854" s="12">
        <v>0.33329999999999999</v>
      </c>
      <c r="J854" s="12">
        <v>0.81</v>
      </c>
      <c r="K854" s="12">
        <v>0</v>
      </c>
      <c r="L854" s="12">
        <v>6</v>
      </c>
      <c r="M854" s="12">
        <v>19</v>
      </c>
      <c r="N854" s="12">
        <v>25</v>
      </c>
      <c r="O854" s="12" t="str">
        <f>VLOOKUP(G854,calculate_field!$B$2:$C$5,2,FALSE)</f>
        <v xml:space="preserve">Mist / cloudy </v>
      </c>
      <c r="P854" s="12" t="str">
        <f t="shared" si="93"/>
        <v>Monday</v>
      </c>
      <c r="Q854" s="12" t="str">
        <f t="shared" si="94"/>
        <v>Weekday</v>
      </c>
      <c r="R854" s="12" t="str">
        <f t="shared" si="95"/>
        <v>Night</v>
      </c>
      <c r="S854" s="28" t="str">
        <f>INDEX(calculate_field!$F$2:$F$4, MATCH(H854, calculate_field!$E$2:$E$4, 1))</f>
        <v>Warm</v>
      </c>
      <c r="T854" s="33">
        <f t="shared" si="96"/>
        <v>64.291666666666671</v>
      </c>
      <c r="U854" s="33">
        <f t="shared" si="97"/>
        <v>61.37587627403618</v>
      </c>
      <c r="V854" s="33">
        <f t="shared" si="98"/>
        <v>-0.70221238432893418</v>
      </c>
      <c r="W854" s="12" t="b">
        <f t="shared" si="99"/>
        <v>0</v>
      </c>
    </row>
    <row r="855" spans="1:23">
      <c r="A855" s="26">
        <v>854</v>
      </c>
      <c r="B855" s="27">
        <v>40582</v>
      </c>
      <c r="C855" s="12">
        <v>2</v>
      </c>
      <c r="D855" s="12">
        <v>0</v>
      </c>
      <c r="E855" s="12" t="b">
        <v>0</v>
      </c>
      <c r="F855" s="12">
        <v>2</v>
      </c>
      <c r="G855" s="12">
        <v>2</v>
      </c>
      <c r="H855" s="12">
        <v>0.28000000000000003</v>
      </c>
      <c r="I855" s="12">
        <v>0.31819999999999998</v>
      </c>
      <c r="J855" s="12">
        <v>0.87</v>
      </c>
      <c r="K855" s="12">
        <v>0</v>
      </c>
      <c r="L855" s="12">
        <v>4</v>
      </c>
      <c r="M855" s="12">
        <v>6</v>
      </c>
      <c r="N855" s="12">
        <v>10</v>
      </c>
      <c r="O855" s="12" t="str">
        <f>VLOOKUP(G855,calculate_field!$B$2:$C$5,2,FALSE)</f>
        <v xml:space="preserve">Mist / cloudy </v>
      </c>
      <c r="P855" s="12" t="str">
        <f t="shared" si="93"/>
        <v>Tuesday</v>
      </c>
      <c r="Q855" s="12" t="str">
        <f t="shared" si="94"/>
        <v>Weekday</v>
      </c>
      <c r="R855" s="12" t="str">
        <f t="shared" si="95"/>
        <v>Night</v>
      </c>
      <c r="S855" s="28" t="str">
        <f>INDEX(calculate_field!$F$2:$F$4, MATCH(H855, calculate_field!$E$2:$E$4, 1))</f>
        <v>Mild</v>
      </c>
      <c r="T855" s="33">
        <f t="shared" si="96"/>
        <v>63.75</v>
      </c>
      <c r="U855" s="33">
        <f t="shared" si="97"/>
        <v>61.793660853999661</v>
      </c>
      <c r="V855" s="33">
        <f t="shared" si="98"/>
        <v>-1.0263384740309895</v>
      </c>
      <c r="W855" s="12" t="b">
        <f t="shared" si="99"/>
        <v>0</v>
      </c>
    </row>
    <row r="856" spans="1:23">
      <c r="A856" s="26">
        <v>855</v>
      </c>
      <c r="B856" s="27">
        <v>40582</v>
      </c>
      <c r="C856" s="12">
        <v>2</v>
      </c>
      <c r="D856" s="12">
        <v>1</v>
      </c>
      <c r="E856" s="12" t="b">
        <v>0</v>
      </c>
      <c r="F856" s="12">
        <v>2</v>
      </c>
      <c r="G856" s="12">
        <v>2</v>
      </c>
      <c r="H856" s="12">
        <v>0.28000000000000003</v>
      </c>
      <c r="I856" s="12">
        <v>0.31819999999999998</v>
      </c>
      <c r="J856" s="12">
        <v>0.87</v>
      </c>
      <c r="K856" s="12">
        <v>0</v>
      </c>
      <c r="L856" s="12">
        <v>0</v>
      </c>
      <c r="M856" s="12">
        <v>4</v>
      </c>
      <c r="N856" s="12">
        <v>4</v>
      </c>
      <c r="O856" s="12" t="str">
        <f>VLOOKUP(G856,calculate_field!$B$2:$C$5,2,FALSE)</f>
        <v xml:space="preserve">Mist / cloudy </v>
      </c>
      <c r="P856" s="12" t="str">
        <f t="shared" si="93"/>
        <v>Tuesday</v>
      </c>
      <c r="Q856" s="12" t="str">
        <f t="shared" si="94"/>
        <v>Weekday</v>
      </c>
      <c r="R856" s="12" t="str">
        <f t="shared" si="95"/>
        <v>Night</v>
      </c>
      <c r="S856" s="28" t="str">
        <f>INDEX(calculate_field!$F$2:$F$4, MATCH(H856, calculate_field!$E$2:$E$4, 1))</f>
        <v>Mild</v>
      </c>
      <c r="T856" s="33">
        <f t="shared" si="96"/>
        <v>64.041666666666671</v>
      </c>
      <c r="U856" s="33">
        <f t="shared" si="97"/>
        <v>61.544949403679333</v>
      </c>
      <c r="V856" s="33">
        <f t="shared" si="98"/>
        <v>-0.93976205934548107</v>
      </c>
      <c r="W856" s="12" t="b">
        <f t="shared" si="99"/>
        <v>1</v>
      </c>
    </row>
    <row r="857" spans="1:23">
      <c r="A857" s="26">
        <v>856</v>
      </c>
      <c r="B857" s="27">
        <v>40582</v>
      </c>
      <c r="C857" s="12">
        <v>2</v>
      </c>
      <c r="D857" s="12">
        <v>2</v>
      </c>
      <c r="E857" s="12" t="b">
        <v>0</v>
      </c>
      <c r="F857" s="12">
        <v>2</v>
      </c>
      <c r="G857" s="12">
        <v>2</v>
      </c>
      <c r="H857" s="12">
        <v>0.26</v>
      </c>
      <c r="I857" s="12">
        <v>0.2727</v>
      </c>
      <c r="J857" s="12">
        <v>0.93</v>
      </c>
      <c r="K857" s="12">
        <v>0.1045</v>
      </c>
      <c r="L857" s="12">
        <v>1</v>
      </c>
      <c r="M857" s="12">
        <v>1</v>
      </c>
      <c r="N857" s="12">
        <v>2</v>
      </c>
      <c r="O857" s="12" t="str">
        <f>VLOOKUP(G857,calculate_field!$B$2:$C$5,2,FALSE)</f>
        <v xml:space="preserve">Mist / cloudy </v>
      </c>
      <c r="P857" s="12" t="str">
        <f t="shared" si="93"/>
        <v>Tuesday</v>
      </c>
      <c r="Q857" s="12" t="str">
        <f t="shared" si="94"/>
        <v>Weekday</v>
      </c>
      <c r="R857" s="12" t="str">
        <f t="shared" si="95"/>
        <v>Night</v>
      </c>
      <c r="S857" s="28" t="str">
        <f>INDEX(calculate_field!$F$2:$F$4, MATCH(H857, calculate_field!$E$2:$E$4, 1))</f>
        <v>Mild</v>
      </c>
      <c r="T857" s="33">
        <f t="shared" si="96"/>
        <v>64.166666666666671</v>
      </c>
      <c r="U857" s="33">
        <f t="shared" si="97"/>
        <v>61.420621566564989</v>
      </c>
      <c r="V857" s="33">
        <f t="shared" si="98"/>
        <v>-1.1087685160280423</v>
      </c>
      <c r="W857" s="12" t="b">
        <f t="shared" si="99"/>
        <v>1</v>
      </c>
    </row>
    <row r="858" spans="1:23">
      <c r="A858" s="26">
        <v>857</v>
      </c>
      <c r="B858" s="27">
        <v>40582</v>
      </c>
      <c r="C858" s="12">
        <v>2</v>
      </c>
      <c r="D858" s="12">
        <v>3</v>
      </c>
      <c r="E858" s="12" t="b">
        <v>0</v>
      </c>
      <c r="F858" s="12">
        <v>2</v>
      </c>
      <c r="G858" s="12">
        <v>3</v>
      </c>
      <c r="H858" s="12">
        <v>0.28000000000000003</v>
      </c>
      <c r="I858" s="12">
        <v>0.2727</v>
      </c>
      <c r="J858" s="12">
        <v>0.93</v>
      </c>
      <c r="K858" s="12">
        <v>0.16420000000000001</v>
      </c>
      <c r="L858" s="12">
        <v>0</v>
      </c>
      <c r="M858" s="12">
        <v>1</v>
      </c>
      <c r="N858" s="12">
        <v>1</v>
      </c>
      <c r="O858" s="12" t="str">
        <f>VLOOKUP(G858,calculate_field!$B$2:$C$5,2,FALSE)</f>
        <v xml:space="preserve">Light Snow / Rain </v>
      </c>
      <c r="P858" s="12" t="str">
        <f t="shared" si="93"/>
        <v>Tuesday</v>
      </c>
      <c r="Q858" s="12" t="str">
        <f t="shared" si="94"/>
        <v>Weekday</v>
      </c>
      <c r="R858" s="12" t="str">
        <f t="shared" si="95"/>
        <v>Night</v>
      </c>
      <c r="S858" s="28" t="str">
        <f>INDEX(calculate_field!$F$2:$F$4, MATCH(H858, calculate_field!$E$2:$E$4, 1))</f>
        <v>Mild</v>
      </c>
      <c r="T858" s="33">
        <f t="shared" si="96"/>
        <v>64.208333333333329</v>
      </c>
      <c r="U858" s="33">
        <f t="shared" si="97"/>
        <v>61.37693885482075</v>
      </c>
      <c r="V858" s="33">
        <f t="shared" si="98"/>
        <v>-1.1751550784082678</v>
      </c>
      <c r="W858" s="12" t="b">
        <f t="shared" si="99"/>
        <v>0</v>
      </c>
    </row>
    <row r="859" spans="1:23">
      <c r="A859" s="26">
        <v>858</v>
      </c>
      <c r="B859" s="27">
        <v>40582</v>
      </c>
      <c r="C859" s="12">
        <v>2</v>
      </c>
      <c r="D859" s="12">
        <v>4</v>
      </c>
      <c r="E859" s="12" t="b">
        <v>0</v>
      </c>
      <c r="F859" s="12">
        <v>2</v>
      </c>
      <c r="G859" s="12">
        <v>1</v>
      </c>
      <c r="H859" s="12">
        <v>0.26</v>
      </c>
      <c r="I859" s="12">
        <v>0.2576</v>
      </c>
      <c r="J859" s="12">
        <v>0.93</v>
      </c>
      <c r="K859" s="12">
        <v>0.16420000000000001</v>
      </c>
      <c r="L859" s="12">
        <v>0</v>
      </c>
      <c r="M859" s="12">
        <v>3</v>
      </c>
      <c r="N859" s="12">
        <v>3</v>
      </c>
      <c r="O859" s="12" t="str">
        <f>VLOOKUP(G859,calculate_field!$B$2:$C$5,2,FALSE)</f>
        <v>Clear/Partly Cloudy</v>
      </c>
      <c r="P859" s="12" t="str">
        <f t="shared" si="93"/>
        <v>Tuesday</v>
      </c>
      <c r="Q859" s="12" t="str">
        <f t="shared" si="94"/>
        <v>Weekday</v>
      </c>
      <c r="R859" s="12" t="str">
        <f t="shared" si="95"/>
        <v>Night</v>
      </c>
      <c r="S859" s="28" t="str">
        <f>INDEX(calculate_field!$F$2:$F$4, MATCH(H859, calculate_field!$E$2:$E$4, 1))</f>
        <v>Mild</v>
      </c>
      <c r="T859" s="33">
        <f t="shared" si="96"/>
        <v>64.25</v>
      </c>
      <c r="U859" s="33">
        <f t="shared" si="97"/>
        <v>61.332486604111189</v>
      </c>
      <c r="V859" s="33">
        <f t="shared" si="98"/>
        <v>-1.1897325751987782</v>
      </c>
      <c r="W859" s="12" t="b">
        <f t="shared" si="99"/>
        <v>0</v>
      </c>
    </row>
    <row r="860" spans="1:23">
      <c r="A860" s="26">
        <v>859</v>
      </c>
      <c r="B860" s="27">
        <v>40582</v>
      </c>
      <c r="C860" s="12">
        <v>2</v>
      </c>
      <c r="D860" s="12">
        <v>5</v>
      </c>
      <c r="E860" s="12" t="b">
        <v>0</v>
      </c>
      <c r="F860" s="12">
        <v>2</v>
      </c>
      <c r="G860" s="12">
        <v>1</v>
      </c>
      <c r="H860" s="12">
        <v>0.26</v>
      </c>
      <c r="I860" s="12">
        <v>0.2273</v>
      </c>
      <c r="J860" s="12">
        <v>0.81</v>
      </c>
      <c r="K860" s="12">
        <v>0.32840000000000003</v>
      </c>
      <c r="L860" s="12">
        <v>0</v>
      </c>
      <c r="M860" s="12">
        <v>2</v>
      </c>
      <c r="N860" s="12">
        <v>2</v>
      </c>
      <c r="O860" s="12" t="str">
        <f>VLOOKUP(G860,calculate_field!$B$2:$C$5,2,FALSE)</f>
        <v>Clear/Partly Cloudy</v>
      </c>
      <c r="P860" s="12" t="str">
        <f t="shared" si="93"/>
        <v>Tuesday</v>
      </c>
      <c r="Q860" s="12" t="str">
        <f t="shared" si="94"/>
        <v>Weekday</v>
      </c>
      <c r="R860" s="12" t="str">
        <f t="shared" si="95"/>
        <v>Night</v>
      </c>
      <c r="S860" s="28" t="str">
        <f>INDEX(calculate_field!$F$2:$F$4, MATCH(H860, calculate_field!$E$2:$E$4, 1))</f>
        <v>Mild</v>
      </c>
      <c r="T860" s="33">
        <f t="shared" si="96"/>
        <v>64.416666666666671</v>
      </c>
      <c r="U860" s="33">
        <f t="shared" si="97"/>
        <v>61.164010920508289</v>
      </c>
      <c r="V860" s="33">
        <f t="shared" si="98"/>
        <v>-1.1051720149479523</v>
      </c>
      <c r="W860" s="12" t="b">
        <f t="shared" si="99"/>
        <v>0</v>
      </c>
    </row>
    <row r="861" spans="1:23">
      <c r="A861" s="26">
        <v>860</v>
      </c>
      <c r="B861" s="27">
        <v>40582</v>
      </c>
      <c r="C861" s="12">
        <v>2</v>
      </c>
      <c r="D861" s="12">
        <v>6</v>
      </c>
      <c r="E861" s="12" t="b">
        <v>0</v>
      </c>
      <c r="F861" s="12">
        <v>2</v>
      </c>
      <c r="G861" s="12">
        <v>1</v>
      </c>
      <c r="H861" s="12">
        <v>0.26</v>
      </c>
      <c r="I861" s="12">
        <v>0.2273</v>
      </c>
      <c r="J861" s="12">
        <v>0.7</v>
      </c>
      <c r="K861" s="12">
        <v>0.32840000000000003</v>
      </c>
      <c r="L861" s="12">
        <v>0</v>
      </c>
      <c r="M861" s="12">
        <v>39</v>
      </c>
      <c r="N861" s="12">
        <v>39</v>
      </c>
      <c r="O861" s="12" t="str">
        <f>VLOOKUP(G861,calculate_field!$B$2:$C$5,2,FALSE)</f>
        <v>Clear/Partly Cloudy</v>
      </c>
      <c r="P861" s="12" t="str">
        <f t="shared" si="93"/>
        <v>Tuesday</v>
      </c>
      <c r="Q861" s="12" t="str">
        <f t="shared" si="94"/>
        <v>Weekday</v>
      </c>
      <c r="R861" s="12" t="str">
        <f t="shared" si="95"/>
        <v>Morning</v>
      </c>
      <c r="S861" s="28" t="str">
        <f>INDEX(calculate_field!$F$2:$F$4, MATCH(H861, calculate_field!$E$2:$E$4, 1))</f>
        <v>Mild</v>
      </c>
      <c r="T861" s="33">
        <f t="shared" si="96"/>
        <v>66.125</v>
      </c>
      <c r="U861" s="33">
        <f t="shared" si="97"/>
        <v>59.904498270526219</v>
      </c>
      <c r="V861" s="33">
        <f t="shared" si="98"/>
        <v>-0.46376047392565084</v>
      </c>
      <c r="W861" s="12" t="b">
        <f t="shared" si="99"/>
        <v>0</v>
      </c>
    </row>
    <row r="862" spans="1:23">
      <c r="A862" s="26">
        <v>861</v>
      </c>
      <c r="B862" s="27">
        <v>40582</v>
      </c>
      <c r="C862" s="12">
        <v>2</v>
      </c>
      <c r="D862" s="12">
        <v>7</v>
      </c>
      <c r="E862" s="12" t="b">
        <v>0</v>
      </c>
      <c r="F862" s="12">
        <v>2</v>
      </c>
      <c r="G862" s="12">
        <v>1</v>
      </c>
      <c r="H862" s="12">
        <v>0.24</v>
      </c>
      <c r="I862" s="12">
        <v>0.19700000000000001</v>
      </c>
      <c r="J862" s="12">
        <v>0.65</v>
      </c>
      <c r="K862" s="12">
        <v>0.41789999999999999</v>
      </c>
      <c r="L862" s="12">
        <v>3</v>
      </c>
      <c r="M862" s="12">
        <v>97</v>
      </c>
      <c r="N862" s="12">
        <v>100</v>
      </c>
      <c r="O862" s="12" t="str">
        <f>VLOOKUP(G862,calculate_field!$B$2:$C$5,2,FALSE)</f>
        <v>Clear/Partly Cloudy</v>
      </c>
      <c r="P862" s="12" t="str">
        <f t="shared" si="93"/>
        <v>Tuesday</v>
      </c>
      <c r="Q862" s="12" t="str">
        <f t="shared" si="94"/>
        <v>Weekday</v>
      </c>
      <c r="R862" s="12" t="str">
        <f t="shared" si="95"/>
        <v>Morning</v>
      </c>
      <c r="S862" s="28" t="str">
        <f>INDEX(calculate_field!$F$2:$F$4, MATCH(H862, calculate_field!$E$2:$E$4, 1))</f>
        <v>Mild</v>
      </c>
      <c r="T862" s="33">
        <f t="shared" si="96"/>
        <v>68.625</v>
      </c>
      <c r="U862" s="33">
        <f t="shared" si="97"/>
        <v>59.975221332755773</v>
      </c>
      <c r="V862" s="33">
        <f t="shared" si="98"/>
        <v>0.53754801793239626</v>
      </c>
      <c r="W862" s="12" t="b">
        <f t="shared" si="99"/>
        <v>0</v>
      </c>
    </row>
    <row r="863" spans="1:23">
      <c r="A863" s="26">
        <v>862</v>
      </c>
      <c r="B863" s="27">
        <v>40582</v>
      </c>
      <c r="C863" s="12">
        <v>2</v>
      </c>
      <c r="D863" s="12">
        <v>8</v>
      </c>
      <c r="E863" s="12" t="b">
        <v>0</v>
      </c>
      <c r="F863" s="12">
        <v>2</v>
      </c>
      <c r="G863" s="12">
        <v>1</v>
      </c>
      <c r="H863" s="12">
        <v>0.24</v>
      </c>
      <c r="I863" s="12">
        <v>0.19700000000000001</v>
      </c>
      <c r="J863" s="12">
        <v>0.56000000000000005</v>
      </c>
      <c r="K863" s="12">
        <v>0.49249999999999999</v>
      </c>
      <c r="L863" s="12">
        <v>7</v>
      </c>
      <c r="M863" s="12">
        <v>236</v>
      </c>
      <c r="N863" s="12">
        <v>243</v>
      </c>
      <c r="O863" s="12" t="str">
        <f>VLOOKUP(G863,calculate_field!$B$2:$C$5,2,FALSE)</f>
        <v>Clear/Partly Cloudy</v>
      </c>
      <c r="P863" s="12" t="str">
        <f t="shared" si="93"/>
        <v>Tuesday</v>
      </c>
      <c r="Q863" s="12" t="str">
        <f t="shared" si="94"/>
        <v>Weekday</v>
      </c>
      <c r="R863" s="12" t="str">
        <f t="shared" si="95"/>
        <v>Morning</v>
      </c>
      <c r="S863" s="28" t="str">
        <f>INDEX(calculate_field!$F$2:$F$4, MATCH(H863, calculate_field!$E$2:$E$4, 1))</f>
        <v>Mild</v>
      </c>
      <c r="T863" s="33">
        <f t="shared" si="96"/>
        <v>72.75</v>
      </c>
      <c r="U863" s="33">
        <f t="shared" si="97"/>
        <v>65.387307636880109</v>
      </c>
      <c r="V863" s="33">
        <f t="shared" si="98"/>
        <v>2.173831784903419</v>
      </c>
      <c r="W863" s="12" t="b">
        <f t="shared" si="99"/>
        <v>0</v>
      </c>
    </row>
    <row r="864" spans="1:23">
      <c r="A864" s="26">
        <v>863</v>
      </c>
      <c r="B864" s="27">
        <v>40582</v>
      </c>
      <c r="C864" s="12">
        <v>2</v>
      </c>
      <c r="D864" s="12">
        <v>9</v>
      </c>
      <c r="E864" s="12" t="b">
        <v>0</v>
      </c>
      <c r="F864" s="12">
        <v>2</v>
      </c>
      <c r="G864" s="12">
        <v>1</v>
      </c>
      <c r="H864" s="12">
        <v>0.24</v>
      </c>
      <c r="I864" s="12">
        <v>0.19700000000000001</v>
      </c>
      <c r="J864" s="12">
        <v>0.52</v>
      </c>
      <c r="K864" s="12">
        <v>0.49249999999999999</v>
      </c>
      <c r="L864" s="12">
        <v>7</v>
      </c>
      <c r="M864" s="12">
        <v>128</v>
      </c>
      <c r="N864" s="12">
        <v>135</v>
      </c>
      <c r="O864" s="12" t="str">
        <f>VLOOKUP(G864,calculate_field!$B$2:$C$5,2,FALSE)</f>
        <v>Clear/Partly Cloudy</v>
      </c>
      <c r="P864" s="12" t="str">
        <f t="shared" si="93"/>
        <v>Tuesday</v>
      </c>
      <c r="Q864" s="12" t="str">
        <f t="shared" si="94"/>
        <v>Weekday</v>
      </c>
      <c r="R864" s="12" t="str">
        <f t="shared" si="95"/>
        <v>Morning</v>
      </c>
      <c r="S864" s="28" t="str">
        <f>INDEX(calculate_field!$F$2:$F$4, MATCH(H864, calculate_field!$E$2:$E$4, 1))</f>
        <v>Mild</v>
      </c>
      <c r="T864" s="33">
        <f t="shared" si="96"/>
        <v>67.75</v>
      </c>
      <c r="U864" s="33">
        <f t="shared" si="97"/>
        <v>55.66846738387509</v>
      </c>
      <c r="V864" s="33">
        <f t="shared" si="98"/>
        <v>1.0074292684355917</v>
      </c>
      <c r="W864" s="12" t="b">
        <f t="shared" si="99"/>
        <v>0</v>
      </c>
    </row>
    <row r="865" spans="1:23">
      <c r="A865" s="26">
        <v>864</v>
      </c>
      <c r="B865" s="27">
        <v>40582</v>
      </c>
      <c r="C865" s="12">
        <v>2</v>
      </c>
      <c r="D865" s="12">
        <v>10</v>
      </c>
      <c r="E865" s="12" t="b">
        <v>0</v>
      </c>
      <c r="F865" s="12">
        <v>2</v>
      </c>
      <c r="G865" s="12">
        <v>1</v>
      </c>
      <c r="H865" s="12">
        <v>0.22</v>
      </c>
      <c r="I865" s="12">
        <v>0.18179999999999999</v>
      </c>
      <c r="J865" s="12">
        <v>0.47</v>
      </c>
      <c r="K865" s="12">
        <v>0.55220000000000002</v>
      </c>
      <c r="L865" s="12">
        <v>4</v>
      </c>
      <c r="M865" s="12">
        <v>44</v>
      </c>
      <c r="N865" s="12">
        <v>48</v>
      </c>
      <c r="O865" s="12" t="str">
        <f>VLOOKUP(G865,calculate_field!$B$2:$C$5,2,FALSE)</f>
        <v>Clear/Partly Cloudy</v>
      </c>
      <c r="P865" s="12" t="str">
        <f t="shared" si="93"/>
        <v>Tuesday</v>
      </c>
      <c r="Q865" s="12" t="str">
        <f t="shared" si="94"/>
        <v>Weekday</v>
      </c>
      <c r="R865" s="12" t="str">
        <f t="shared" si="95"/>
        <v>Morning</v>
      </c>
      <c r="S865" s="28" t="str">
        <f>INDEX(calculate_field!$F$2:$F$4, MATCH(H865, calculate_field!$E$2:$E$4, 1))</f>
        <v>Mild</v>
      </c>
      <c r="T865" s="33">
        <f t="shared" si="96"/>
        <v>64.583333333333329</v>
      </c>
      <c r="U865" s="33">
        <f t="shared" si="97"/>
        <v>53.807157004691632</v>
      </c>
      <c r="V865" s="33">
        <f t="shared" si="98"/>
        <v>-0.14701550420193615</v>
      </c>
      <c r="W865" s="12" t="b">
        <f t="shared" si="99"/>
        <v>0</v>
      </c>
    </row>
    <row r="866" spans="1:23">
      <c r="A866" s="26">
        <v>865</v>
      </c>
      <c r="B866" s="27">
        <v>40582</v>
      </c>
      <c r="C866" s="12">
        <v>2</v>
      </c>
      <c r="D866" s="12">
        <v>11</v>
      </c>
      <c r="E866" s="12" t="b">
        <v>0</v>
      </c>
      <c r="F866" s="12">
        <v>2</v>
      </c>
      <c r="G866" s="12">
        <v>1</v>
      </c>
      <c r="H866" s="12">
        <v>0.22</v>
      </c>
      <c r="I866" s="12">
        <v>0.18179999999999999</v>
      </c>
      <c r="J866" s="12">
        <v>0.47</v>
      </c>
      <c r="K866" s="12">
        <v>0.4627</v>
      </c>
      <c r="L866" s="12">
        <v>1</v>
      </c>
      <c r="M866" s="12">
        <v>49</v>
      </c>
      <c r="N866" s="12">
        <v>50</v>
      </c>
      <c r="O866" s="12" t="str">
        <f>VLOOKUP(G866,calculate_field!$B$2:$C$5,2,FALSE)</f>
        <v>Clear/Partly Cloudy</v>
      </c>
      <c r="P866" s="12" t="str">
        <f t="shared" si="93"/>
        <v>Tuesday</v>
      </c>
      <c r="Q866" s="12" t="str">
        <f t="shared" si="94"/>
        <v>Weekday</v>
      </c>
      <c r="R866" s="12" t="str">
        <f t="shared" si="95"/>
        <v>Morning</v>
      </c>
      <c r="S866" s="28" t="str">
        <f>INDEX(calculate_field!$F$2:$F$4, MATCH(H866, calculate_field!$E$2:$E$4, 1))</f>
        <v>Mild</v>
      </c>
      <c r="T866" s="33">
        <f t="shared" si="96"/>
        <v>64.291666666666671</v>
      </c>
      <c r="U866" s="33">
        <f t="shared" si="97"/>
        <v>53.91981096492043</v>
      </c>
      <c r="V866" s="33">
        <f t="shared" si="98"/>
        <v>-0.48308958161658261</v>
      </c>
      <c r="W866" s="12" t="b">
        <f t="shared" si="99"/>
        <v>0</v>
      </c>
    </row>
    <row r="867" spans="1:23">
      <c r="A867" s="26">
        <v>866</v>
      </c>
      <c r="B867" s="27">
        <v>40582</v>
      </c>
      <c r="C867" s="12">
        <v>2</v>
      </c>
      <c r="D867" s="12">
        <v>12</v>
      </c>
      <c r="E867" s="12" t="b">
        <v>0</v>
      </c>
      <c r="F867" s="12">
        <v>2</v>
      </c>
      <c r="G867" s="12">
        <v>1</v>
      </c>
      <c r="H867" s="12">
        <v>0.24</v>
      </c>
      <c r="I867" s="12">
        <v>0.19700000000000001</v>
      </c>
      <c r="J867" s="12">
        <v>0.38</v>
      </c>
      <c r="K867" s="12">
        <v>0.49249999999999999</v>
      </c>
      <c r="L867" s="12">
        <v>2</v>
      </c>
      <c r="M867" s="12">
        <v>63</v>
      </c>
      <c r="N867" s="12">
        <v>65</v>
      </c>
      <c r="O867" s="12" t="str">
        <f>VLOOKUP(G867,calculate_field!$B$2:$C$5,2,FALSE)</f>
        <v>Clear/Partly Cloudy</v>
      </c>
      <c r="P867" s="12" t="str">
        <f t="shared" si="93"/>
        <v>Tuesday</v>
      </c>
      <c r="Q867" s="12" t="str">
        <f t="shared" si="94"/>
        <v>Weekday</v>
      </c>
      <c r="R867" s="12" t="str">
        <f t="shared" si="95"/>
        <v>Afternoon</v>
      </c>
      <c r="S867" s="28" t="str">
        <f>INDEX(calculate_field!$F$2:$F$4, MATCH(H867, calculate_field!$E$2:$E$4, 1))</f>
        <v>Mild</v>
      </c>
      <c r="T867" s="33">
        <f t="shared" si="96"/>
        <v>64.75</v>
      </c>
      <c r="U867" s="33">
        <f t="shared" si="97"/>
        <v>53.839738031535298</v>
      </c>
      <c r="V867" s="33">
        <f t="shared" si="98"/>
        <v>-0.1197945436607374</v>
      </c>
      <c r="W867" s="12" t="b">
        <f t="shared" si="99"/>
        <v>0</v>
      </c>
    </row>
    <row r="868" spans="1:23">
      <c r="A868" s="26">
        <v>867</v>
      </c>
      <c r="B868" s="27">
        <v>40582</v>
      </c>
      <c r="C868" s="12">
        <v>2</v>
      </c>
      <c r="D868" s="12">
        <v>13</v>
      </c>
      <c r="E868" s="12" t="b">
        <v>0</v>
      </c>
      <c r="F868" s="12">
        <v>2</v>
      </c>
      <c r="G868" s="12">
        <v>2</v>
      </c>
      <c r="H868" s="12">
        <v>0.24</v>
      </c>
      <c r="I868" s="12">
        <v>0.19700000000000001</v>
      </c>
      <c r="J868" s="12">
        <v>0.32</v>
      </c>
      <c r="K868" s="12">
        <v>0.44779999999999998</v>
      </c>
      <c r="L868" s="12">
        <v>2</v>
      </c>
      <c r="M868" s="12">
        <v>48</v>
      </c>
      <c r="N868" s="12">
        <v>50</v>
      </c>
      <c r="O868" s="12" t="str">
        <f>VLOOKUP(G868,calculate_field!$B$2:$C$5,2,FALSE)</f>
        <v xml:space="preserve">Mist / cloudy </v>
      </c>
      <c r="P868" s="12" t="str">
        <f t="shared" si="93"/>
        <v>Tuesday</v>
      </c>
      <c r="Q868" s="12" t="str">
        <f t="shared" si="94"/>
        <v>Weekday</v>
      </c>
      <c r="R868" s="12" t="str">
        <f t="shared" si="95"/>
        <v>Afternoon</v>
      </c>
      <c r="S868" s="28" t="str">
        <f>INDEX(calculate_field!$F$2:$F$4, MATCH(H868, calculate_field!$E$2:$E$4, 1))</f>
        <v>Mild</v>
      </c>
      <c r="T868" s="33">
        <f t="shared" si="96"/>
        <v>64.916666666666671</v>
      </c>
      <c r="U868" s="33">
        <f t="shared" si="97"/>
        <v>53.84673634021614</v>
      </c>
      <c r="V868" s="33">
        <f t="shared" si="98"/>
        <v>3.4808419882265067E-2</v>
      </c>
      <c r="W868" s="12" t="b">
        <f t="shared" si="99"/>
        <v>0</v>
      </c>
    </row>
    <row r="869" spans="1:23">
      <c r="A869" s="26">
        <v>868</v>
      </c>
      <c r="B869" s="27">
        <v>40582</v>
      </c>
      <c r="C869" s="12">
        <v>2</v>
      </c>
      <c r="D869" s="12">
        <v>14</v>
      </c>
      <c r="E869" s="12" t="b">
        <v>0</v>
      </c>
      <c r="F869" s="12">
        <v>2</v>
      </c>
      <c r="G869" s="12">
        <v>1</v>
      </c>
      <c r="H869" s="12">
        <v>0.22</v>
      </c>
      <c r="I869" s="12">
        <v>0.19700000000000001</v>
      </c>
      <c r="J869" s="12">
        <v>0.37</v>
      </c>
      <c r="K869" s="12">
        <v>0.41789999999999999</v>
      </c>
      <c r="L869" s="12">
        <v>3</v>
      </c>
      <c r="M869" s="12">
        <v>61</v>
      </c>
      <c r="N869" s="12">
        <v>64</v>
      </c>
      <c r="O869" s="12" t="str">
        <f>VLOOKUP(G869,calculate_field!$B$2:$C$5,2,FALSE)</f>
        <v>Clear/Partly Cloudy</v>
      </c>
      <c r="P869" s="12" t="str">
        <f t="shared" si="93"/>
        <v>Tuesday</v>
      </c>
      <c r="Q869" s="12" t="str">
        <f t="shared" si="94"/>
        <v>Weekday</v>
      </c>
      <c r="R869" s="12" t="str">
        <f t="shared" si="95"/>
        <v>Afternoon</v>
      </c>
      <c r="S869" s="28" t="str">
        <f>INDEX(calculate_field!$F$2:$F$4, MATCH(H869, calculate_field!$E$2:$E$4, 1))</f>
        <v>Mild</v>
      </c>
      <c r="T869" s="33">
        <f t="shared" si="96"/>
        <v>65.25</v>
      </c>
      <c r="U869" s="33">
        <f t="shared" si="97"/>
        <v>53.775095253892552</v>
      </c>
      <c r="V869" s="33">
        <f t="shared" si="98"/>
        <v>-0.16144012390699908</v>
      </c>
      <c r="W869" s="12" t="b">
        <f t="shared" si="99"/>
        <v>0</v>
      </c>
    </row>
    <row r="870" spans="1:23">
      <c r="A870" s="26">
        <v>869</v>
      </c>
      <c r="B870" s="27">
        <v>40582</v>
      </c>
      <c r="C870" s="12">
        <v>2</v>
      </c>
      <c r="D870" s="12">
        <v>15</v>
      </c>
      <c r="E870" s="12" t="b">
        <v>0</v>
      </c>
      <c r="F870" s="12">
        <v>2</v>
      </c>
      <c r="G870" s="12">
        <v>1</v>
      </c>
      <c r="H870" s="12">
        <v>0.22</v>
      </c>
      <c r="I870" s="12">
        <v>0.19700000000000001</v>
      </c>
      <c r="J870" s="12">
        <v>0.35</v>
      </c>
      <c r="K870" s="12">
        <v>0.3881</v>
      </c>
      <c r="L870" s="12">
        <v>6</v>
      </c>
      <c r="M870" s="12">
        <v>45</v>
      </c>
      <c r="N870" s="12">
        <v>51</v>
      </c>
      <c r="O870" s="12" t="str">
        <f>VLOOKUP(G870,calculate_field!$B$2:$C$5,2,FALSE)</f>
        <v>Clear/Partly Cloudy</v>
      </c>
      <c r="P870" s="12" t="str">
        <f t="shared" si="93"/>
        <v>Tuesday</v>
      </c>
      <c r="Q870" s="12" t="str">
        <f t="shared" si="94"/>
        <v>Weekday</v>
      </c>
      <c r="R870" s="12" t="str">
        <f t="shared" si="95"/>
        <v>Afternoon</v>
      </c>
      <c r="S870" s="28" t="str">
        <f>INDEX(calculate_field!$F$2:$F$4, MATCH(H870, calculate_field!$E$2:$E$4, 1))</f>
        <v>Mild</v>
      </c>
      <c r="T870" s="33">
        <f t="shared" si="96"/>
        <v>65.25</v>
      </c>
      <c r="U870" s="33">
        <f t="shared" si="97"/>
        <v>53.775095253892552</v>
      </c>
      <c r="V870" s="33">
        <f t="shared" si="98"/>
        <v>-3.8684238160420277E-2</v>
      </c>
      <c r="W870" s="12" t="b">
        <f t="shared" si="99"/>
        <v>1</v>
      </c>
    </row>
    <row r="871" spans="1:23">
      <c r="A871" s="26">
        <v>870</v>
      </c>
      <c r="B871" s="27">
        <v>40582</v>
      </c>
      <c r="C871" s="12">
        <v>2</v>
      </c>
      <c r="D871" s="12">
        <v>16</v>
      </c>
      <c r="E871" s="12" t="b">
        <v>0</v>
      </c>
      <c r="F871" s="12">
        <v>2</v>
      </c>
      <c r="G871" s="12">
        <v>1</v>
      </c>
      <c r="H871" s="12">
        <v>0.22</v>
      </c>
      <c r="I871" s="12">
        <v>0.18179999999999999</v>
      </c>
      <c r="J871" s="12">
        <v>0.35</v>
      </c>
      <c r="K871" s="12">
        <v>0.52239999999999998</v>
      </c>
      <c r="L871" s="12">
        <v>4</v>
      </c>
      <c r="M871" s="12">
        <v>79</v>
      </c>
      <c r="N871" s="12">
        <v>83</v>
      </c>
      <c r="O871" s="12" t="str">
        <f>VLOOKUP(G871,calculate_field!$B$2:$C$5,2,FALSE)</f>
        <v>Clear/Partly Cloudy</v>
      </c>
      <c r="P871" s="12" t="str">
        <f t="shared" si="93"/>
        <v>Tuesday</v>
      </c>
      <c r="Q871" s="12" t="str">
        <f t="shared" si="94"/>
        <v>Weekday</v>
      </c>
      <c r="R871" s="12" t="str">
        <f t="shared" si="95"/>
        <v>Afternoon</v>
      </c>
      <c r="S871" s="28" t="str">
        <f>INDEX(calculate_field!$F$2:$F$4, MATCH(H871, calculate_field!$E$2:$E$4, 1))</f>
        <v>Mild</v>
      </c>
      <c r="T871" s="33">
        <f t="shared" si="96"/>
        <v>66.416666666666671</v>
      </c>
      <c r="U871" s="33">
        <f t="shared" si="97"/>
        <v>53.756226467805298</v>
      </c>
      <c r="V871" s="33">
        <f t="shared" si="98"/>
        <v>0.23820176490194545</v>
      </c>
      <c r="W871" s="12" t="b">
        <f t="shared" si="99"/>
        <v>0</v>
      </c>
    </row>
    <row r="872" spans="1:23">
      <c r="A872" s="26">
        <v>871</v>
      </c>
      <c r="B872" s="27">
        <v>40582</v>
      </c>
      <c r="C872" s="12">
        <v>2</v>
      </c>
      <c r="D872" s="12">
        <v>17</v>
      </c>
      <c r="E872" s="12" t="b">
        <v>0</v>
      </c>
      <c r="F872" s="12">
        <v>2</v>
      </c>
      <c r="G872" s="12">
        <v>1</v>
      </c>
      <c r="H872" s="12">
        <v>0.22</v>
      </c>
      <c r="I872" s="12">
        <v>0.18179999999999999</v>
      </c>
      <c r="J872" s="12">
        <v>0.32</v>
      </c>
      <c r="K872" s="12">
        <v>0.58209999999999995</v>
      </c>
      <c r="L872" s="12">
        <v>4</v>
      </c>
      <c r="M872" s="12">
        <v>172</v>
      </c>
      <c r="N872" s="12">
        <v>176</v>
      </c>
      <c r="O872" s="12" t="str">
        <f>VLOOKUP(G872,calculate_field!$B$2:$C$5,2,FALSE)</f>
        <v>Clear/Partly Cloudy</v>
      </c>
      <c r="P872" s="12" t="str">
        <f t="shared" si="93"/>
        <v>Tuesday</v>
      </c>
      <c r="Q872" s="12" t="str">
        <f t="shared" si="94"/>
        <v>Weekday</v>
      </c>
      <c r="R872" s="12" t="str">
        <f t="shared" si="95"/>
        <v>Evening</v>
      </c>
      <c r="S872" s="28" t="str">
        <f>INDEX(calculate_field!$F$2:$F$4, MATCH(H872, calculate_field!$E$2:$E$4, 1))</f>
        <v>Mild</v>
      </c>
      <c r="T872" s="33">
        <f t="shared" si="96"/>
        <v>69.875</v>
      </c>
      <c r="U872" s="33">
        <f t="shared" si="97"/>
        <v>57.414823491165926</v>
      </c>
      <c r="V872" s="33">
        <f t="shared" si="98"/>
        <v>1.7249482896031265</v>
      </c>
      <c r="W872" s="12" t="b">
        <f t="shared" si="99"/>
        <v>0</v>
      </c>
    </row>
    <row r="873" spans="1:23">
      <c r="A873" s="26">
        <v>872</v>
      </c>
      <c r="B873" s="27">
        <v>40582</v>
      </c>
      <c r="C873" s="12">
        <v>2</v>
      </c>
      <c r="D873" s="12">
        <v>18</v>
      </c>
      <c r="E873" s="12" t="b">
        <v>0</v>
      </c>
      <c r="F873" s="12">
        <v>2</v>
      </c>
      <c r="G873" s="12">
        <v>1</v>
      </c>
      <c r="H873" s="12">
        <v>0.2</v>
      </c>
      <c r="I873" s="12">
        <v>0.18179999999999999</v>
      </c>
      <c r="J873" s="12">
        <v>0.32</v>
      </c>
      <c r="K873" s="12">
        <v>0.3881</v>
      </c>
      <c r="L873" s="12">
        <v>1</v>
      </c>
      <c r="M873" s="12">
        <v>151</v>
      </c>
      <c r="N873" s="12">
        <v>152</v>
      </c>
      <c r="O873" s="12" t="str">
        <f>VLOOKUP(G873,calculate_field!$B$2:$C$5,2,FALSE)</f>
        <v>Clear/Partly Cloudy</v>
      </c>
      <c r="P873" s="12" t="str">
        <f t="shared" si="93"/>
        <v>Tuesday</v>
      </c>
      <c r="Q873" s="12" t="str">
        <f t="shared" si="94"/>
        <v>Weekday</v>
      </c>
      <c r="R873" s="12" t="str">
        <f t="shared" si="95"/>
        <v>Evening</v>
      </c>
      <c r="S873" s="28" t="str">
        <f>INDEX(calculate_field!$F$2:$F$4, MATCH(H873, calculate_field!$E$2:$E$4, 1))</f>
        <v>Mild</v>
      </c>
      <c r="T873" s="33">
        <f t="shared" si="96"/>
        <v>69.625</v>
      </c>
      <c r="U873" s="33">
        <f t="shared" si="97"/>
        <v>56.943765166208919</v>
      </c>
      <c r="V873" s="33">
        <f t="shared" si="98"/>
        <v>1.8158474459165774</v>
      </c>
      <c r="W873" s="12" t="b">
        <f t="shared" si="99"/>
        <v>0</v>
      </c>
    </row>
    <row r="874" spans="1:23">
      <c r="A874" s="26">
        <v>873</v>
      </c>
      <c r="B874" s="27">
        <v>40582</v>
      </c>
      <c r="C874" s="12">
        <v>2</v>
      </c>
      <c r="D874" s="12">
        <v>19</v>
      </c>
      <c r="E874" s="12" t="b">
        <v>0</v>
      </c>
      <c r="F874" s="12">
        <v>2</v>
      </c>
      <c r="G874" s="12">
        <v>1</v>
      </c>
      <c r="H874" s="12">
        <v>0.16</v>
      </c>
      <c r="I874" s="12">
        <v>0.1212</v>
      </c>
      <c r="J874" s="12">
        <v>0.4</v>
      </c>
      <c r="K874" s="12">
        <v>0.4627</v>
      </c>
      <c r="L874" s="12">
        <v>1</v>
      </c>
      <c r="M874" s="12">
        <v>100</v>
      </c>
      <c r="N874" s="12">
        <v>101</v>
      </c>
      <c r="O874" s="12" t="str">
        <f>VLOOKUP(G874,calculate_field!$B$2:$C$5,2,FALSE)</f>
        <v>Clear/Partly Cloudy</v>
      </c>
      <c r="P874" s="12" t="str">
        <f t="shared" si="93"/>
        <v>Tuesday</v>
      </c>
      <c r="Q874" s="12" t="str">
        <f t="shared" si="94"/>
        <v>Weekday</v>
      </c>
      <c r="R874" s="12" t="str">
        <f t="shared" si="95"/>
        <v>Evening</v>
      </c>
      <c r="S874" s="28" t="str">
        <f>INDEX(calculate_field!$F$2:$F$4, MATCH(H874, calculate_field!$E$2:$E$4, 1))</f>
        <v>Cold</v>
      </c>
      <c r="T874" s="33">
        <f t="shared" si="96"/>
        <v>66.958333333333329</v>
      </c>
      <c r="U874" s="33">
        <f t="shared" si="97"/>
        <v>54.35829536843773</v>
      </c>
      <c r="V874" s="33">
        <f t="shared" si="98"/>
        <v>0.39522369993331852</v>
      </c>
      <c r="W874" s="12" t="b">
        <f t="shared" si="99"/>
        <v>0</v>
      </c>
    </row>
    <row r="875" spans="1:23">
      <c r="A875" s="26">
        <v>874</v>
      </c>
      <c r="B875" s="27">
        <v>40582</v>
      </c>
      <c r="C875" s="12">
        <v>2</v>
      </c>
      <c r="D875" s="12">
        <v>20</v>
      </c>
      <c r="E875" s="12" t="b">
        <v>0</v>
      </c>
      <c r="F875" s="12">
        <v>2</v>
      </c>
      <c r="G875" s="12">
        <v>1</v>
      </c>
      <c r="H875" s="12">
        <v>0.16</v>
      </c>
      <c r="I875" s="12">
        <v>0.13639999999999999</v>
      </c>
      <c r="J875" s="12">
        <v>0.4</v>
      </c>
      <c r="K875" s="12">
        <v>0.32840000000000003</v>
      </c>
      <c r="L875" s="12">
        <v>3</v>
      </c>
      <c r="M875" s="12">
        <v>53</v>
      </c>
      <c r="N875" s="12">
        <v>56</v>
      </c>
      <c r="O875" s="12" t="str">
        <f>VLOOKUP(G875,calculate_field!$B$2:$C$5,2,FALSE)</f>
        <v>Clear/Partly Cloudy</v>
      </c>
      <c r="P875" s="12" t="str">
        <f t="shared" si="93"/>
        <v>Tuesday</v>
      </c>
      <c r="Q875" s="12" t="str">
        <f t="shared" si="94"/>
        <v>Weekday</v>
      </c>
      <c r="R875" s="12" t="str">
        <f t="shared" si="95"/>
        <v>Evening</v>
      </c>
      <c r="S875" s="28" t="str">
        <f>INDEX(calculate_field!$F$2:$F$4, MATCH(H875, calculate_field!$E$2:$E$4, 1))</f>
        <v>Cold</v>
      </c>
      <c r="T875" s="33">
        <f t="shared" si="96"/>
        <v>66.25</v>
      </c>
      <c r="U875" s="33">
        <f t="shared" si="97"/>
        <v>54.005031971667876</v>
      </c>
      <c r="V875" s="33">
        <f t="shared" si="98"/>
        <v>0.30941296985099348</v>
      </c>
      <c r="W875" s="12" t="b">
        <f t="shared" si="99"/>
        <v>0</v>
      </c>
    </row>
    <row r="876" spans="1:23">
      <c r="A876" s="26">
        <v>875</v>
      </c>
      <c r="B876" s="27">
        <v>40582</v>
      </c>
      <c r="C876" s="12">
        <v>2</v>
      </c>
      <c r="D876" s="12">
        <v>21</v>
      </c>
      <c r="E876" s="12" t="b">
        <v>0</v>
      </c>
      <c r="F876" s="12">
        <v>2</v>
      </c>
      <c r="G876" s="12">
        <v>1</v>
      </c>
      <c r="H876" s="12">
        <v>0.14000000000000001</v>
      </c>
      <c r="I876" s="12">
        <v>0.1061</v>
      </c>
      <c r="J876" s="12">
        <v>0.33</v>
      </c>
      <c r="K876" s="12">
        <v>0.4627</v>
      </c>
      <c r="L876" s="12">
        <v>8</v>
      </c>
      <c r="M876" s="12">
        <v>46</v>
      </c>
      <c r="N876" s="12">
        <v>54</v>
      </c>
      <c r="O876" s="12" t="str">
        <f>VLOOKUP(G876,calculate_field!$B$2:$C$5,2,FALSE)</f>
        <v>Clear/Partly Cloudy</v>
      </c>
      <c r="P876" s="12" t="str">
        <f t="shared" si="93"/>
        <v>Tuesday</v>
      </c>
      <c r="Q876" s="12" t="str">
        <f t="shared" si="94"/>
        <v>Weekday</v>
      </c>
      <c r="R876" s="12" t="str">
        <f t="shared" si="95"/>
        <v>Night</v>
      </c>
      <c r="S876" s="28" t="str">
        <f>INDEX(calculate_field!$F$2:$F$4, MATCH(H876, calculate_field!$E$2:$E$4, 1))</f>
        <v>Cold</v>
      </c>
      <c r="T876" s="33">
        <f t="shared" si="96"/>
        <v>67.375</v>
      </c>
      <c r="U876" s="33">
        <f t="shared" si="97"/>
        <v>54.063418878846029</v>
      </c>
      <c r="V876" s="33">
        <f t="shared" si="98"/>
        <v>0.30036955993188652</v>
      </c>
      <c r="W876" s="12" t="b">
        <f t="shared" si="99"/>
        <v>0</v>
      </c>
    </row>
    <row r="877" spans="1:23">
      <c r="A877" s="26">
        <v>876</v>
      </c>
      <c r="B877" s="27">
        <v>40582</v>
      </c>
      <c r="C877" s="12">
        <v>2</v>
      </c>
      <c r="D877" s="12">
        <v>22</v>
      </c>
      <c r="E877" s="12" t="b">
        <v>0</v>
      </c>
      <c r="F877" s="12">
        <v>2</v>
      </c>
      <c r="G877" s="12">
        <v>1</v>
      </c>
      <c r="H877" s="12">
        <v>0.12</v>
      </c>
      <c r="I877" s="12">
        <v>0.1061</v>
      </c>
      <c r="J877" s="12">
        <v>0.33</v>
      </c>
      <c r="K877" s="12">
        <v>0.35820000000000002</v>
      </c>
      <c r="L877" s="12">
        <v>0</v>
      </c>
      <c r="M877" s="12">
        <v>29</v>
      </c>
      <c r="N877" s="12">
        <v>29</v>
      </c>
      <c r="O877" s="12" t="str">
        <f>VLOOKUP(G877,calculate_field!$B$2:$C$5,2,FALSE)</f>
        <v>Clear/Partly Cloudy</v>
      </c>
      <c r="P877" s="12" t="str">
        <f t="shared" si="93"/>
        <v>Tuesday</v>
      </c>
      <c r="Q877" s="12" t="str">
        <f t="shared" si="94"/>
        <v>Weekday</v>
      </c>
      <c r="R877" s="12" t="str">
        <f t="shared" si="95"/>
        <v>Night</v>
      </c>
      <c r="S877" s="28" t="str">
        <f>INDEX(calculate_field!$F$2:$F$4, MATCH(H877, calculate_field!$E$2:$E$4, 1))</f>
        <v>Cold</v>
      </c>
      <c r="T877" s="33">
        <f t="shared" si="96"/>
        <v>67.041666666666671</v>
      </c>
      <c r="U877" s="33">
        <f t="shared" si="97"/>
        <v>54.174018453150758</v>
      </c>
      <c r="V877" s="33">
        <f t="shared" si="98"/>
        <v>-0.38899251277443442</v>
      </c>
      <c r="W877" s="12" t="b">
        <f t="shared" si="99"/>
        <v>0</v>
      </c>
    </row>
    <row r="878" spans="1:23">
      <c r="A878" s="26">
        <v>877</v>
      </c>
      <c r="B878" s="27">
        <v>40582</v>
      </c>
      <c r="C878" s="12">
        <v>2</v>
      </c>
      <c r="D878" s="12">
        <v>23</v>
      </c>
      <c r="E878" s="12" t="b">
        <v>0</v>
      </c>
      <c r="F878" s="12">
        <v>2</v>
      </c>
      <c r="G878" s="12">
        <v>1</v>
      </c>
      <c r="H878" s="12">
        <v>0.12</v>
      </c>
      <c r="I878" s="12">
        <v>0.1061</v>
      </c>
      <c r="J878" s="12">
        <v>0.33</v>
      </c>
      <c r="K878" s="12">
        <v>0.32840000000000003</v>
      </c>
      <c r="L878" s="12">
        <v>3</v>
      </c>
      <c r="M878" s="12">
        <v>9</v>
      </c>
      <c r="N878" s="12">
        <v>12</v>
      </c>
      <c r="O878" s="12" t="str">
        <f>VLOOKUP(G878,calculate_field!$B$2:$C$5,2,FALSE)</f>
        <v>Clear/Partly Cloudy</v>
      </c>
      <c r="P878" s="12" t="str">
        <f t="shared" si="93"/>
        <v>Tuesday</v>
      </c>
      <c r="Q878" s="12" t="str">
        <f t="shared" si="94"/>
        <v>Weekday</v>
      </c>
      <c r="R878" s="12" t="str">
        <f t="shared" si="95"/>
        <v>Night</v>
      </c>
      <c r="S878" s="28" t="str">
        <f>INDEX(calculate_field!$F$2:$F$4, MATCH(H878, calculate_field!$E$2:$E$4, 1))</f>
        <v>Cold</v>
      </c>
      <c r="T878" s="33">
        <f t="shared" si="96"/>
        <v>67.375</v>
      </c>
      <c r="U878" s="33">
        <f t="shared" si="97"/>
        <v>53.9539356665762</v>
      </c>
      <c r="V878" s="33">
        <f t="shared" si="98"/>
        <v>-0.55051783784186037</v>
      </c>
      <c r="W878" s="12" t="b">
        <f t="shared" si="99"/>
        <v>0</v>
      </c>
    </row>
    <row r="879" spans="1:23">
      <c r="A879" s="26">
        <v>878</v>
      </c>
      <c r="B879" s="27">
        <v>40583</v>
      </c>
      <c r="C879" s="12">
        <v>2</v>
      </c>
      <c r="D879" s="12">
        <v>0</v>
      </c>
      <c r="E879" s="12" t="b">
        <v>0</v>
      </c>
      <c r="F879" s="12">
        <v>3</v>
      </c>
      <c r="G879" s="12">
        <v>1</v>
      </c>
      <c r="H879" s="12">
        <v>0.1</v>
      </c>
      <c r="I879" s="12">
        <v>7.5800000000000006E-2</v>
      </c>
      <c r="J879" s="12">
        <v>0.36</v>
      </c>
      <c r="K879" s="12">
        <v>0.35820000000000002</v>
      </c>
      <c r="L879" s="12">
        <v>0</v>
      </c>
      <c r="M879" s="12">
        <v>17</v>
      </c>
      <c r="N879" s="12">
        <v>17</v>
      </c>
      <c r="O879" s="12" t="str">
        <f>VLOOKUP(G879,calculate_field!$B$2:$C$5,2,FALSE)</f>
        <v>Clear/Partly Cloudy</v>
      </c>
      <c r="P879" s="12" t="str">
        <f t="shared" si="93"/>
        <v>Wednesday</v>
      </c>
      <c r="Q879" s="12" t="str">
        <f t="shared" si="94"/>
        <v>Weekday</v>
      </c>
      <c r="R879" s="12" t="str">
        <f t="shared" si="95"/>
        <v>Night</v>
      </c>
      <c r="S879" s="28" t="str">
        <f>INDEX(calculate_field!$F$2:$F$4, MATCH(H879, calculate_field!$E$2:$E$4, 1))</f>
        <v>Cold</v>
      </c>
      <c r="T879" s="33">
        <f t="shared" si="96"/>
        <v>67.541666666666671</v>
      </c>
      <c r="U879" s="33">
        <f t="shared" si="97"/>
        <v>53.78134407965733</v>
      </c>
      <c r="V879" s="33">
        <f t="shared" si="98"/>
        <v>-0.922530327240214</v>
      </c>
      <c r="W879" s="12" t="b">
        <f t="shared" si="99"/>
        <v>0</v>
      </c>
    </row>
    <row r="880" spans="1:23">
      <c r="A880" s="26">
        <v>879</v>
      </c>
      <c r="B880" s="27">
        <v>40583</v>
      </c>
      <c r="C880" s="12">
        <v>2</v>
      </c>
      <c r="D880" s="12">
        <v>1</v>
      </c>
      <c r="E880" s="12" t="b">
        <v>0</v>
      </c>
      <c r="F880" s="12">
        <v>3</v>
      </c>
      <c r="G880" s="12">
        <v>1</v>
      </c>
      <c r="H880" s="12">
        <v>0.1</v>
      </c>
      <c r="I880" s="12">
        <v>0.1061</v>
      </c>
      <c r="J880" s="12">
        <v>0.36</v>
      </c>
      <c r="K880" s="12">
        <v>0.22389999999999999</v>
      </c>
      <c r="L880" s="12">
        <v>0</v>
      </c>
      <c r="M880" s="12">
        <v>7</v>
      </c>
      <c r="N880" s="12">
        <v>7</v>
      </c>
      <c r="O880" s="12" t="str">
        <f>VLOOKUP(G880,calculate_field!$B$2:$C$5,2,FALSE)</f>
        <v>Clear/Partly Cloudy</v>
      </c>
      <c r="P880" s="12" t="str">
        <f t="shared" si="93"/>
        <v>Wednesday</v>
      </c>
      <c r="Q880" s="12" t="str">
        <f t="shared" si="94"/>
        <v>Weekday</v>
      </c>
      <c r="R880" s="12" t="str">
        <f t="shared" si="95"/>
        <v>Night</v>
      </c>
      <c r="S880" s="28" t="str">
        <f>INDEX(calculate_field!$F$2:$F$4, MATCH(H880, calculate_field!$E$2:$E$4, 1))</f>
        <v>Cold</v>
      </c>
      <c r="T880" s="33">
        <f t="shared" si="96"/>
        <v>67.125</v>
      </c>
      <c r="U880" s="33">
        <f t="shared" si="97"/>
        <v>54.226828351319597</v>
      </c>
      <c r="V880" s="33">
        <f t="shared" si="98"/>
        <v>-1.0780258200617567</v>
      </c>
      <c r="W880" s="12" t="b">
        <f t="shared" si="99"/>
        <v>0</v>
      </c>
    </row>
    <row r="881" spans="1:23">
      <c r="A881" s="26">
        <v>880</v>
      </c>
      <c r="B881" s="27">
        <v>40583</v>
      </c>
      <c r="C881" s="12">
        <v>2</v>
      </c>
      <c r="D881" s="12">
        <v>2</v>
      </c>
      <c r="E881" s="12" t="b">
        <v>0</v>
      </c>
      <c r="F881" s="12">
        <v>3</v>
      </c>
      <c r="G881" s="12">
        <v>1</v>
      </c>
      <c r="H881" s="12">
        <v>0.08</v>
      </c>
      <c r="I881" s="12">
        <v>7.5800000000000006E-2</v>
      </c>
      <c r="J881" s="12">
        <v>0.38</v>
      </c>
      <c r="K881" s="12">
        <v>0.28360000000000002</v>
      </c>
      <c r="L881" s="12">
        <v>1</v>
      </c>
      <c r="M881" s="12">
        <v>2</v>
      </c>
      <c r="N881" s="12">
        <v>3</v>
      </c>
      <c r="O881" s="12" t="str">
        <f>VLOOKUP(G881,calculate_field!$B$2:$C$5,2,FALSE)</f>
        <v>Clear/Partly Cloudy</v>
      </c>
      <c r="P881" s="12" t="str">
        <f t="shared" si="93"/>
        <v>Wednesday</v>
      </c>
      <c r="Q881" s="12" t="str">
        <f t="shared" si="94"/>
        <v>Weekday</v>
      </c>
      <c r="R881" s="12" t="str">
        <f t="shared" si="95"/>
        <v>Night</v>
      </c>
      <c r="S881" s="28" t="str">
        <f>INDEX(calculate_field!$F$2:$F$4, MATCH(H881, calculate_field!$E$2:$E$4, 1))</f>
        <v>Cold</v>
      </c>
      <c r="T881" s="33">
        <f t="shared" si="96"/>
        <v>66.958333333333329</v>
      </c>
      <c r="U881" s="33">
        <f t="shared" si="97"/>
        <v>54.42544095538782</v>
      </c>
      <c r="V881" s="33">
        <f t="shared" si="98"/>
        <v>-1.145985126929725</v>
      </c>
      <c r="W881" s="12" t="b">
        <f t="shared" si="99"/>
        <v>0</v>
      </c>
    </row>
    <row r="882" spans="1:23">
      <c r="A882" s="26">
        <v>881</v>
      </c>
      <c r="B882" s="27">
        <v>40583</v>
      </c>
      <c r="C882" s="12">
        <v>2</v>
      </c>
      <c r="D882" s="12">
        <v>3</v>
      </c>
      <c r="E882" s="12" t="b">
        <v>0</v>
      </c>
      <c r="F882" s="12">
        <v>3</v>
      </c>
      <c r="G882" s="12">
        <v>1</v>
      </c>
      <c r="H882" s="12">
        <v>0.06</v>
      </c>
      <c r="I882" s="12">
        <v>7.5800000000000006E-2</v>
      </c>
      <c r="J882" s="12">
        <v>0.45</v>
      </c>
      <c r="K882" s="12">
        <v>0.1343</v>
      </c>
      <c r="L882" s="12">
        <v>0</v>
      </c>
      <c r="M882" s="12">
        <v>2</v>
      </c>
      <c r="N882" s="12">
        <v>2</v>
      </c>
      <c r="O882" s="12" t="str">
        <f>VLOOKUP(G882,calculate_field!$B$2:$C$5,2,FALSE)</f>
        <v>Clear/Partly Cloudy</v>
      </c>
      <c r="P882" s="12" t="str">
        <f t="shared" si="93"/>
        <v>Wednesday</v>
      </c>
      <c r="Q882" s="12" t="str">
        <f t="shared" si="94"/>
        <v>Weekday</v>
      </c>
      <c r="R882" s="12" t="str">
        <f t="shared" si="95"/>
        <v>Night</v>
      </c>
      <c r="S882" s="28" t="str">
        <f>INDEX(calculate_field!$F$2:$F$4, MATCH(H882, calculate_field!$E$2:$E$4, 1))</f>
        <v>Cold</v>
      </c>
      <c r="T882" s="33">
        <f t="shared" si="96"/>
        <v>66.875</v>
      </c>
      <c r="U882" s="33">
        <f t="shared" si="97"/>
        <v>54.529060859883415</v>
      </c>
      <c r="V882" s="33">
        <f t="shared" si="98"/>
        <v>-1.185361870245109</v>
      </c>
      <c r="W882" s="12" t="b">
        <f t="shared" si="99"/>
        <v>0</v>
      </c>
    </row>
    <row r="883" spans="1:23">
      <c r="A883" s="26">
        <v>882</v>
      </c>
      <c r="B883" s="27">
        <v>40583</v>
      </c>
      <c r="C883" s="12">
        <v>2</v>
      </c>
      <c r="D883" s="12">
        <v>5</v>
      </c>
      <c r="E883" s="12" t="b">
        <v>0</v>
      </c>
      <c r="F883" s="12">
        <v>3</v>
      </c>
      <c r="G883" s="12">
        <v>1</v>
      </c>
      <c r="H883" s="12">
        <v>0.06</v>
      </c>
      <c r="I883" s="12">
        <v>0.1061</v>
      </c>
      <c r="J883" s="12">
        <v>0.45</v>
      </c>
      <c r="K883" s="12">
        <v>0.1045</v>
      </c>
      <c r="L883" s="12">
        <v>0</v>
      </c>
      <c r="M883" s="12">
        <v>7</v>
      </c>
      <c r="N883" s="12">
        <v>7</v>
      </c>
      <c r="O883" s="12" t="str">
        <f>VLOOKUP(G883,calculate_field!$B$2:$C$5,2,FALSE)</f>
        <v>Clear/Partly Cloudy</v>
      </c>
      <c r="P883" s="12" t="str">
        <f t="shared" si="93"/>
        <v>Wednesday</v>
      </c>
      <c r="Q883" s="12" t="str">
        <f t="shared" si="94"/>
        <v>Weekday</v>
      </c>
      <c r="R883" s="12" t="str">
        <f t="shared" si="95"/>
        <v>Night</v>
      </c>
      <c r="S883" s="28" t="str">
        <f>INDEX(calculate_field!$F$2:$F$4, MATCH(H883, calculate_field!$E$2:$E$4, 1))</f>
        <v>Cold</v>
      </c>
      <c r="T883" s="33">
        <f t="shared" si="96"/>
        <v>67.041666666666671</v>
      </c>
      <c r="U883" s="33">
        <f t="shared" si="97"/>
        <v>54.32789272129218</v>
      </c>
      <c r="V883" s="33">
        <f t="shared" si="98"/>
        <v>-1.1304705827921413</v>
      </c>
      <c r="W883" s="12" t="b">
        <f t="shared" si="99"/>
        <v>0</v>
      </c>
    </row>
    <row r="884" spans="1:23">
      <c r="A884" s="26">
        <v>883</v>
      </c>
      <c r="B884" s="27">
        <v>40583</v>
      </c>
      <c r="C884" s="12">
        <v>2</v>
      </c>
      <c r="D884" s="12">
        <v>6</v>
      </c>
      <c r="E884" s="12" t="b">
        <v>0</v>
      </c>
      <c r="F884" s="12">
        <v>3</v>
      </c>
      <c r="G884" s="12">
        <v>1</v>
      </c>
      <c r="H884" s="12">
        <v>0.06</v>
      </c>
      <c r="I884" s="12">
        <v>0.1515</v>
      </c>
      <c r="J884" s="12">
        <v>0.45</v>
      </c>
      <c r="K884" s="12">
        <v>0</v>
      </c>
      <c r="L884" s="12">
        <v>0</v>
      </c>
      <c r="M884" s="12">
        <v>43</v>
      </c>
      <c r="N884" s="12">
        <v>43</v>
      </c>
      <c r="O884" s="12" t="str">
        <f>VLOOKUP(G884,calculate_field!$B$2:$C$5,2,FALSE)</f>
        <v>Clear/Partly Cloudy</v>
      </c>
      <c r="P884" s="12" t="str">
        <f t="shared" si="93"/>
        <v>Wednesday</v>
      </c>
      <c r="Q884" s="12" t="str">
        <f t="shared" si="94"/>
        <v>Weekday</v>
      </c>
      <c r="R884" s="12" t="str">
        <f t="shared" si="95"/>
        <v>Morning</v>
      </c>
      <c r="S884" s="28" t="str">
        <f>INDEX(calculate_field!$F$2:$F$4, MATCH(H884, calculate_field!$E$2:$E$4, 1))</f>
        <v>Cold</v>
      </c>
      <c r="T884" s="33">
        <f t="shared" si="96"/>
        <v>67.833333333333329</v>
      </c>
      <c r="U884" s="33">
        <f t="shared" si="97"/>
        <v>53.547757365183649</v>
      </c>
      <c r="V884" s="33">
        <f t="shared" si="98"/>
        <v>-0.82629789101238937</v>
      </c>
      <c r="W884" s="12" t="b">
        <f t="shared" si="99"/>
        <v>0</v>
      </c>
    </row>
    <row r="885" spans="1:23">
      <c r="A885" s="26">
        <v>884</v>
      </c>
      <c r="B885" s="27">
        <v>40583</v>
      </c>
      <c r="C885" s="12">
        <v>2</v>
      </c>
      <c r="D885" s="12">
        <v>7</v>
      </c>
      <c r="E885" s="12" t="b">
        <v>0</v>
      </c>
      <c r="F885" s="12">
        <v>3</v>
      </c>
      <c r="G885" s="12">
        <v>1</v>
      </c>
      <c r="H885" s="12">
        <v>0.06</v>
      </c>
      <c r="I885" s="12">
        <v>0.1061</v>
      </c>
      <c r="J885" s="12">
        <v>0.49</v>
      </c>
      <c r="K885" s="12">
        <v>0.1045</v>
      </c>
      <c r="L885" s="12">
        <v>4</v>
      </c>
      <c r="M885" s="12">
        <v>95</v>
      </c>
      <c r="N885" s="12">
        <v>99</v>
      </c>
      <c r="O885" s="12" t="str">
        <f>VLOOKUP(G885,calculate_field!$B$2:$C$5,2,FALSE)</f>
        <v>Clear/Partly Cloudy</v>
      </c>
      <c r="P885" s="12" t="str">
        <f t="shared" si="93"/>
        <v>Wednesday</v>
      </c>
      <c r="Q885" s="12" t="str">
        <f t="shared" si="94"/>
        <v>Weekday</v>
      </c>
      <c r="R885" s="12" t="str">
        <f t="shared" si="95"/>
        <v>Morning</v>
      </c>
      <c r="S885" s="28" t="str">
        <f>INDEX(calculate_field!$F$2:$F$4, MATCH(H885, calculate_field!$E$2:$E$4, 1))</f>
        <v>Cold</v>
      </c>
      <c r="T885" s="33">
        <f t="shared" si="96"/>
        <v>70.166666666666671</v>
      </c>
      <c r="U885" s="33">
        <f t="shared" si="97"/>
        <v>53.638619009770956</v>
      </c>
      <c r="V885" s="33">
        <f t="shared" si="98"/>
        <v>0.39720905926127048</v>
      </c>
      <c r="W885" s="12" t="b">
        <f t="shared" si="99"/>
        <v>0</v>
      </c>
    </row>
    <row r="886" spans="1:23">
      <c r="A886" s="26">
        <v>885</v>
      </c>
      <c r="B886" s="27">
        <v>40583</v>
      </c>
      <c r="C886" s="12">
        <v>2</v>
      </c>
      <c r="D886" s="12">
        <v>8</v>
      </c>
      <c r="E886" s="12" t="b">
        <v>0</v>
      </c>
      <c r="F886" s="12">
        <v>3</v>
      </c>
      <c r="G886" s="12">
        <v>1</v>
      </c>
      <c r="H886" s="12">
        <v>0.1</v>
      </c>
      <c r="I886" s="12">
        <v>0.13639999999999999</v>
      </c>
      <c r="J886" s="12">
        <v>0.42</v>
      </c>
      <c r="K886" s="12">
        <v>0</v>
      </c>
      <c r="L886" s="12">
        <v>1</v>
      </c>
      <c r="M886" s="12">
        <v>198</v>
      </c>
      <c r="N886" s="12">
        <v>199</v>
      </c>
      <c r="O886" s="12" t="str">
        <f>VLOOKUP(G886,calculate_field!$B$2:$C$5,2,FALSE)</f>
        <v>Clear/Partly Cloudy</v>
      </c>
      <c r="P886" s="12" t="str">
        <f t="shared" si="93"/>
        <v>Wednesday</v>
      </c>
      <c r="Q886" s="12" t="str">
        <f t="shared" si="94"/>
        <v>Weekday</v>
      </c>
      <c r="R886" s="12" t="str">
        <f t="shared" si="95"/>
        <v>Morning</v>
      </c>
      <c r="S886" s="28" t="str">
        <f>INDEX(calculate_field!$F$2:$F$4, MATCH(H886, calculate_field!$E$2:$E$4, 1))</f>
        <v>Cold</v>
      </c>
      <c r="T886" s="33">
        <f t="shared" si="96"/>
        <v>73.458333333333329</v>
      </c>
      <c r="U886" s="33">
        <f t="shared" si="97"/>
        <v>57.751325350247541</v>
      </c>
      <c r="V886" s="33">
        <f t="shared" si="98"/>
        <v>1.6872805403146309</v>
      </c>
      <c r="W886" s="12" t="b">
        <f t="shared" si="99"/>
        <v>0</v>
      </c>
    </row>
    <row r="887" spans="1:23">
      <c r="A887" s="26">
        <v>886</v>
      </c>
      <c r="B887" s="27">
        <v>40583</v>
      </c>
      <c r="C887" s="12">
        <v>2</v>
      </c>
      <c r="D887" s="12">
        <v>9</v>
      </c>
      <c r="E887" s="12" t="b">
        <v>0</v>
      </c>
      <c r="F887" s="12">
        <v>3</v>
      </c>
      <c r="G887" s="12">
        <v>1</v>
      </c>
      <c r="H887" s="12">
        <v>0.12</v>
      </c>
      <c r="I887" s="12">
        <v>0.13639999999999999</v>
      </c>
      <c r="J887" s="12">
        <v>0.39</v>
      </c>
      <c r="K887" s="12">
        <v>0.16420000000000001</v>
      </c>
      <c r="L887" s="12">
        <v>4</v>
      </c>
      <c r="M887" s="12">
        <v>119</v>
      </c>
      <c r="N887" s="12">
        <v>123</v>
      </c>
      <c r="O887" s="12" t="str">
        <f>VLOOKUP(G887,calculate_field!$B$2:$C$5,2,FALSE)</f>
        <v>Clear/Partly Cloudy</v>
      </c>
      <c r="P887" s="12" t="str">
        <f t="shared" si="93"/>
        <v>Wednesday</v>
      </c>
      <c r="Q887" s="12" t="str">
        <f t="shared" si="94"/>
        <v>Weekday</v>
      </c>
      <c r="R887" s="12" t="str">
        <f t="shared" si="95"/>
        <v>Morning</v>
      </c>
      <c r="S887" s="28" t="str">
        <f>INDEX(calculate_field!$F$2:$F$4, MATCH(H887, calculate_field!$E$2:$E$4, 1))</f>
        <v>Cold</v>
      </c>
      <c r="T887" s="33">
        <f t="shared" si="96"/>
        <v>70.25</v>
      </c>
      <c r="U887" s="33">
        <f t="shared" si="97"/>
        <v>52.360996104385549</v>
      </c>
      <c r="V887" s="33">
        <f t="shared" si="98"/>
        <v>0.8951435925492911</v>
      </c>
      <c r="W887" s="12" t="b">
        <f t="shared" si="99"/>
        <v>0</v>
      </c>
    </row>
    <row r="888" spans="1:23">
      <c r="A888" s="26">
        <v>887</v>
      </c>
      <c r="B888" s="27">
        <v>40583</v>
      </c>
      <c r="C888" s="12">
        <v>2</v>
      </c>
      <c r="D888" s="12">
        <v>10</v>
      </c>
      <c r="E888" s="12" t="b">
        <v>0</v>
      </c>
      <c r="F888" s="12">
        <v>3</v>
      </c>
      <c r="G888" s="12">
        <v>1</v>
      </c>
      <c r="H888" s="12">
        <v>0.14000000000000001</v>
      </c>
      <c r="I888" s="12">
        <v>0.18179999999999999</v>
      </c>
      <c r="J888" s="12">
        <v>0.36</v>
      </c>
      <c r="K888" s="12">
        <v>0</v>
      </c>
      <c r="L888" s="12">
        <v>8</v>
      </c>
      <c r="M888" s="12">
        <v>51</v>
      </c>
      <c r="N888" s="12">
        <v>59</v>
      </c>
      <c r="O888" s="12" t="str">
        <f>VLOOKUP(G888,calculate_field!$B$2:$C$5,2,FALSE)</f>
        <v>Clear/Partly Cloudy</v>
      </c>
      <c r="P888" s="12" t="str">
        <f t="shared" si="93"/>
        <v>Wednesday</v>
      </c>
      <c r="Q888" s="12" t="str">
        <f t="shared" si="94"/>
        <v>Weekday</v>
      </c>
      <c r="R888" s="12" t="str">
        <f t="shared" si="95"/>
        <v>Morning</v>
      </c>
      <c r="S888" s="28" t="str">
        <f>INDEX(calculate_field!$F$2:$F$4, MATCH(H888, calculate_field!$E$2:$E$4, 1))</f>
        <v>Cold</v>
      </c>
      <c r="T888" s="33">
        <f t="shared" si="96"/>
        <v>66.583333333333329</v>
      </c>
      <c r="U888" s="33">
        <f t="shared" si="97"/>
        <v>51.581861209121769</v>
      </c>
      <c r="V888" s="33">
        <f t="shared" si="98"/>
        <v>-0.63056296235397125</v>
      </c>
      <c r="W888" s="12" t="b">
        <f t="shared" si="99"/>
        <v>0</v>
      </c>
    </row>
    <row r="889" spans="1:23">
      <c r="A889" s="26">
        <v>888</v>
      </c>
      <c r="B889" s="27">
        <v>40583</v>
      </c>
      <c r="C889" s="12">
        <v>2</v>
      </c>
      <c r="D889" s="12">
        <v>11</v>
      </c>
      <c r="E889" s="12" t="b">
        <v>0</v>
      </c>
      <c r="F889" s="12">
        <v>3</v>
      </c>
      <c r="G889" s="12">
        <v>2</v>
      </c>
      <c r="H889" s="12">
        <v>0.14000000000000001</v>
      </c>
      <c r="I889" s="12">
        <v>0.1515</v>
      </c>
      <c r="J889" s="12">
        <v>0.43</v>
      </c>
      <c r="K889" s="12">
        <v>0.16420000000000001</v>
      </c>
      <c r="L889" s="12">
        <v>1</v>
      </c>
      <c r="M889" s="12">
        <v>40</v>
      </c>
      <c r="N889" s="12">
        <v>41</v>
      </c>
      <c r="O889" s="12" t="str">
        <f>VLOOKUP(G889,calculate_field!$B$2:$C$5,2,FALSE)</f>
        <v xml:space="preserve">Mist / cloudy </v>
      </c>
      <c r="P889" s="12" t="str">
        <f t="shared" si="93"/>
        <v>Wednesday</v>
      </c>
      <c r="Q889" s="12" t="str">
        <f t="shared" si="94"/>
        <v>Weekday</v>
      </c>
      <c r="R889" s="12" t="str">
        <f t="shared" si="95"/>
        <v>Morning</v>
      </c>
      <c r="S889" s="28" t="str">
        <f>INDEX(calculate_field!$F$2:$F$4, MATCH(H889, calculate_field!$E$2:$E$4, 1))</f>
        <v>Cold</v>
      </c>
      <c r="T889" s="33">
        <f t="shared" si="96"/>
        <v>66</v>
      </c>
      <c r="U889" s="33">
        <f t="shared" si="97"/>
        <v>51.750236294356561</v>
      </c>
      <c r="V889" s="33">
        <f t="shared" si="98"/>
        <v>-0.47992962189194149</v>
      </c>
      <c r="W889" s="12" t="b">
        <f t="shared" si="99"/>
        <v>0</v>
      </c>
    </row>
    <row r="890" spans="1:23">
      <c r="A890" s="26">
        <v>889</v>
      </c>
      <c r="B890" s="27">
        <v>40583</v>
      </c>
      <c r="C890" s="12">
        <v>2</v>
      </c>
      <c r="D890" s="12">
        <v>12</v>
      </c>
      <c r="E890" s="12" t="b">
        <v>0</v>
      </c>
      <c r="F890" s="12">
        <v>3</v>
      </c>
      <c r="G890" s="12">
        <v>2</v>
      </c>
      <c r="H890" s="12">
        <v>0.18</v>
      </c>
      <c r="I890" s="12">
        <v>0.18179999999999999</v>
      </c>
      <c r="J890" s="12">
        <v>0.4</v>
      </c>
      <c r="K890" s="12">
        <v>0.22389999999999999</v>
      </c>
      <c r="L890" s="12">
        <v>4</v>
      </c>
      <c r="M890" s="12">
        <v>57</v>
      </c>
      <c r="N890" s="12">
        <v>61</v>
      </c>
      <c r="O890" s="12" t="str">
        <f>VLOOKUP(G890,calculate_field!$B$2:$C$5,2,FALSE)</f>
        <v xml:space="preserve">Mist / cloudy </v>
      </c>
      <c r="P890" s="12" t="str">
        <f t="shared" si="93"/>
        <v>Wednesday</v>
      </c>
      <c r="Q890" s="12" t="str">
        <f t="shared" si="94"/>
        <v>Weekday</v>
      </c>
      <c r="R890" s="12" t="str">
        <f t="shared" si="95"/>
        <v>Afternoon</v>
      </c>
      <c r="S890" s="28" t="str">
        <f>INDEX(calculate_field!$F$2:$F$4, MATCH(H890, calculate_field!$E$2:$E$4, 1))</f>
        <v>Cold</v>
      </c>
      <c r="T890" s="33">
        <f t="shared" si="96"/>
        <v>67.166666666666671</v>
      </c>
      <c r="U890" s="33">
        <f t="shared" si="97"/>
        <v>51.477024564081155</v>
      </c>
      <c r="V890" s="33">
        <f t="shared" si="98"/>
        <v>-8.7742011004326201E-2</v>
      </c>
      <c r="W890" s="12" t="b">
        <f t="shared" si="99"/>
        <v>0</v>
      </c>
    </row>
    <row r="891" spans="1:23">
      <c r="A891" s="26">
        <v>890</v>
      </c>
      <c r="B891" s="27">
        <v>40583</v>
      </c>
      <c r="C891" s="12">
        <v>2</v>
      </c>
      <c r="D891" s="12">
        <v>13</v>
      </c>
      <c r="E891" s="12" t="b">
        <v>0</v>
      </c>
      <c r="F891" s="12">
        <v>3</v>
      </c>
      <c r="G891" s="12">
        <v>1</v>
      </c>
      <c r="H891" s="12">
        <v>0.18</v>
      </c>
      <c r="I891" s="12">
        <v>0.16669999999999999</v>
      </c>
      <c r="J891" s="12">
        <v>0.4</v>
      </c>
      <c r="K891" s="12">
        <v>0.25369999999999998</v>
      </c>
      <c r="L891" s="12">
        <v>2</v>
      </c>
      <c r="M891" s="12">
        <v>67</v>
      </c>
      <c r="N891" s="12">
        <v>69</v>
      </c>
      <c r="O891" s="12" t="str">
        <f>VLOOKUP(G891,calculate_field!$B$2:$C$5,2,FALSE)</f>
        <v>Clear/Partly Cloudy</v>
      </c>
      <c r="P891" s="12" t="str">
        <f t="shared" si="93"/>
        <v>Wednesday</v>
      </c>
      <c r="Q891" s="12" t="str">
        <f t="shared" si="94"/>
        <v>Weekday</v>
      </c>
      <c r="R891" s="12" t="str">
        <f t="shared" si="95"/>
        <v>Afternoon</v>
      </c>
      <c r="S891" s="28" t="str">
        <f>INDEX(calculate_field!$F$2:$F$4, MATCH(H891, calculate_field!$E$2:$E$4, 1))</f>
        <v>Cold</v>
      </c>
      <c r="T891" s="33">
        <f t="shared" si="96"/>
        <v>67.208333333333329</v>
      </c>
      <c r="U891" s="33">
        <f t="shared" si="97"/>
        <v>51.472220592797655</v>
      </c>
      <c r="V891" s="33">
        <f t="shared" si="98"/>
        <v>-0.22724722722439669</v>
      </c>
      <c r="W891" s="12" t="b">
        <f t="shared" si="99"/>
        <v>0</v>
      </c>
    </row>
    <row r="892" spans="1:23">
      <c r="A892" s="26">
        <v>891</v>
      </c>
      <c r="B892" s="27">
        <v>40583</v>
      </c>
      <c r="C892" s="12">
        <v>2</v>
      </c>
      <c r="D892" s="12">
        <v>14</v>
      </c>
      <c r="E892" s="12" t="b">
        <v>0</v>
      </c>
      <c r="F892" s="12">
        <v>3</v>
      </c>
      <c r="G892" s="12">
        <v>1</v>
      </c>
      <c r="H892" s="12">
        <v>0.2</v>
      </c>
      <c r="I892" s="12">
        <v>0.18179999999999999</v>
      </c>
      <c r="J892" s="12">
        <v>0.34</v>
      </c>
      <c r="K892" s="12">
        <v>0.29849999999999999</v>
      </c>
      <c r="L892" s="12">
        <v>2</v>
      </c>
      <c r="M892" s="12">
        <v>56</v>
      </c>
      <c r="N892" s="12">
        <v>58</v>
      </c>
      <c r="O892" s="12" t="str">
        <f>VLOOKUP(G892,calculate_field!$B$2:$C$5,2,FALSE)</f>
        <v>Clear/Partly Cloudy</v>
      </c>
      <c r="P892" s="12" t="str">
        <f t="shared" si="93"/>
        <v>Wednesday</v>
      </c>
      <c r="Q892" s="12" t="str">
        <f t="shared" si="94"/>
        <v>Weekday</v>
      </c>
      <c r="R892" s="12" t="str">
        <f t="shared" si="95"/>
        <v>Afternoon</v>
      </c>
      <c r="S892" s="28" t="str">
        <f>INDEX(calculate_field!$F$2:$F$4, MATCH(H892, calculate_field!$E$2:$E$4, 1))</f>
        <v>Mild</v>
      </c>
      <c r="T892" s="33">
        <f t="shared" si="96"/>
        <v>66.333333333333329</v>
      </c>
      <c r="U892" s="33">
        <f t="shared" si="97"/>
        <v>51.618724835307468</v>
      </c>
      <c r="V892" s="33">
        <f t="shared" si="98"/>
        <v>-0.49319812569731269</v>
      </c>
      <c r="W892" s="12" t="b">
        <f t="shared" si="99"/>
        <v>1</v>
      </c>
    </row>
    <row r="893" spans="1:23">
      <c r="A893" s="26">
        <v>892</v>
      </c>
      <c r="B893" s="27">
        <v>40583</v>
      </c>
      <c r="C893" s="12">
        <v>2</v>
      </c>
      <c r="D893" s="12">
        <v>15</v>
      </c>
      <c r="E893" s="12" t="b">
        <v>0</v>
      </c>
      <c r="F893" s="12">
        <v>3</v>
      </c>
      <c r="G893" s="12">
        <v>2</v>
      </c>
      <c r="H893" s="12">
        <v>0.2</v>
      </c>
      <c r="I893" s="12">
        <v>0.18179999999999999</v>
      </c>
      <c r="J893" s="12">
        <v>0.34</v>
      </c>
      <c r="K893" s="12">
        <v>0.28360000000000002</v>
      </c>
      <c r="L893" s="12">
        <v>3</v>
      </c>
      <c r="M893" s="12">
        <v>61</v>
      </c>
      <c r="N893" s="12">
        <v>64</v>
      </c>
      <c r="O893" s="12" t="str">
        <f>VLOOKUP(G893,calculate_field!$B$2:$C$5,2,FALSE)</f>
        <v xml:space="preserve">Mist / cloudy </v>
      </c>
      <c r="P893" s="12" t="str">
        <f t="shared" si="93"/>
        <v>Wednesday</v>
      </c>
      <c r="Q893" s="12" t="str">
        <f t="shared" si="94"/>
        <v>Weekday</v>
      </c>
      <c r="R893" s="12" t="str">
        <f t="shared" si="95"/>
        <v>Afternoon</v>
      </c>
      <c r="S893" s="28" t="str">
        <f>INDEX(calculate_field!$F$2:$F$4, MATCH(H893, calculate_field!$E$2:$E$4, 1))</f>
        <v>Mild</v>
      </c>
      <c r="T893" s="33">
        <f t="shared" si="96"/>
        <v>66</v>
      </c>
      <c r="U893" s="33">
        <f t="shared" si="97"/>
        <v>51.700643339702559</v>
      </c>
      <c r="V893" s="33">
        <f t="shared" si="98"/>
        <v>-0.50965377127936506</v>
      </c>
      <c r="W893" s="12" t="b">
        <f t="shared" si="99"/>
        <v>0</v>
      </c>
    </row>
    <row r="894" spans="1:23">
      <c r="A894" s="26">
        <v>893</v>
      </c>
      <c r="B894" s="27">
        <v>40583</v>
      </c>
      <c r="C894" s="12">
        <v>2</v>
      </c>
      <c r="D894" s="12">
        <v>16</v>
      </c>
      <c r="E894" s="12" t="b">
        <v>0</v>
      </c>
      <c r="F894" s="12">
        <v>3</v>
      </c>
      <c r="G894" s="12">
        <v>2</v>
      </c>
      <c r="H894" s="12">
        <v>0.2</v>
      </c>
      <c r="I894" s="12">
        <v>0.19700000000000001</v>
      </c>
      <c r="J894" s="12">
        <v>0.37</v>
      </c>
      <c r="K894" s="12">
        <v>0.25369999999999998</v>
      </c>
      <c r="L894" s="12">
        <v>7</v>
      </c>
      <c r="M894" s="12">
        <v>72</v>
      </c>
      <c r="N894" s="12">
        <v>79</v>
      </c>
      <c r="O894" s="12" t="str">
        <f>VLOOKUP(G894,calculate_field!$B$2:$C$5,2,FALSE)</f>
        <v xml:space="preserve">Mist / cloudy </v>
      </c>
      <c r="P894" s="12" t="str">
        <f t="shared" si="93"/>
        <v>Wednesday</v>
      </c>
      <c r="Q894" s="12" t="str">
        <f t="shared" si="94"/>
        <v>Weekday</v>
      </c>
      <c r="R894" s="12" t="str">
        <f t="shared" si="95"/>
        <v>Afternoon</v>
      </c>
      <c r="S894" s="28" t="str">
        <f>INDEX(calculate_field!$F$2:$F$4, MATCH(H894, calculate_field!$E$2:$E$4, 1))</f>
        <v>Mild</v>
      </c>
      <c r="T894" s="33">
        <f t="shared" si="96"/>
        <v>66.666666666666671</v>
      </c>
      <c r="U894" s="33">
        <f t="shared" si="97"/>
        <v>51.776834392517131</v>
      </c>
      <c r="V894" s="33">
        <f t="shared" si="98"/>
        <v>-7.9122109197975549E-2</v>
      </c>
      <c r="W894" s="12" t="b">
        <f t="shared" si="99"/>
        <v>0</v>
      </c>
    </row>
    <row r="895" spans="1:23">
      <c r="A895" s="26">
        <v>894</v>
      </c>
      <c r="B895" s="27">
        <v>40583</v>
      </c>
      <c r="C895" s="12">
        <v>2</v>
      </c>
      <c r="D895" s="12">
        <v>17</v>
      </c>
      <c r="E895" s="12" t="b">
        <v>0</v>
      </c>
      <c r="F895" s="12">
        <v>3</v>
      </c>
      <c r="G895" s="12">
        <v>2</v>
      </c>
      <c r="H895" s="12">
        <v>0.2</v>
      </c>
      <c r="I895" s="12">
        <v>0.19700000000000001</v>
      </c>
      <c r="J895" s="12">
        <v>0.34</v>
      </c>
      <c r="K895" s="12">
        <v>0.25369999999999998</v>
      </c>
      <c r="L895" s="12">
        <v>9</v>
      </c>
      <c r="M895" s="12">
        <v>157</v>
      </c>
      <c r="N895" s="12">
        <v>166</v>
      </c>
      <c r="O895" s="12" t="str">
        <f>VLOOKUP(G895,calculate_field!$B$2:$C$5,2,FALSE)</f>
        <v xml:space="preserve">Mist / cloudy </v>
      </c>
      <c r="P895" s="12" t="str">
        <f t="shared" si="93"/>
        <v>Wednesday</v>
      </c>
      <c r="Q895" s="12" t="str">
        <f t="shared" si="94"/>
        <v>Weekday</v>
      </c>
      <c r="R895" s="12" t="str">
        <f t="shared" si="95"/>
        <v>Evening</v>
      </c>
      <c r="S895" s="28" t="str">
        <f>INDEX(calculate_field!$F$2:$F$4, MATCH(H895, calculate_field!$E$2:$E$4, 1))</f>
        <v>Mild</v>
      </c>
      <c r="T895" s="33">
        <f t="shared" si="96"/>
        <v>70.25</v>
      </c>
      <c r="U895" s="33">
        <f t="shared" si="97"/>
        <v>55.508910369730572</v>
      </c>
      <c r="V895" s="33">
        <f t="shared" si="98"/>
        <v>1.1966350422267831</v>
      </c>
      <c r="W895" s="12" t="b">
        <f t="shared" si="99"/>
        <v>0</v>
      </c>
    </row>
    <row r="896" spans="1:23">
      <c r="A896" s="26">
        <v>895</v>
      </c>
      <c r="B896" s="27">
        <v>40583</v>
      </c>
      <c r="C896" s="12">
        <v>2</v>
      </c>
      <c r="D896" s="12">
        <v>18</v>
      </c>
      <c r="E896" s="12" t="b">
        <v>0</v>
      </c>
      <c r="F896" s="12">
        <v>3</v>
      </c>
      <c r="G896" s="12">
        <v>2</v>
      </c>
      <c r="H896" s="12">
        <v>0.18</v>
      </c>
      <c r="I896" s="12">
        <v>0.16669999999999999</v>
      </c>
      <c r="J896" s="12">
        <v>0.47</v>
      </c>
      <c r="K896" s="12">
        <v>0.29849999999999999</v>
      </c>
      <c r="L896" s="12">
        <v>2</v>
      </c>
      <c r="M896" s="12">
        <v>168</v>
      </c>
      <c r="N896" s="12">
        <v>170</v>
      </c>
      <c r="O896" s="12" t="str">
        <f>VLOOKUP(G896,calculate_field!$B$2:$C$5,2,FALSE)</f>
        <v xml:space="preserve">Mist / cloudy </v>
      </c>
      <c r="P896" s="12" t="str">
        <f t="shared" si="93"/>
        <v>Wednesday</v>
      </c>
      <c r="Q896" s="12" t="str">
        <f t="shared" si="94"/>
        <v>Weekday</v>
      </c>
      <c r="R896" s="12" t="str">
        <f t="shared" si="95"/>
        <v>Evening</v>
      </c>
      <c r="S896" s="28" t="str">
        <f>INDEX(calculate_field!$F$2:$F$4, MATCH(H896, calculate_field!$E$2:$E$4, 1))</f>
        <v>Cold</v>
      </c>
      <c r="T896" s="33">
        <f t="shared" si="96"/>
        <v>70</v>
      </c>
      <c r="U896" s="33">
        <f t="shared" si="97"/>
        <v>55.070705540202155</v>
      </c>
      <c r="V896" s="33">
        <f t="shared" si="98"/>
        <v>1.1980464855038044</v>
      </c>
      <c r="W896" s="12" t="b">
        <f t="shared" si="99"/>
        <v>0</v>
      </c>
    </row>
    <row r="897" spans="1:23">
      <c r="A897" s="26">
        <v>896</v>
      </c>
      <c r="B897" s="27">
        <v>40583</v>
      </c>
      <c r="C897" s="12">
        <v>2</v>
      </c>
      <c r="D897" s="12">
        <v>19</v>
      </c>
      <c r="E897" s="12" t="b">
        <v>0</v>
      </c>
      <c r="F897" s="12">
        <v>3</v>
      </c>
      <c r="G897" s="12">
        <v>3</v>
      </c>
      <c r="H897" s="12">
        <v>0.14000000000000001</v>
      </c>
      <c r="I897" s="12">
        <v>0.1212</v>
      </c>
      <c r="J897" s="12">
        <v>0.86</v>
      </c>
      <c r="K897" s="12">
        <v>0.25369999999999998</v>
      </c>
      <c r="L897" s="12">
        <v>1</v>
      </c>
      <c r="M897" s="12">
        <v>87</v>
      </c>
      <c r="N897" s="12">
        <v>88</v>
      </c>
      <c r="O897" s="12" t="str">
        <f>VLOOKUP(G897,calculate_field!$B$2:$C$5,2,FALSE)</f>
        <v xml:space="preserve">Light Snow / Rain </v>
      </c>
      <c r="P897" s="12" t="str">
        <f t="shared" si="93"/>
        <v>Wednesday</v>
      </c>
      <c r="Q897" s="12" t="str">
        <f t="shared" si="94"/>
        <v>Weekday</v>
      </c>
      <c r="R897" s="12" t="str">
        <f t="shared" si="95"/>
        <v>Evening</v>
      </c>
      <c r="S897" s="28" t="str">
        <f>INDEX(calculate_field!$F$2:$F$4, MATCH(H897, calculate_field!$E$2:$E$4, 1))</f>
        <v>Cold</v>
      </c>
      <c r="T897" s="33">
        <f t="shared" si="96"/>
        <v>67.583333333333329</v>
      </c>
      <c r="U897" s="33">
        <f t="shared" si="97"/>
        <v>51.658508004735893</v>
      </c>
      <c r="V897" s="33">
        <f t="shared" si="98"/>
        <v>0.5010362777979942</v>
      </c>
      <c r="W897" s="12" t="b">
        <f t="shared" si="99"/>
        <v>0</v>
      </c>
    </row>
    <row r="898" spans="1:23">
      <c r="A898" s="26">
        <v>897</v>
      </c>
      <c r="B898" s="27">
        <v>40583</v>
      </c>
      <c r="C898" s="12">
        <v>2</v>
      </c>
      <c r="D898" s="12">
        <v>20</v>
      </c>
      <c r="E898" s="12" t="b">
        <v>0</v>
      </c>
      <c r="F898" s="12">
        <v>3</v>
      </c>
      <c r="G898" s="12">
        <v>3</v>
      </c>
      <c r="H898" s="12">
        <v>0.14000000000000001</v>
      </c>
      <c r="I898" s="12">
        <v>0.1515</v>
      </c>
      <c r="J898" s="12">
        <v>0.86</v>
      </c>
      <c r="K898" s="12">
        <v>0.16420000000000001</v>
      </c>
      <c r="L898" s="12">
        <v>0</v>
      </c>
      <c r="M898" s="12">
        <v>84</v>
      </c>
      <c r="N898" s="12">
        <v>84</v>
      </c>
      <c r="O898" s="12" t="str">
        <f>VLOOKUP(G898,calculate_field!$B$2:$C$5,2,FALSE)</f>
        <v xml:space="preserve">Light Snow / Rain </v>
      </c>
      <c r="P898" s="12" t="str">
        <f t="shared" ref="P898:P961" si="100">CHOOSE(F898+1,"Sunday","Monday","Tuesday","Wednesday","Thursday","Friday","Saturday")</f>
        <v>Wednesday</v>
      </c>
      <c r="Q898" s="12" t="str">
        <f t="shared" ref="Q898:Q961" si="101">IF(OR(F898=0,F898=6),"Weekend","Weekday")</f>
        <v>Weekday</v>
      </c>
      <c r="R898" s="12" t="str">
        <f t="shared" ref="R898:R961" si="102">IF(D898&lt;6,"Night",IF(D898&lt;12,"Morning",IF(D898&lt;17,"Afternoon",IF(D898&lt;21,"Evening","Night"))))</f>
        <v>Evening</v>
      </c>
      <c r="S898" s="28" t="str">
        <f>INDEX(calculate_field!$F$2:$F$4, MATCH(H898, calculate_field!$E$2:$E$4, 1))</f>
        <v>Cold</v>
      </c>
      <c r="T898" s="33">
        <f t="shared" ref="T898:T961" si="103">AVERAGE(N898:N921)</f>
        <v>67.958333333333329</v>
      </c>
      <c r="U898" s="33">
        <f t="shared" ref="U898:U961" si="104">_xlfn.STDEV.S(N898:N921)</f>
        <v>51.845488811900765</v>
      </c>
      <c r="V898" s="33">
        <f t="shared" ref="V898:V961" si="105">(N921-T921)/U921</f>
        <v>0.29518810488139635</v>
      </c>
      <c r="W898" s="12" t="b">
        <f t="shared" ref="W898:W961" si="106">IFERROR(ABS(V914)&gt;1.5,FALSE)</f>
        <v>0</v>
      </c>
    </row>
    <row r="899" spans="1:23">
      <c r="A899" s="26">
        <v>898</v>
      </c>
      <c r="B899" s="27">
        <v>40583</v>
      </c>
      <c r="C899" s="12">
        <v>2</v>
      </c>
      <c r="D899" s="12">
        <v>21</v>
      </c>
      <c r="E899" s="12" t="b">
        <v>0</v>
      </c>
      <c r="F899" s="12">
        <v>3</v>
      </c>
      <c r="G899" s="12">
        <v>2</v>
      </c>
      <c r="H899" s="12">
        <v>0.14000000000000001</v>
      </c>
      <c r="I899" s="12">
        <v>0.1515</v>
      </c>
      <c r="J899" s="12">
        <v>0.86</v>
      </c>
      <c r="K899" s="12">
        <v>0.16420000000000001</v>
      </c>
      <c r="L899" s="12">
        <v>0</v>
      </c>
      <c r="M899" s="12">
        <v>83</v>
      </c>
      <c r="N899" s="12">
        <v>83</v>
      </c>
      <c r="O899" s="12" t="str">
        <f>VLOOKUP(G899,calculate_field!$B$2:$C$5,2,FALSE)</f>
        <v xml:space="preserve">Mist / cloudy </v>
      </c>
      <c r="P899" s="12" t="str">
        <f t="shared" si="100"/>
        <v>Wednesday</v>
      </c>
      <c r="Q899" s="12" t="str">
        <f t="shared" si="101"/>
        <v>Weekday</v>
      </c>
      <c r="R899" s="12" t="str">
        <f t="shared" si="102"/>
        <v>Night</v>
      </c>
      <c r="S899" s="28" t="str">
        <f>INDEX(calculate_field!$F$2:$F$4, MATCH(H899, calculate_field!$E$2:$E$4, 1))</f>
        <v>Cold</v>
      </c>
      <c r="T899" s="33">
        <f t="shared" si="103"/>
        <v>67.458333333333329</v>
      </c>
      <c r="U899" s="33">
        <f t="shared" si="104"/>
        <v>51.741816548224747</v>
      </c>
      <c r="V899" s="33">
        <f t="shared" si="105"/>
        <v>-8.4482870047301317E-2</v>
      </c>
      <c r="W899" s="12" t="b">
        <f t="shared" si="106"/>
        <v>0</v>
      </c>
    </row>
    <row r="900" spans="1:23">
      <c r="A900" s="26">
        <v>899</v>
      </c>
      <c r="B900" s="27">
        <v>40583</v>
      </c>
      <c r="C900" s="12">
        <v>2</v>
      </c>
      <c r="D900" s="12">
        <v>22</v>
      </c>
      <c r="E900" s="12" t="b">
        <v>0</v>
      </c>
      <c r="F900" s="12">
        <v>3</v>
      </c>
      <c r="G900" s="12">
        <v>3</v>
      </c>
      <c r="H900" s="12">
        <v>0.16</v>
      </c>
      <c r="I900" s="12">
        <v>0.16669999999999999</v>
      </c>
      <c r="J900" s="12">
        <v>0.8</v>
      </c>
      <c r="K900" s="12">
        <v>0.16420000000000001</v>
      </c>
      <c r="L900" s="12">
        <v>4</v>
      </c>
      <c r="M900" s="12">
        <v>42</v>
      </c>
      <c r="N900" s="12">
        <v>46</v>
      </c>
      <c r="O900" s="12" t="str">
        <f>VLOOKUP(G900,calculate_field!$B$2:$C$5,2,FALSE)</f>
        <v xml:space="preserve">Light Snow / Rain </v>
      </c>
      <c r="P900" s="12" t="str">
        <f t="shared" si="100"/>
        <v>Wednesday</v>
      </c>
      <c r="Q900" s="12" t="str">
        <f t="shared" si="101"/>
        <v>Weekday</v>
      </c>
      <c r="R900" s="12" t="str">
        <f t="shared" si="102"/>
        <v>Night</v>
      </c>
      <c r="S900" s="28" t="str">
        <f>INDEX(calculate_field!$F$2:$F$4, MATCH(H900, calculate_field!$E$2:$E$4, 1))</f>
        <v>Cold</v>
      </c>
      <c r="T900" s="33">
        <f t="shared" si="103"/>
        <v>66.125</v>
      </c>
      <c r="U900" s="33">
        <f t="shared" si="104"/>
        <v>51.736214294874898</v>
      </c>
      <c r="V900" s="33">
        <f t="shared" si="105"/>
        <v>-0.41898275292456533</v>
      </c>
      <c r="W900" s="12" t="b">
        <f t="shared" si="106"/>
        <v>0</v>
      </c>
    </row>
    <row r="901" spans="1:23">
      <c r="A901" s="26">
        <v>900</v>
      </c>
      <c r="B901" s="27">
        <v>40583</v>
      </c>
      <c r="C901" s="12">
        <v>2</v>
      </c>
      <c r="D901" s="12">
        <v>23</v>
      </c>
      <c r="E901" s="12" t="b">
        <v>0</v>
      </c>
      <c r="F901" s="12">
        <v>3</v>
      </c>
      <c r="G901" s="12">
        <v>3</v>
      </c>
      <c r="H901" s="12">
        <v>0.16</v>
      </c>
      <c r="I901" s="12">
        <v>0.1515</v>
      </c>
      <c r="J901" s="12">
        <v>0.8</v>
      </c>
      <c r="K901" s="12">
        <v>0.19400000000000001</v>
      </c>
      <c r="L901" s="12">
        <v>0</v>
      </c>
      <c r="M901" s="12">
        <v>37</v>
      </c>
      <c r="N901" s="12">
        <v>37</v>
      </c>
      <c r="O901" s="12" t="str">
        <f>VLOOKUP(G901,calculate_field!$B$2:$C$5,2,FALSE)</f>
        <v xml:space="preserve">Light Snow / Rain </v>
      </c>
      <c r="P901" s="12" t="str">
        <f t="shared" si="100"/>
        <v>Wednesday</v>
      </c>
      <c r="Q901" s="12" t="str">
        <f t="shared" si="101"/>
        <v>Weekday</v>
      </c>
      <c r="R901" s="12" t="str">
        <f t="shared" si="102"/>
        <v>Night</v>
      </c>
      <c r="S901" s="28" t="str">
        <f>INDEX(calculate_field!$F$2:$F$4, MATCH(H901, calculate_field!$E$2:$E$4, 1))</f>
        <v>Cold</v>
      </c>
      <c r="T901" s="33">
        <f t="shared" si="103"/>
        <v>65.625</v>
      </c>
      <c r="U901" s="33">
        <f t="shared" si="104"/>
        <v>51.996498627938571</v>
      </c>
      <c r="V901" s="33">
        <f t="shared" si="105"/>
        <v>-0.68011169685002804</v>
      </c>
      <c r="W901" s="12" t="b">
        <f t="shared" si="106"/>
        <v>1</v>
      </c>
    </row>
    <row r="902" spans="1:23">
      <c r="A902" s="26">
        <v>901</v>
      </c>
      <c r="B902" s="27">
        <v>40584</v>
      </c>
      <c r="C902" s="12">
        <v>2</v>
      </c>
      <c r="D902" s="12">
        <v>0</v>
      </c>
      <c r="E902" s="12" t="b">
        <v>0</v>
      </c>
      <c r="F902" s="12">
        <v>4</v>
      </c>
      <c r="G902" s="12">
        <v>3</v>
      </c>
      <c r="H902" s="12">
        <v>0.14000000000000001</v>
      </c>
      <c r="I902" s="12">
        <v>0.13639999999999999</v>
      </c>
      <c r="J902" s="12">
        <v>0.86</v>
      </c>
      <c r="K902" s="12">
        <v>0.19400000000000001</v>
      </c>
      <c r="L902" s="12">
        <v>0</v>
      </c>
      <c r="M902" s="12">
        <v>16</v>
      </c>
      <c r="N902" s="12">
        <v>16</v>
      </c>
      <c r="O902" s="12" t="str">
        <f>VLOOKUP(G902,calculate_field!$B$2:$C$5,2,FALSE)</f>
        <v xml:space="preserve">Light Snow / Rain </v>
      </c>
      <c r="P902" s="12" t="str">
        <f t="shared" si="100"/>
        <v>Thursday</v>
      </c>
      <c r="Q902" s="12" t="str">
        <f t="shared" si="101"/>
        <v>Weekday</v>
      </c>
      <c r="R902" s="12" t="str">
        <f t="shared" si="102"/>
        <v>Night</v>
      </c>
      <c r="S902" s="28" t="str">
        <f>INDEX(calculate_field!$F$2:$F$4, MATCH(H902, calculate_field!$E$2:$E$4, 1))</f>
        <v>Cold</v>
      </c>
      <c r="T902" s="33">
        <f t="shared" si="103"/>
        <v>64.666666666666671</v>
      </c>
      <c r="U902" s="33">
        <f t="shared" si="104"/>
        <v>52.753459945598678</v>
      </c>
      <c r="V902" s="33">
        <f t="shared" si="105"/>
        <v>-0.99631066872668683</v>
      </c>
      <c r="W902" s="12" t="b">
        <f t="shared" si="106"/>
        <v>1</v>
      </c>
    </row>
    <row r="903" spans="1:23">
      <c r="A903" s="26">
        <v>902</v>
      </c>
      <c r="B903" s="27">
        <v>40584</v>
      </c>
      <c r="C903" s="12">
        <v>2</v>
      </c>
      <c r="D903" s="12">
        <v>1</v>
      </c>
      <c r="E903" s="12" t="b">
        <v>0</v>
      </c>
      <c r="F903" s="12">
        <v>4</v>
      </c>
      <c r="G903" s="12">
        <v>3</v>
      </c>
      <c r="H903" s="12">
        <v>0.14000000000000001</v>
      </c>
      <c r="I903" s="12">
        <v>0.1515</v>
      </c>
      <c r="J903" s="12">
        <v>0.8</v>
      </c>
      <c r="K903" s="12">
        <v>0.1343</v>
      </c>
      <c r="L903" s="12">
        <v>0</v>
      </c>
      <c r="M903" s="12">
        <v>7</v>
      </c>
      <c r="N903" s="12">
        <v>7</v>
      </c>
      <c r="O903" s="12" t="str">
        <f>VLOOKUP(G903,calculate_field!$B$2:$C$5,2,FALSE)</f>
        <v xml:space="preserve">Light Snow / Rain </v>
      </c>
      <c r="P903" s="12" t="str">
        <f t="shared" si="100"/>
        <v>Thursday</v>
      </c>
      <c r="Q903" s="12" t="str">
        <f t="shared" si="101"/>
        <v>Weekday</v>
      </c>
      <c r="R903" s="12" t="str">
        <f t="shared" si="102"/>
        <v>Night</v>
      </c>
      <c r="S903" s="28" t="str">
        <f>INDEX(calculate_field!$F$2:$F$4, MATCH(H903, calculate_field!$E$2:$E$4, 1))</f>
        <v>Cold</v>
      </c>
      <c r="T903" s="33">
        <f t="shared" si="103"/>
        <v>64.291666666666671</v>
      </c>
      <c r="U903" s="33">
        <f t="shared" si="104"/>
        <v>53.144985584282765</v>
      </c>
      <c r="V903" s="33">
        <f t="shared" si="105"/>
        <v>-1.1121028574534577</v>
      </c>
      <c r="W903" s="12" t="b">
        <f t="shared" si="106"/>
        <v>0</v>
      </c>
    </row>
    <row r="904" spans="1:23">
      <c r="A904" s="26">
        <v>903</v>
      </c>
      <c r="B904" s="27">
        <v>40584</v>
      </c>
      <c r="C904" s="12">
        <v>2</v>
      </c>
      <c r="D904" s="12">
        <v>2</v>
      </c>
      <c r="E904" s="12" t="b">
        <v>0</v>
      </c>
      <c r="F904" s="12">
        <v>4</v>
      </c>
      <c r="G904" s="12">
        <v>3</v>
      </c>
      <c r="H904" s="12">
        <v>0.14000000000000001</v>
      </c>
      <c r="I904" s="12">
        <v>0.1515</v>
      </c>
      <c r="J904" s="12">
        <v>0.8</v>
      </c>
      <c r="K904" s="12">
        <v>0.1343</v>
      </c>
      <c r="L904" s="12">
        <v>0</v>
      </c>
      <c r="M904" s="12">
        <v>3</v>
      </c>
      <c r="N904" s="12">
        <v>3</v>
      </c>
      <c r="O904" s="12" t="str">
        <f>VLOOKUP(G904,calculate_field!$B$2:$C$5,2,FALSE)</f>
        <v xml:space="preserve">Light Snow / Rain </v>
      </c>
      <c r="P904" s="12" t="str">
        <f t="shared" si="100"/>
        <v>Thursday</v>
      </c>
      <c r="Q904" s="12" t="str">
        <f t="shared" si="101"/>
        <v>Weekday</v>
      </c>
      <c r="R904" s="12" t="str">
        <f t="shared" si="102"/>
        <v>Night</v>
      </c>
      <c r="S904" s="28" t="str">
        <f>INDEX(calculate_field!$F$2:$F$4, MATCH(H904, calculate_field!$E$2:$E$4, 1))</f>
        <v>Cold</v>
      </c>
      <c r="T904" s="33">
        <f t="shared" si="103"/>
        <v>64.125</v>
      </c>
      <c r="U904" s="33">
        <f t="shared" si="104"/>
        <v>53.338388573823394</v>
      </c>
      <c r="V904" s="33">
        <f t="shared" si="105"/>
        <v>-1.182270654436526</v>
      </c>
      <c r="W904" s="12" t="b">
        <f t="shared" si="106"/>
        <v>0</v>
      </c>
    </row>
    <row r="905" spans="1:23">
      <c r="A905" s="26">
        <v>904</v>
      </c>
      <c r="B905" s="27">
        <v>40584</v>
      </c>
      <c r="C905" s="12">
        <v>2</v>
      </c>
      <c r="D905" s="12">
        <v>4</v>
      </c>
      <c r="E905" s="12" t="b">
        <v>0</v>
      </c>
      <c r="F905" s="12">
        <v>4</v>
      </c>
      <c r="G905" s="12">
        <v>2</v>
      </c>
      <c r="H905" s="12">
        <v>0.14000000000000001</v>
      </c>
      <c r="I905" s="12">
        <v>0.13639999999999999</v>
      </c>
      <c r="J905" s="12">
        <v>0.59</v>
      </c>
      <c r="K905" s="12">
        <v>0.22389999999999999</v>
      </c>
      <c r="L905" s="12">
        <v>0</v>
      </c>
      <c r="M905" s="12">
        <v>1</v>
      </c>
      <c r="N905" s="12">
        <v>1</v>
      </c>
      <c r="O905" s="12" t="str">
        <f>VLOOKUP(G905,calculate_field!$B$2:$C$5,2,FALSE)</f>
        <v xml:space="preserve">Mist / cloudy </v>
      </c>
      <c r="P905" s="12" t="str">
        <f t="shared" si="100"/>
        <v>Thursday</v>
      </c>
      <c r="Q905" s="12" t="str">
        <f t="shared" si="101"/>
        <v>Weekday</v>
      </c>
      <c r="R905" s="12" t="str">
        <f t="shared" si="102"/>
        <v>Night</v>
      </c>
      <c r="S905" s="28" t="str">
        <f>INDEX(calculate_field!$F$2:$F$4, MATCH(H905, calculate_field!$E$2:$E$4, 1))</f>
        <v>Cold</v>
      </c>
      <c r="T905" s="33">
        <f t="shared" si="103"/>
        <v>64.166666666666671</v>
      </c>
      <c r="U905" s="33">
        <f t="shared" si="104"/>
        <v>53.288930791746388</v>
      </c>
      <c r="V905" s="33">
        <f t="shared" si="105"/>
        <v>-1.1675478409589226</v>
      </c>
      <c r="W905" s="12" t="b">
        <f t="shared" si="106"/>
        <v>0</v>
      </c>
    </row>
    <row r="906" spans="1:23">
      <c r="A906" s="26">
        <v>905</v>
      </c>
      <c r="B906" s="27">
        <v>40584</v>
      </c>
      <c r="C906" s="12">
        <v>2</v>
      </c>
      <c r="D906" s="12">
        <v>5</v>
      </c>
      <c r="E906" s="12" t="b">
        <v>0</v>
      </c>
      <c r="F906" s="12">
        <v>4</v>
      </c>
      <c r="G906" s="12">
        <v>2</v>
      </c>
      <c r="H906" s="12">
        <v>0.12</v>
      </c>
      <c r="I906" s="12">
        <v>0.1212</v>
      </c>
      <c r="J906" s="12">
        <v>0.5</v>
      </c>
      <c r="K906" s="12">
        <v>0.22389999999999999</v>
      </c>
      <c r="L906" s="12">
        <v>0</v>
      </c>
      <c r="M906" s="12">
        <v>6</v>
      </c>
      <c r="N906" s="12">
        <v>6</v>
      </c>
      <c r="O906" s="12" t="str">
        <f>VLOOKUP(G906,calculate_field!$B$2:$C$5,2,FALSE)</f>
        <v xml:space="preserve">Mist / cloudy </v>
      </c>
      <c r="P906" s="12" t="str">
        <f t="shared" si="100"/>
        <v>Thursday</v>
      </c>
      <c r="Q906" s="12" t="str">
        <f t="shared" si="101"/>
        <v>Weekday</v>
      </c>
      <c r="R906" s="12" t="str">
        <f t="shared" si="102"/>
        <v>Night</v>
      </c>
      <c r="S906" s="28" t="str">
        <f>INDEX(calculate_field!$F$2:$F$4, MATCH(H906, calculate_field!$E$2:$E$4, 1))</f>
        <v>Cold</v>
      </c>
      <c r="T906" s="33">
        <f t="shared" si="103"/>
        <v>65.125</v>
      </c>
      <c r="U906" s="33">
        <f t="shared" si="104"/>
        <v>52.301228267229725</v>
      </c>
      <c r="V906" s="33">
        <f t="shared" si="105"/>
        <v>-0.83544832547429893</v>
      </c>
      <c r="W906" s="12" t="b">
        <f t="shared" si="106"/>
        <v>0</v>
      </c>
    </row>
    <row r="907" spans="1:23">
      <c r="A907" s="26">
        <v>906</v>
      </c>
      <c r="B907" s="27">
        <v>40584</v>
      </c>
      <c r="C907" s="12">
        <v>2</v>
      </c>
      <c r="D907" s="12">
        <v>6</v>
      </c>
      <c r="E907" s="12" t="b">
        <v>0</v>
      </c>
      <c r="F907" s="12">
        <v>4</v>
      </c>
      <c r="G907" s="12">
        <v>2</v>
      </c>
      <c r="H907" s="12">
        <v>0.12</v>
      </c>
      <c r="I907" s="12">
        <v>0.1212</v>
      </c>
      <c r="J907" s="12">
        <v>0.54</v>
      </c>
      <c r="K907" s="12">
        <v>0.28360000000000002</v>
      </c>
      <c r="L907" s="12">
        <v>0</v>
      </c>
      <c r="M907" s="12">
        <v>26</v>
      </c>
      <c r="N907" s="12">
        <v>26</v>
      </c>
      <c r="O907" s="12" t="str">
        <f>VLOOKUP(G907,calculate_field!$B$2:$C$5,2,FALSE)</f>
        <v xml:space="preserve">Mist / cloudy </v>
      </c>
      <c r="P907" s="12" t="str">
        <f t="shared" si="100"/>
        <v>Thursday</v>
      </c>
      <c r="Q907" s="12" t="str">
        <f t="shared" si="101"/>
        <v>Weekday</v>
      </c>
      <c r="R907" s="12" t="str">
        <f t="shared" si="102"/>
        <v>Morning</v>
      </c>
      <c r="S907" s="28" t="str">
        <f>INDEX(calculate_field!$F$2:$F$4, MATCH(H907, calculate_field!$E$2:$E$4, 1))</f>
        <v>Cold</v>
      </c>
      <c r="T907" s="33">
        <f t="shared" si="103"/>
        <v>67.958333333333329</v>
      </c>
      <c r="U907" s="33">
        <f t="shared" si="104"/>
        <v>50.778700744262473</v>
      </c>
      <c r="V907" s="33">
        <f t="shared" si="105"/>
        <v>-2.6837842111710106E-3</v>
      </c>
      <c r="W907" s="12" t="b">
        <f t="shared" si="106"/>
        <v>0</v>
      </c>
    </row>
    <row r="908" spans="1:23">
      <c r="A908" s="26">
        <v>907</v>
      </c>
      <c r="B908" s="27">
        <v>40584</v>
      </c>
      <c r="C908" s="12">
        <v>2</v>
      </c>
      <c r="D908" s="12">
        <v>7</v>
      </c>
      <c r="E908" s="12" t="b">
        <v>0</v>
      </c>
      <c r="F908" s="12">
        <v>4</v>
      </c>
      <c r="G908" s="12">
        <v>1</v>
      </c>
      <c r="H908" s="12">
        <v>0.1</v>
      </c>
      <c r="I908" s="12">
        <v>7.5800000000000006E-2</v>
      </c>
      <c r="J908" s="12">
        <v>0.5</v>
      </c>
      <c r="K908" s="12">
        <v>0.41789999999999999</v>
      </c>
      <c r="L908" s="12">
        <v>0</v>
      </c>
      <c r="M908" s="12">
        <v>99</v>
      </c>
      <c r="N908" s="12">
        <v>99</v>
      </c>
      <c r="O908" s="12" t="str">
        <f>VLOOKUP(G908,calculate_field!$B$2:$C$5,2,FALSE)</f>
        <v>Clear/Partly Cloudy</v>
      </c>
      <c r="P908" s="12" t="str">
        <f t="shared" si="100"/>
        <v>Thursday</v>
      </c>
      <c r="Q908" s="12" t="str">
        <f t="shared" si="101"/>
        <v>Weekday</v>
      </c>
      <c r="R908" s="12" t="str">
        <f t="shared" si="102"/>
        <v>Morning</v>
      </c>
      <c r="S908" s="28" t="str">
        <f>INDEX(calculate_field!$F$2:$F$4, MATCH(H908, calculate_field!$E$2:$E$4, 1))</f>
        <v>Cold</v>
      </c>
      <c r="T908" s="33">
        <f t="shared" si="103"/>
        <v>75.875</v>
      </c>
      <c r="U908" s="33">
        <f t="shared" si="104"/>
        <v>58.2187124407683</v>
      </c>
      <c r="V908" s="33">
        <f t="shared" si="105"/>
        <v>2.2775856715247493</v>
      </c>
      <c r="W908" s="12" t="b">
        <f t="shared" si="106"/>
        <v>0</v>
      </c>
    </row>
    <row r="909" spans="1:23">
      <c r="A909" s="26">
        <v>908</v>
      </c>
      <c r="B909" s="27">
        <v>40584</v>
      </c>
      <c r="C909" s="12">
        <v>2</v>
      </c>
      <c r="D909" s="12">
        <v>8</v>
      </c>
      <c r="E909" s="12" t="b">
        <v>0</v>
      </c>
      <c r="F909" s="12">
        <v>4</v>
      </c>
      <c r="G909" s="12">
        <v>1</v>
      </c>
      <c r="H909" s="12">
        <v>0.1</v>
      </c>
      <c r="I909" s="12">
        <v>7.5800000000000006E-2</v>
      </c>
      <c r="J909" s="12">
        <v>0.49</v>
      </c>
      <c r="K909" s="12">
        <v>0.32840000000000003</v>
      </c>
      <c r="L909" s="12">
        <v>5</v>
      </c>
      <c r="M909" s="12">
        <v>173</v>
      </c>
      <c r="N909" s="12">
        <v>178</v>
      </c>
      <c r="O909" s="12" t="str">
        <f>VLOOKUP(G909,calculate_field!$B$2:$C$5,2,FALSE)</f>
        <v>Clear/Partly Cloudy</v>
      </c>
      <c r="P909" s="12" t="str">
        <f t="shared" si="100"/>
        <v>Thursday</v>
      </c>
      <c r="Q909" s="12" t="str">
        <f t="shared" si="101"/>
        <v>Weekday</v>
      </c>
      <c r="R909" s="12" t="str">
        <f t="shared" si="102"/>
        <v>Morning</v>
      </c>
      <c r="S909" s="28" t="str">
        <f>INDEX(calculate_field!$F$2:$F$4, MATCH(H909, calculate_field!$E$2:$E$4, 1))</f>
        <v>Cold</v>
      </c>
      <c r="T909" s="33">
        <f t="shared" si="103"/>
        <v>77.583333333333329</v>
      </c>
      <c r="U909" s="33">
        <f t="shared" si="104"/>
        <v>59.513912634790273</v>
      </c>
      <c r="V909" s="33">
        <f t="shared" si="105"/>
        <v>1.3626215528657739</v>
      </c>
      <c r="W909" s="12" t="b">
        <f t="shared" si="106"/>
        <v>0</v>
      </c>
    </row>
    <row r="910" spans="1:23">
      <c r="A910" s="26">
        <v>909</v>
      </c>
      <c r="B910" s="27">
        <v>40584</v>
      </c>
      <c r="C910" s="12">
        <v>2</v>
      </c>
      <c r="D910" s="12">
        <v>9</v>
      </c>
      <c r="E910" s="12" t="b">
        <v>0</v>
      </c>
      <c r="F910" s="12">
        <v>4</v>
      </c>
      <c r="G910" s="12">
        <v>1</v>
      </c>
      <c r="H910" s="12">
        <v>0.12</v>
      </c>
      <c r="I910" s="12">
        <v>0.1061</v>
      </c>
      <c r="J910" s="12">
        <v>0.42</v>
      </c>
      <c r="K910" s="12">
        <v>0.35820000000000002</v>
      </c>
      <c r="L910" s="12">
        <v>1</v>
      </c>
      <c r="M910" s="12">
        <v>121</v>
      </c>
      <c r="N910" s="12">
        <v>122</v>
      </c>
      <c r="O910" s="12" t="str">
        <f>VLOOKUP(G910,calculate_field!$B$2:$C$5,2,FALSE)</f>
        <v>Clear/Partly Cloudy</v>
      </c>
      <c r="P910" s="12" t="str">
        <f t="shared" si="100"/>
        <v>Thursday</v>
      </c>
      <c r="Q910" s="12" t="str">
        <f t="shared" si="101"/>
        <v>Weekday</v>
      </c>
      <c r="R910" s="12" t="str">
        <f t="shared" si="102"/>
        <v>Morning</v>
      </c>
      <c r="S910" s="28" t="str">
        <f>INDEX(calculate_field!$F$2:$F$4, MATCH(H910, calculate_field!$E$2:$E$4, 1))</f>
        <v>Cold</v>
      </c>
      <c r="T910" s="33">
        <f t="shared" si="103"/>
        <v>72</v>
      </c>
      <c r="U910" s="33">
        <f t="shared" si="104"/>
        <v>55.856960175075763</v>
      </c>
      <c r="V910" s="33">
        <f t="shared" si="105"/>
        <v>-0.29362913238037358</v>
      </c>
      <c r="W910" s="12" t="b">
        <f t="shared" si="106"/>
        <v>0</v>
      </c>
    </row>
    <row r="911" spans="1:23">
      <c r="A911" s="26">
        <v>910</v>
      </c>
      <c r="B911" s="27">
        <v>40584</v>
      </c>
      <c r="C911" s="12">
        <v>2</v>
      </c>
      <c r="D911" s="12">
        <v>10</v>
      </c>
      <c r="E911" s="12" t="b">
        <v>0</v>
      </c>
      <c r="F911" s="12">
        <v>4</v>
      </c>
      <c r="G911" s="12">
        <v>1</v>
      </c>
      <c r="H911" s="12">
        <v>0.12</v>
      </c>
      <c r="I911" s="12">
        <v>0.1061</v>
      </c>
      <c r="J911" s="12">
        <v>0.42</v>
      </c>
      <c r="K911" s="12">
        <v>0.29849999999999999</v>
      </c>
      <c r="L911" s="12">
        <v>1</v>
      </c>
      <c r="M911" s="12">
        <v>34</v>
      </c>
      <c r="N911" s="12">
        <v>35</v>
      </c>
      <c r="O911" s="12" t="str">
        <f>VLOOKUP(G911,calculate_field!$B$2:$C$5,2,FALSE)</f>
        <v>Clear/Partly Cloudy</v>
      </c>
      <c r="P911" s="12" t="str">
        <f t="shared" si="100"/>
        <v>Thursday</v>
      </c>
      <c r="Q911" s="12" t="str">
        <f t="shared" si="101"/>
        <v>Weekday</v>
      </c>
      <c r="R911" s="12" t="str">
        <f t="shared" si="102"/>
        <v>Morning</v>
      </c>
      <c r="S911" s="28" t="str">
        <f>INDEX(calculate_field!$F$2:$F$4, MATCH(H911, calculate_field!$E$2:$E$4, 1))</f>
        <v>Cold</v>
      </c>
      <c r="T911" s="33">
        <f t="shared" si="103"/>
        <v>69.583333333333329</v>
      </c>
      <c r="U911" s="33">
        <f t="shared" si="104"/>
        <v>54.845170741125315</v>
      </c>
      <c r="V911" s="33">
        <f t="shared" si="105"/>
        <v>4.8062234001607536E-2</v>
      </c>
      <c r="W911" s="12" t="b">
        <f t="shared" si="106"/>
        <v>0</v>
      </c>
    </row>
    <row r="912" spans="1:23">
      <c r="A912" s="26">
        <v>911</v>
      </c>
      <c r="B912" s="27">
        <v>40584</v>
      </c>
      <c r="C912" s="12">
        <v>2</v>
      </c>
      <c r="D912" s="12">
        <v>11</v>
      </c>
      <c r="E912" s="12" t="b">
        <v>0</v>
      </c>
      <c r="F912" s="12">
        <v>4</v>
      </c>
      <c r="G912" s="12">
        <v>1</v>
      </c>
      <c r="H912" s="12">
        <v>0.14000000000000001</v>
      </c>
      <c r="I912" s="12">
        <v>0.1212</v>
      </c>
      <c r="J912" s="12">
        <v>0.39</v>
      </c>
      <c r="K912" s="12">
        <v>0.35820000000000002</v>
      </c>
      <c r="L912" s="12">
        <v>1</v>
      </c>
      <c r="M912" s="12">
        <v>44</v>
      </c>
      <c r="N912" s="12">
        <v>45</v>
      </c>
      <c r="O912" s="12" t="str">
        <f>VLOOKUP(G912,calculate_field!$B$2:$C$5,2,FALSE)</f>
        <v>Clear/Partly Cloudy</v>
      </c>
      <c r="P912" s="12" t="str">
        <f t="shared" si="100"/>
        <v>Thursday</v>
      </c>
      <c r="Q912" s="12" t="str">
        <f t="shared" si="101"/>
        <v>Weekday</v>
      </c>
      <c r="R912" s="12" t="str">
        <f t="shared" si="102"/>
        <v>Morning</v>
      </c>
      <c r="S912" s="28" t="str">
        <f>INDEX(calculate_field!$F$2:$F$4, MATCH(H912, calculate_field!$E$2:$E$4, 1))</f>
        <v>Cold</v>
      </c>
      <c r="T912" s="33">
        <f t="shared" si="103"/>
        <v>71.083333333333329</v>
      </c>
      <c r="U912" s="33">
        <f t="shared" si="104"/>
        <v>54.348246375186484</v>
      </c>
      <c r="V912" s="33">
        <f t="shared" si="105"/>
        <v>0.13682954184586915</v>
      </c>
      <c r="W912" s="12" t="b">
        <f t="shared" si="106"/>
        <v>0</v>
      </c>
    </row>
    <row r="913" spans="1:23">
      <c r="A913" s="26">
        <v>912</v>
      </c>
      <c r="B913" s="27">
        <v>40584</v>
      </c>
      <c r="C913" s="12">
        <v>2</v>
      </c>
      <c r="D913" s="12">
        <v>12</v>
      </c>
      <c r="E913" s="12" t="b">
        <v>0</v>
      </c>
      <c r="F913" s="12">
        <v>4</v>
      </c>
      <c r="G913" s="12">
        <v>1</v>
      </c>
      <c r="H913" s="12">
        <v>0.16</v>
      </c>
      <c r="I913" s="12">
        <v>0.13639999999999999</v>
      </c>
      <c r="J913" s="12">
        <v>0.34</v>
      </c>
      <c r="K913" s="12">
        <v>0.3881</v>
      </c>
      <c r="L913" s="12">
        <v>4</v>
      </c>
      <c r="M913" s="12">
        <v>65</v>
      </c>
      <c r="N913" s="12">
        <v>69</v>
      </c>
      <c r="O913" s="12" t="str">
        <f>VLOOKUP(G913,calculate_field!$B$2:$C$5,2,FALSE)</f>
        <v>Clear/Partly Cloudy</v>
      </c>
      <c r="P913" s="12" t="str">
        <f t="shared" si="100"/>
        <v>Thursday</v>
      </c>
      <c r="Q913" s="12" t="str">
        <f t="shared" si="101"/>
        <v>Weekday</v>
      </c>
      <c r="R913" s="12" t="str">
        <f t="shared" si="102"/>
        <v>Afternoon</v>
      </c>
      <c r="S913" s="28" t="str">
        <f>INDEX(calculate_field!$F$2:$F$4, MATCH(H913, calculate_field!$E$2:$E$4, 1))</f>
        <v>Cold</v>
      </c>
      <c r="T913" s="33">
        <f t="shared" si="103"/>
        <v>73.791666666666671</v>
      </c>
      <c r="U913" s="33">
        <f t="shared" si="104"/>
        <v>54.610859858573491</v>
      </c>
      <c r="V913" s="33">
        <f t="shared" si="105"/>
        <v>0.79384401048302844</v>
      </c>
      <c r="W913" s="12" t="b">
        <f t="shared" si="106"/>
        <v>0</v>
      </c>
    </row>
    <row r="914" spans="1:23">
      <c r="A914" s="26">
        <v>913</v>
      </c>
      <c r="B914" s="27">
        <v>40584</v>
      </c>
      <c r="C914" s="12">
        <v>2</v>
      </c>
      <c r="D914" s="12">
        <v>13</v>
      </c>
      <c r="E914" s="12" t="b">
        <v>0</v>
      </c>
      <c r="F914" s="12">
        <v>4</v>
      </c>
      <c r="G914" s="12">
        <v>1</v>
      </c>
      <c r="H914" s="12">
        <v>0.18</v>
      </c>
      <c r="I914" s="12">
        <v>0.16669999999999999</v>
      </c>
      <c r="J914" s="12">
        <v>0.28999999999999998</v>
      </c>
      <c r="K914" s="12">
        <v>0.29849999999999999</v>
      </c>
      <c r="L914" s="12">
        <v>3</v>
      </c>
      <c r="M914" s="12">
        <v>59</v>
      </c>
      <c r="N914" s="12">
        <v>62</v>
      </c>
      <c r="O914" s="12" t="str">
        <f>VLOOKUP(G914,calculate_field!$B$2:$C$5,2,FALSE)</f>
        <v>Clear/Partly Cloudy</v>
      </c>
      <c r="P914" s="12" t="str">
        <f t="shared" si="100"/>
        <v>Thursday</v>
      </c>
      <c r="Q914" s="12" t="str">
        <f t="shared" si="101"/>
        <v>Weekday</v>
      </c>
      <c r="R914" s="12" t="str">
        <f t="shared" si="102"/>
        <v>Afternoon</v>
      </c>
      <c r="S914" s="28" t="str">
        <f>INDEX(calculate_field!$F$2:$F$4, MATCH(H914, calculate_field!$E$2:$E$4, 1))</f>
        <v>Cold</v>
      </c>
      <c r="T914" s="33">
        <f t="shared" si="103"/>
        <v>74.416666666666671</v>
      </c>
      <c r="U914" s="33">
        <f t="shared" si="104"/>
        <v>54.639463892801459</v>
      </c>
      <c r="V914" s="33">
        <f t="shared" si="105"/>
        <v>0.30508064221744169</v>
      </c>
      <c r="W914" s="12" t="b">
        <f t="shared" si="106"/>
        <v>0</v>
      </c>
    </row>
    <row r="915" spans="1:23">
      <c r="A915" s="26">
        <v>914</v>
      </c>
      <c r="B915" s="27">
        <v>40584</v>
      </c>
      <c r="C915" s="12">
        <v>2</v>
      </c>
      <c r="D915" s="12">
        <v>14</v>
      </c>
      <c r="E915" s="12" t="b">
        <v>0</v>
      </c>
      <c r="F915" s="12">
        <v>4</v>
      </c>
      <c r="G915" s="12">
        <v>1</v>
      </c>
      <c r="H915" s="12">
        <v>0.2</v>
      </c>
      <c r="I915" s="12">
        <v>0.18179999999999999</v>
      </c>
      <c r="J915" s="12">
        <v>0.27</v>
      </c>
      <c r="K915" s="12">
        <v>0.28360000000000002</v>
      </c>
      <c r="L915" s="12">
        <v>6</v>
      </c>
      <c r="M915" s="12">
        <v>42</v>
      </c>
      <c r="N915" s="12">
        <v>48</v>
      </c>
      <c r="O915" s="12" t="str">
        <f>VLOOKUP(G915,calculate_field!$B$2:$C$5,2,FALSE)</f>
        <v>Clear/Partly Cloudy</v>
      </c>
      <c r="P915" s="12" t="str">
        <f t="shared" si="100"/>
        <v>Thursday</v>
      </c>
      <c r="Q915" s="12" t="str">
        <f t="shared" si="101"/>
        <v>Weekday</v>
      </c>
      <c r="R915" s="12" t="str">
        <f t="shared" si="102"/>
        <v>Afternoon</v>
      </c>
      <c r="S915" s="28" t="str">
        <f>INDEX(calculate_field!$F$2:$F$4, MATCH(H915, calculate_field!$E$2:$E$4, 1))</f>
        <v>Mild</v>
      </c>
      <c r="T915" s="33">
        <f t="shared" si="103"/>
        <v>74.916666666666671</v>
      </c>
      <c r="U915" s="33">
        <f t="shared" si="104"/>
        <v>54.575768366131349</v>
      </c>
      <c r="V915" s="33">
        <f t="shared" si="105"/>
        <v>0.10195627388719099</v>
      </c>
      <c r="W915" s="12" t="b">
        <f t="shared" si="106"/>
        <v>0</v>
      </c>
    </row>
    <row r="916" spans="1:23">
      <c r="A916" s="26">
        <v>915</v>
      </c>
      <c r="B916" s="27">
        <v>40584</v>
      </c>
      <c r="C916" s="12">
        <v>2</v>
      </c>
      <c r="D916" s="12">
        <v>15</v>
      </c>
      <c r="E916" s="12" t="b">
        <v>0</v>
      </c>
      <c r="F916" s="12">
        <v>4</v>
      </c>
      <c r="G916" s="12">
        <v>1</v>
      </c>
      <c r="H916" s="12">
        <v>0.2</v>
      </c>
      <c r="I916" s="12">
        <v>0.19700000000000001</v>
      </c>
      <c r="J916" s="12">
        <v>0.25</v>
      </c>
      <c r="K916" s="12">
        <v>0.25369999999999998</v>
      </c>
      <c r="L916" s="12">
        <v>0</v>
      </c>
      <c r="M916" s="12">
        <v>50</v>
      </c>
      <c r="N916" s="12">
        <v>50</v>
      </c>
      <c r="O916" s="12" t="str">
        <f>VLOOKUP(G916,calculate_field!$B$2:$C$5,2,FALSE)</f>
        <v>Clear/Partly Cloudy</v>
      </c>
      <c r="P916" s="12" t="str">
        <f t="shared" si="100"/>
        <v>Thursday</v>
      </c>
      <c r="Q916" s="12" t="str">
        <f t="shared" si="101"/>
        <v>Weekday</v>
      </c>
      <c r="R916" s="12" t="str">
        <f t="shared" si="102"/>
        <v>Afternoon</v>
      </c>
      <c r="S916" s="28" t="str">
        <f>INDEX(calculate_field!$F$2:$F$4, MATCH(H916, calculate_field!$E$2:$E$4, 1))</f>
        <v>Mild</v>
      </c>
      <c r="T916" s="33">
        <f t="shared" si="103"/>
        <v>78.125</v>
      </c>
      <c r="U916" s="33">
        <f t="shared" si="104"/>
        <v>55.18452248356536</v>
      </c>
      <c r="V916" s="33">
        <f t="shared" si="105"/>
        <v>0.85171971827946436</v>
      </c>
      <c r="W916" s="12" t="b">
        <f t="shared" si="106"/>
        <v>0</v>
      </c>
    </row>
    <row r="917" spans="1:23">
      <c r="A917" s="26">
        <v>916</v>
      </c>
      <c r="B917" s="27">
        <v>40584</v>
      </c>
      <c r="C917" s="12">
        <v>2</v>
      </c>
      <c r="D917" s="12">
        <v>16</v>
      </c>
      <c r="E917" s="12" t="b">
        <v>0</v>
      </c>
      <c r="F917" s="12">
        <v>4</v>
      </c>
      <c r="G917" s="12">
        <v>1</v>
      </c>
      <c r="H917" s="12">
        <v>0.2</v>
      </c>
      <c r="I917" s="12">
        <v>0.18179999999999999</v>
      </c>
      <c r="J917" s="12">
        <v>0.27</v>
      </c>
      <c r="K917" s="12">
        <v>0.29849999999999999</v>
      </c>
      <c r="L917" s="12">
        <v>4</v>
      </c>
      <c r="M917" s="12">
        <v>76</v>
      </c>
      <c r="N917" s="12">
        <v>80</v>
      </c>
      <c r="O917" s="12" t="str">
        <f>VLOOKUP(G917,calculate_field!$B$2:$C$5,2,FALSE)</f>
        <v>Clear/Partly Cloudy</v>
      </c>
      <c r="P917" s="12" t="str">
        <f t="shared" si="100"/>
        <v>Thursday</v>
      </c>
      <c r="Q917" s="12" t="str">
        <f t="shared" si="101"/>
        <v>Weekday</v>
      </c>
      <c r="R917" s="12" t="str">
        <f t="shared" si="102"/>
        <v>Afternoon</v>
      </c>
      <c r="S917" s="28" t="str">
        <f>INDEX(calculate_field!$F$2:$F$4, MATCH(H917, calculate_field!$E$2:$E$4, 1))</f>
        <v>Mild</v>
      </c>
      <c r="T917" s="33">
        <f t="shared" si="103"/>
        <v>84.833333333333329</v>
      </c>
      <c r="U917" s="33">
        <f t="shared" si="104"/>
        <v>61.087013254912023</v>
      </c>
      <c r="V917" s="33">
        <f t="shared" si="105"/>
        <v>2.1960343189602964</v>
      </c>
      <c r="W917" s="12" t="b">
        <f t="shared" si="106"/>
        <v>0</v>
      </c>
    </row>
    <row r="918" spans="1:23">
      <c r="A918" s="26">
        <v>917</v>
      </c>
      <c r="B918" s="27">
        <v>40584</v>
      </c>
      <c r="C918" s="12">
        <v>2</v>
      </c>
      <c r="D918" s="12">
        <v>17</v>
      </c>
      <c r="E918" s="12" t="b">
        <v>0</v>
      </c>
      <c r="F918" s="12">
        <v>4</v>
      </c>
      <c r="G918" s="12">
        <v>1</v>
      </c>
      <c r="H918" s="12">
        <v>0.18</v>
      </c>
      <c r="I918" s="12">
        <v>0.18179999999999999</v>
      </c>
      <c r="J918" s="12">
        <v>0.26</v>
      </c>
      <c r="K918" s="12">
        <v>0.19400000000000001</v>
      </c>
      <c r="L918" s="12">
        <v>6</v>
      </c>
      <c r="M918" s="12">
        <v>159</v>
      </c>
      <c r="N918" s="12">
        <v>165</v>
      </c>
      <c r="O918" s="12" t="str">
        <f>VLOOKUP(G918,calculate_field!$B$2:$C$5,2,FALSE)</f>
        <v>Clear/Partly Cloudy</v>
      </c>
      <c r="P918" s="12" t="str">
        <f t="shared" si="100"/>
        <v>Thursday</v>
      </c>
      <c r="Q918" s="12" t="str">
        <f t="shared" si="101"/>
        <v>Weekday</v>
      </c>
      <c r="R918" s="12" t="str">
        <f t="shared" si="102"/>
        <v>Evening</v>
      </c>
      <c r="S918" s="28" t="str">
        <f>INDEX(calculate_field!$F$2:$F$4, MATCH(H918, calculate_field!$E$2:$E$4, 1))</f>
        <v>Cold</v>
      </c>
      <c r="T918" s="33">
        <f t="shared" si="103"/>
        <v>88.75</v>
      </c>
      <c r="U918" s="33">
        <f t="shared" si="104"/>
        <v>63.720346897169762</v>
      </c>
      <c r="V918" s="33">
        <f t="shared" si="105"/>
        <v>1.8145722901988435</v>
      </c>
      <c r="W918" s="12" t="b">
        <f t="shared" si="106"/>
        <v>0</v>
      </c>
    </row>
    <row r="919" spans="1:23">
      <c r="A919" s="26">
        <v>918</v>
      </c>
      <c r="B919" s="27">
        <v>40584</v>
      </c>
      <c r="C919" s="12">
        <v>2</v>
      </c>
      <c r="D919" s="12">
        <v>18</v>
      </c>
      <c r="E919" s="12" t="b">
        <v>0</v>
      </c>
      <c r="F919" s="12">
        <v>4</v>
      </c>
      <c r="G919" s="12">
        <v>1</v>
      </c>
      <c r="H919" s="12">
        <v>0.16</v>
      </c>
      <c r="I919" s="12">
        <v>0.18179999999999999</v>
      </c>
      <c r="J919" s="12">
        <v>0.28000000000000003</v>
      </c>
      <c r="K919" s="12">
        <v>0.1343</v>
      </c>
      <c r="L919" s="12">
        <v>3</v>
      </c>
      <c r="M919" s="12">
        <v>157</v>
      </c>
      <c r="N919" s="12">
        <v>160</v>
      </c>
      <c r="O919" s="12" t="str">
        <f>VLOOKUP(G919,calculate_field!$B$2:$C$5,2,FALSE)</f>
        <v>Clear/Partly Cloudy</v>
      </c>
      <c r="P919" s="12" t="str">
        <f t="shared" si="100"/>
        <v>Thursday</v>
      </c>
      <c r="Q919" s="12" t="str">
        <f t="shared" si="101"/>
        <v>Weekday</v>
      </c>
      <c r="R919" s="12" t="str">
        <f t="shared" si="102"/>
        <v>Evening</v>
      </c>
      <c r="S919" s="28" t="str">
        <f>INDEX(calculate_field!$F$2:$F$4, MATCH(H919, calculate_field!$E$2:$E$4, 1))</f>
        <v>Cold</v>
      </c>
      <c r="T919" s="33">
        <f t="shared" si="103"/>
        <v>86.083333333333329</v>
      </c>
      <c r="U919" s="33">
        <f t="shared" si="104"/>
        <v>61.697661619184267</v>
      </c>
      <c r="V919" s="33">
        <f t="shared" si="105"/>
        <v>0.67315289457529337</v>
      </c>
      <c r="W919" s="12" t="b">
        <f t="shared" si="106"/>
        <v>0</v>
      </c>
    </row>
    <row r="920" spans="1:23">
      <c r="A920" s="26">
        <v>919</v>
      </c>
      <c r="B920" s="27">
        <v>40584</v>
      </c>
      <c r="C920" s="12">
        <v>2</v>
      </c>
      <c r="D920" s="12">
        <v>19</v>
      </c>
      <c r="E920" s="12" t="b">
        <v>0</v>
      </c>
      <c r="F920" s="12">
        <v>4</v>
      </c>
      <c r="G920" s="12">
        <v>1</v>
      </c>
      <c r="H920" s="12">
        <v>0.14000000000000001</v>
      </c>
      <c r="I920" s="12">
        <v>0.16669999999999999</v>
      </c>
      <c r="J920" s="12">
        <v>0.28000000000000003</v>
      </c>
      <c r="K920" s="12">
        <v>0.1045</v>
      </c>
      <c r="L920" s="12">
        <v>2</v>
      </c>
      <c r="M920" s="12">
        <v>110</v>
      </c>
      <c r="N920" s="12">
        <v>112</v>
      </c>
      <c r="O920" s="12" t="str">
        <f>VLOOKUP(G920,calculate_field!$B$2:$C$5,2,FALSE)</f>
        <v>Clear/Partly Cloudy</v>
      </c>
      <c r="P920" s="12" t="str">
        <f t="shared" si="100"/>
        <v>Thursday</v>
      </c>
      <c r="Q920" s="12" t="str">
        <f t="shared" si="101"/>
        <v>Weekday</v>
      </c>
      <c r="R920" s="12" t="str">
        <f t="shared" si="102"/>
        <v>Evening</v>
      </c>
      <c r="S920" s="28" t="str">
        <f>INDEX(calculate_field!$F$2:$F$4, MATCH(H920, calculate_field!$E$2:$E$4, 1))</f>
        <v>Cold</v>
      </c>
      <c r="T920" s="33">
        <f t="shared" si="103"/>
        <v>82.041666666666671</v>
      </c>
      <c r="U920" s="33">
        <f t="shared" si="104"/>
        <v>59.792742882805399</v>
      </c>
      <c r="V920" s="33">
        <f t="shared" si="105"/>
        <v>1.5866249301316857E-3</v>
      </c>
      <c r="W920" s="12" t="b">
        <f t="shared" si="106"/>
        <v>0</v>
      </c>
    </row>
    <row r="921" spans="1:23">
      <c r="A921" s="26">
        <v>920</v>
      </c>
      <c r="B921" s="27">
        <v>40584</v>
      </c>
      <c r="C921" s="12">
        <v>2</v>
      </c>
      <c r="D921" s="12">
        <v>20</v>
      </c>
      <c r="E921" s="12" t="b">
        <v>0</v>
      </c>
      <c r="F921" s="12">
        <v>4</v>
      </c>
      <c r="G921" s="12">
        <v>1</v>
      </c>
      <c r="H921" s="12">
        <v>0.14000000000000001</v>
      </c>
      <c r="I921" s="12">
        <v>0.18179999999999999</v>
      </c>
      <c r="J921" s="12">
        <v>0.31</v>
      </c>
      <c r="K921" s="12">
        <v>8.9599999999999999E-2</v>
      </c>
      <c r="L921" s="12">
        <v>4</v>
      </c>
      <c r="M921" s="12">
        <v>93</v>
      </c>
      <c r="N921" s="12">
        <v>97</v>
      </c>
      <c r="O921" s="12" t="str">
        <f>VLOOKUP(G921,calculate_field!$B$2:$C$5,2,FALSE)</f>
        <v>Clear/Partly Cloudy</v>
      </c>
      <c r="P921" s="12" t="str">
        <f t="shared" si="100"/>
        <v>Thursday</v>
      </c>
      <c r="Q921" s="12" t="str">
        <f t="shared" si="101"/>
        <v>Weekday</v>
      </c>
      <c r="R921" s="12" t="str">
        <f t="shared" si="102"/>
        <v>Evening</v>
      </c>
      <c r="S921" s="28" t="str">
        <f>INDEX(calculate_field!$F$2:$F$4, MATCH(H921, calculate_field!$E$2:$E$4, 1))</f>
        <v>Cold</v>
      </c>
      <c r="T921" s="33">
        <f t="shared" si="103"/>
        <v>79.333333333333329</v>
      </c>
      <c r="U921" s="33">
        <f t="shared" si="104"/>
        <v>59.848843413812226</v>
      </c>
      <c r="V921" s="33">
        <f t="shared" si="105"/>
        <v>-0.28367665443421636</v>
      </c>
      <c r="W921" s="12" t="b">
        <f t="shared" si="106"/>
        <v>0</v>
      </c>
    </row>
    <row r="922" spans="1:23">
      <c r="A922" s="26">
        <v>921</v>
      </c>
      <c r="B922" s="27">
        <v>40584</v>
      </c>
      <c r="C922" s="12">
        <v>2</v>
      </c>
      <c r="D922" s="12">
        <v>21</v>
      </c>
      <c r="E922" s="12" t="b">
        <v>0</v>
      </c>
      <c r="F922" s="12">
        <v>4</v>
      </c>
      <c r="G922" s="12">
        <v>1</v>
      </c>
      <c r="H922" s="12">
        <v>0.14000000000000001</v>
      </c>
      <c r="I922" s="12">
        <v>0.21210000000000001</v>
      </c>
      <c r="J922" s="12">
        <v>0.39</v>
      </c>
      <c r="K922" s="12">
        <v>0</v>
      </c>
      <c r="L922" s="12">
        <v>2</v>
      </c>
      <c r="M922" s="12">
        <v>70</v>
      </c>
      <c r="N922" s="12">
        <v>72</v>
      </c>
      <c r="O922" s="12" t="str">
        <f>VLOOKUP(G922,calculate_field!$B$2:$C$5,2,FALSE)</f>
        <v>Clear/Partly Cloudy</v>
      </c>
      <c r="P922" s="12" t="str">
        <f t="shared" si="100"/>
        <v>Thursday</v>
      </c>
      <c r="Q922" s="12" t="str">
        <f t="shared" si="101"/>
        <v>Weekday</v>
      </c>
      <c r="R922" s="12" t="str">
        <f t="shared" si="102"/>
        <v>Night</v>
      </c>
      <c r="S922" s="28" t="str">
        <f>INDEX(calculate_field!$F$2:$F$4, MATCH(H922, calculate_field!$E$2:$E$4, 1))</f>
        <v>Cold</v>
      </c>
      <c r="T922" s="33">
        <f t="shared" si="103"/>
        <v>77.083333333333329</v>
      </c>
      <c r="U922" s="33">
        <f t="shared" si="104"/>
        <v>60.169988667373744</v>
      </c>
      <c r="V922" s="33">
        <f t="shared" si="105"/>
        <v>-0.3629914447329281</v>
      </c>
      <c r="W922" s="12" t="b">
        <f t="shared" si="106"/>
        <v>0</v>
      </c>
    </row>
    <row r="923" spans="1:23">
      <c r="A923" s="26">
        <v>922</v>
      </c>
      <c r="B923" s="27">
        <v>40584</v>
      </c>
      <c r="C923" s="12">
        <v>2</v>
      </c>
      <c r="D923" s="12">
        <v>22</v>
      </c>
      <c r="E923" s="12" t="b">
        <v>0</v>
      </c>
      <c r="F923" s="12">
        <v>4</v>
      </c>
      <c r="G923" s="12">
        <v>1</v>
      </c>
      <c r="H923" s="12">
        <v>0.12</v>
      </c>
      <c r="I923" s="12">
        <v>0.19700000000000001</v>
      </c>
      <c r="J923" s="12">
        <v>0.39</v>
      </c>
      <c r="K923" s="12">
        <v>0</v>
      </c>
      <c r="L923" s="12">
        <v>4</v>
      </c>
      <c r="M923" s="12">
        <v>47</v>
      </c>
      <c r="N923" s="12">
        <v>51</v>
      </c>
      <c r="O923" s="12" t="str">
        <f>VLOOKUP(G923,calculate_field!$B$2:$C$5,2,FALSE)</f>
        <v>Clear/Partly Cloudy</v>
      </c>
      <c r="P923" s="12" t="str">
        <f t="shared" si="100"/>
        <v>Thursday</v>
      </c>
      <c r="Q923" s="12" t="str">
        <f t="shared" si="101"/>
        <v>Weekday</v>
      </c>
      <c r="R923" s="12" t="str">
        <f t="shared" si="102"/>
        <v>Night</v>
      </c>
      <c r="S923" s="28" t="str">
        <f>INDEX(calculate_field!$F$2:$F$4, MATCH(H923, calculate_field!$E$2:$E$4, 1))</f>
        <v>Cold</v>
      </c>
      <c r="T923" s="33">
        <f t="shared" si="103"/>
        <v>76.291666666666671</v>
      </c>
      <c r="U923" s="33">
        <f t="shared" si="104"/>
        <v>60.364457701723694</v>
      </c>
      <c r="V923" s="33">
        <f t="shared" si="105"/>
        <v>-0.17487320236848522</v>
      </c>
      <c r="W923" s="12" t="b">
        <f t="shared" si="106"/>
        <v>1</v>
      </c>
    </row>
    <row r="924" spans="1:23">
      <c r="A924" s="26">
        <v>923</v>
      </c>
      <c r="B924" s="27">
        <v>40584</v>
      </c>
      <c r="C924" s="12">
        <v>2</v>
      </c>
      <c r="D924" s="12">
        <v>23</v>
      </c>
      <c r="E924" s="12" t="b">
        <v>0</v>
      </c>
      <c r="F924" s="12">
        <v>4</v>
      </c>
      <c r="G924" s="12">
        <v>1</v>
      </c>
      <c r="H924" s="12">
        <v>0.12</v>
      </c>
      <c r="I924" s="12">
        <v>0.1515</v>
      </c>
      <c r="J924" s="12">
        <v>0.42</v>
      </c>
      <c r="K924" s="12">
        <v>0.1045</v>
      </c>
      <c r="L924" s="12">
        <v>1</v>
      </c>
      <c r="M924" s="12">
        <v>33</v>
      </c>
      <c r="N924" s="12">
        <v>34</v>
      </c>
      <c r="O924" s="12" t="str">
        <f>VLOOKUP(G924,calculate_field!$B$2:$C$5,2,FALSE)</f>
        <v>Clear/Partly Cloudy</v>
      </c>
      <c r="P924" s="12" t="str">
        <f t="shared" si="100"/>
        <v>Thursday</v>
      </c>
      <c r="Q924" s="12" t="str">
        <f t="shared" si="101"/>
        <v>Weekday</v>
      </c>
      <c r="R924" s="12" t="str">
        <f t="shared" si="102"/>
        <v>Night</v>
      </c>
      <c r="S924" s="28" t="str">
        <f>INDEX(calculate_field!$F$2:$F$4, MATCH(H924, calculate_field!$E$2:$E$4, 1))</f>
        <v>Cold</v>
      </c>
      <c r="T924" s="33">
        <f t="shared" si="103"/>
        <v>75.416666666666671</v>
      </c>
      <c r="U924" s="33">
        <f t="shared" si="104"/>
        <v>60.896859822423394</v>
      </c>
      <c r="V924" s="33">
        <f t="shared" si="105"/>
        <v>-0.59130328080645145</v>
      </c>
      <c r="W924" s="12" t="b">
        <f t="shared" si="106"/>
        <v>0</v>
      </c>
    </row>
    <row r="925" spans="1:23">
      <c r="A925" s="26">
        <v>924</v>
      </c>
      <c r="B925" s="27">
        <v>40585</v>
      </c>
      <c r="C925" s="12">
        <v>2</v>
      </c>
      <c r="D925" s="12">
        <v>0</v>
      </c>
      <c r="E925" s="12" t="b">
        <v>0</v>
      </c>
      <c r="F925" s="12">
        <v>5</v>
      </c>
      <c r="G925" s="12">
        <v>1</v>
      </c>
      <c r="H925" s="12">
        <v>0.1</v>
      </c>
      <c r="I925" s="12">
        <v>0.13639999999999999</v>
      </c>
      <c r="J925" s="12">
        <v>0.49</v>
      </c>
      <c r="K925" s="12">
        <v>0.1045</v>
      </c>
      <c r="L925" s="12">
        <v>2</v>
      </c>
      <c r="M925" s="12">
        <v>12</v>
      </c>
      <c r="N925" s="12">
        <v>14</v>
      </c>
      <c r="O925" s="12" t="str">
        <f>VLOOKUP(G925,calculate_field!$B$2:$C$5,2,FALSE)</f>
        <v>Clear/Partly Cloudy</v>
      </c>
      <c r="P925" s="12" t="str">
        <f t="shared" si="100"/>
        <v>Friday</v>
      </c>
      <c r="Q925" s="12" t="str">
        <f t="shared" si="101"/>
        <v>Weekday</v>
      </c>
      <c r="R925" s="12" t="str">
        <f t="shared" si="102"/>
        <v>Night</v>
      </c>
      <c r="S925" s="28" t="str">
        <f>INDEX(calculate_field!$F$2:$F$4, MATCH(H925, calculate_field!$E$2:$E$4, 1))</f>
        <v>Cold</v>
      </c>
      <c r="T925" s="33">
        <f t="shared" si="103"/>
        <v>75</v>
      </c>
      <c r="U925" s="33">
        <f t="shared" si="104"/>
        <v>61.225882563276897</v>
      </c>
      <c r="V925" s="33">
        <f t="shared" si="105"/>
        <v>-0.71430311663724588</v>
      </c>
      <c r="W925" s="12" t="b">
        <f t="shared" si="106"/>
        <v>0</v>
      </c>
    </row>
    <row r="926" spans="1:23">
      <c r="A926" s="26">
        <v>925</v>
      </c>
      <c r="B926" s="27">
        <v>40585</v>
      </c>
      <c r="C926" s="12">
        <v>2</v>
      </c>
      <c r="D926" s="12">
        <v>1</v>
      </c>
      <c r="E926" s="12" t="b">
        <v>0</v>
      </c>
      <c r="F926" s="12">
        <v>5</v>
      </c>
      <c r="G926" s="12">
        <v>1</v>
      </c>
      <c r="H926" s="12">
        <v>0.1</v>
      </c>
      <c r="I926" s="12">
        <v>0.13639999999999999</v>
      </c>
      <c r="J926" s="12">
        <v>0.54</v>
      </c>
      <c r="K926" s="12">
        <v>8.9599999999999999E-2</v>
      </c>
      <c r="L926" s="12">
        <v>1</v>
      </c>
      <c r="M926" s="12">
        <v>6</v>
      </c>
      <c r="N926" s="12">
        <v>7</v>
      </c>
      <c r="O926" s="12" t="str">
        <f>VLOOKUP(G926,calculate_field!$B$2:$C$5,2,FALSE)</f>
        <v>Clear/Partly Cloudy</v>
      </c>
      <c r="P926" s="12" t="str">
        <f t="shared" si="100"/>
        <v>Friday</v>
      </c>
      <c r="Q926" s="12" t="str">
        <f t="shared" si="101"/>
        <v>Weekday</v>
      </c>
      <c r="R926" s="12" t="str">
        <f t="shared" si="102"/>
        <v>Night</v>
      </c>
      <c r="S926" s="28" t="str">
        <f>INDEX(calculate_field!$F$2:$F$4, MATCH(H926, calculate_field!$E$2:$E$4, 1))</f>
        <v>Cold</v>
      </c>
      <c r="T926" s="33">
        <f t="shared" si="103"/>
        <v>75.041666666666671</v>
      </c>
      <c r="U926" s="33">
        <f t="shared" si="104"/>
        <v>61.182889883469493</v>
      </c>
      <c r="V926" s="33">
        <f t="shared" si="105"/>
        <v>-0.88478872237608031</v>
      </c>
      <c r="W926" s="12" t="b">
        <f t="shared" si="106"/>
        <v>0</v>
      </c>
    </row>
    <row r="927" spans="1:23">
      <c r="A927" s="26">
        <v>926</v>
      </c>
      <c r="B927" s="27">
        <v>40585</v>
      </c>
      <c r="C927" s="12">
        <v>2</v>
      </c>
      <c r="D927" s="12">
        <v>2</v>
      </c>
      <c r="E927" s="12" t="b">
        <v>0</v>
      </c>
      <c r="F927" s="12">
        <v>5</v>
      </c>
      <c r="G927" s="12">
        <v>1</v>
      </c>
      <c r="H927" s="12">
        <v>0.1</v>
      </c>
      <c r="I927" s="12">
        <v>0.13639999999999999</v>
      </c>
      <c r="J927" s="12">
        <v>0.54</v>
      </c>
      <c r="K927" s="12">
        <v>8.9599999999999999E-2</v>
      </c>
      <c r="L927" s="12">
        <v>0</v>
      </c>
      <c r="M927" s="12">
        <v>3</v>
      </c>
      <c r="N927" s="12">
        <v>3</v>
      </c>
      <c r="O927" s="12" t="str">
        <f>VLOOKUP(G927,calculate_field!$B$2:$C$5,2,FALSE)</f>
        <v>Clear/Partly Cloudy</v>
      </c>
      <c r="P927" s="12" t="str">
        <f t="shared" si="100"/>
        <v>Friday</v>
      </c>
      <c r="Q927" s="12" t="str">
        <f t="shared" si="101"/>
        <v>Weekday</v>
      </c>
      <c r="R927" s="12" t="str">
        <f t="shared" si="102"/>
        <v>Night</v>
      </c>
      <c r="S927" s="28" t="str">
        <f>INDEX(calculate_field!$F$2:$F$4, MATCH(H927, calculate_field!$E$2:$E$4, 1))</f>
        <v>Cold</v>
      </c>
      <c r="T927" s="33">
        <f t="shared" si="103"/>
        <v>75.166666666666671</v>
      </c>
      <c r="U927" s="33">
        <f t="shared" si="104"/>
        <v>61.040732421005188</v>
      </c>
      <c r="V927" s="33">
        <f t="shared" si="105"/>
        <v>-0.98686656941482831</v>
      </c>
      <c r="W927" s="12" t="b">
        <f t="shared" si="106"/>
        <v>0</v>
      </c>
    </row>
    <row r="928" spans="1:23">
      <c r="A928" s="26">
        <v>927</v>
      </c>
      <c r="B928" s="27">
        <v>40585</v>
      </c>
      <c r="C928" s="12">
        <v>2</v>
      </c>
      <c r="D928" s="12">
        <v>5</v>
      </c>
      <c r="E928" s="12" t="b">
        <v>0</v>
      </c>
      <c r="F928" s="12">
        <v>5</v>
      </c>
      <c r="G928" s="12">
        <v>1</v>
      </c>
      <c r="H928" s="12">
        <v>0.08</v>
      </c>
      <c r="I928" s="12">
        <v>0.1212</v>
      </c>
      <c r="J928" s="12">
        <v>0.63</v>
      </c>
      <c r="K928" s="12">
        <v>8.9599999999999999E-2</v>
      </c>
      <c r="L928" s="12">
        <v>0</v>
      </c>
      <c r="M928" s="12">
        <v>4</v>
      </c>
      <c r="N928" s="12">
        <v>4</v>
      </c>
      <c r="O928" s="12" t="str">
        <f>VLOOKUP(G928,calculate_field!$B$2:$C$5,2,FALSE)</f>
        <v>Clear/Partly Cloudy</v>
      </c>
      <c r="P928" s="12" t="str">
        <f t="shared" si="100"/>
        <v>Friday</v>
      </c>
      <c r="Q928" s="12" t="str">
        <f t="shared" si="101"/>
        <v>Weekday</v>
      </c>
      <c r="R928" s="12" t="str">
        <f t="shared" si="102"/>
        <v>Night</v>
      </c>
      <c r="S928" s="28" t="str">
        <f>INDEX(calculate_field!$F$2:$F$4, MATCH(H928, calculate_field!$E$2:$E$4, 1))</f>
        <v>Cold</v>
      </c>
      <c r="T928" s="33">
        <f t="shared" si="103"/>
        <v>75.208333333333329</v>
      </c>
      <c r="U928" s="33">
        <f t="shared" si="104"/>
        <v>60.989649276254902</v>
      </c>
      <c r="V928" s="33">
        <f t="shared" si="105"/>
        <v>-1.1042720967552258</v>
      </c>
      <c r="W928" s="12" t="b">
        <f t="shared" si="106"/>
        <v>0</v>
      </c>
    </row>
    <row r="929" spans="1:23">
      <c r="A929" s="26">
        <v>928</v>
      </c>
      <c r="B929" s="27">
        <v>40585</v>
      </c>
      <c r="C929" s="12">
        <v>2</v>
      </c>
      <c r="D929" s="12">
        <v>6</v>
      </c>
      <c r="E929" s="12" t="b">
        <v>0</v>
      </c>
      <c r="F929" s="12">
        <v>5</v>
      </c>
      <c r="G929" s="12">
        <v>1</v>
      </c>
      <c r="H929" s="12">
        <v>0.1</v>
      </c>
      <c r="I929" s="12">
        <v>0.18179999999999999</v>
      </c>
      <c r="J929" s="12">
        <v>0.68</v>
      </c>
      <c r="K929" s="12">
        <v>0</v>
      </c>
      <c r="L929" s="12">
        <v>1</v>
      </c>
      <c r="M929" s="12">
        <v>23</v>
      </c>
      <c r="N929" s="12">
        <v>24</v>
      </c>
      <c r="O929" s="12" t="str">
        <f>VLOOKUP(G929,calculate_field!$B$2:$C$5,2,FALSE)</f>
        <v>Clear/Partly Cloudy</v>
      </c>
      <c r="P929" s="12" t="str">
        <f t="shared" si="100"/>
        <v>Friday</v>
      </c>
      <c r="Q929" s="12" t="str">
        <f t="shared" si="101"/>
        <v>Weekday</v>
      </c>
      <c r="R929" s="12" t="str">
        <f t="shared" si="102"/>
        <v>Morning</v>
      </c>
      <c r="S929" s="28" t="str">
        <f>INDEX(calculate_field!$F$2:$F$4, MATCH(H929, calculate_field!$E$2:$E$4, 1))</f>
        <v>Cold</v>
      </c>
      <c r="T929" s="33">
        <f t="shared" si="103"/>
        <v>75.083333333333329</v>
      </c>
      <c r="U929" s="33">
        <f t="shared" si="104"/>
        <v>61.144815036085454</v>
      </c>
      <c r="V929" s="33">
        <f t="shared" si="105"/>
        <v>-1.1576536114378249</v>
      </c>
      <c r="W929" s="12" t="b">
        <f t="shared" si="106"/>
        <v>0</v>
      </c>
    </row>
    <row r="930" spans="1:23">
      <c r="A930" s="26">
        <v>929</v>
      </c>
      <c r="B930" s="27">
        <v>40585</v>
      </c>
      <c r="C930" s="12">
        <v>2</v>
      </c>
      <c r="D930" s="12">
        <v>7</v>
      </c>
      <c r="E930" s="12" t="b">
        <v>0</v>
      </c>
      <c r="F930" s="12">
        <v>5</v>
      </c>
      <c r="G930" s="12">
        <v>1</v>
      </c>
      <c r="H930" s="12">
        <v>0.08</v>
      </c>
      <c r="I930" s="12">
        <v>0.16669999999999999</v>
      </c>
      <c r="J930" s="12">
        <v>0.73</v>
      </c>
      <c r="K930" s="12">
        <v>0</v>
      </c>
      <c r="L930" s="12">
        <v>1</v>
      </c>
      <c r="M930" s="12">
        <v>73</v>
      </c>
      <c r="N930" s="12">
        <v>74</v>
      </c>
      <c r="O930" s="12" t="str">
        <f>VLOOKUP(G930,calculate_field!$B$2:$C$5,2,FALSE)</f>
        <v>Clear/Partly Cloudy</v>
      </c>
      <c r="P930" s="12" t="str">
        <f t="shared" si="100"/>
        <v>Friday</v>
      </c>
      <c r="Q930" s="12" t="str">
        <f t="shared" si="101"/>
        <v>Weekday</v>
      </c>
      <c r="R930" s="12" t="str">
        <f t="shared" si="102"/>
        <v>Morning</v>
      </c>
      <c r="S930" s="28" t="str">
        <f>INDEX(calculate_field!$F$2:$F$4, MATCH(H930, calculate_field!$E$2:$E$4, 1))</f>
        <v>Cold</v>
      </c>
      <c r="T930" s="33">
        <f t="shared" si="103"/>
        <v>74.166666666666671</v>
      </c>
      <c r="U930" s="33">
        <f t="shared" si="104"/>
        <v>62.101366411254816</v>
      </c>
      <c r="V930" s="33">
        <f t="shared" si="105"/>
        <v>-1.1460719230953822</v>
      </c>
      <c r="W930" s="12" t="b">
        <f t="shared" si="106"/>
        <v>0</v>
      </c>
    </row>
    <row r="931" spans="1:23">
      <c r="A931" s="26">
        <v>930</v>
      </c>
      <c r="B931" s="27">
        <v>40585</v>
      </c>
      <c r="C931" s="12">
        <v>2</v>
      </c>
      <c r="D931" s="12">
        <v>8</v>
      </c>
      <c r="E931" s="12" t="b">
        <v>0</v>
      </c>
      <c r="F931" s="12">
        <v>5</v>
      </c>
      <c r="G931" s="12">
        <v>1</v>
      </c>
      <c r="H931" s="12">
        <v>0.1</v>
      </c>
      <c r="I931" s="12">
        <v>0.1212</v>
      </c>
      <c r="J931" s="12">
        <v>0.74</v>
      </c>
      <c r="K931" s="12">
        <v>0.16420000000000001</v>
      </c>
      <c r="L931" s="12">
        <v>4</v>
      </c>
      <c r="M931" s="12">
        <v>212</v>
      </c>
      <c r="N931" s="12">
        <v>216</v>
      </c>
      <c r="O931" s="12" t="str">
        <f>VLOOKUP(G931,calculate_field!$B$2:$C$5,2,FALSE)</f>
        <v>Clear/Partly Cloudy</v>
      </c>
      <c r="P931" s="12" t="str">
        <f t="shared" si="100"/>
        <v>Friday</v>
      </c>
      <c r="Q931" s="12" t="str">
        <f t="shared" si="101"/>
        <v>Weekday</v>
      </c>
      <c r="R931" s="12" t="str">
        <f t="shared" si="102"/>
        <v>Morning</v>
      </c>
      <c r="S931" s="28" t="str">
        <f>INDEX(calculate_field!$F$2:$F$4, MATCH(H931, calculate_field!$E$2:$E$4, 1))</f>
        <v>Cold</v>
      </c>
      <c r="T931" s="33">
        <f t="shared" si="103"/>
        <v>71.541666666666671</v>
      </c>
      <c r="U931" s="33">
        <f t="shared" si="104"/>
        <v>63.426081020532777</v>
      </c>
      <c r="V931" s="33">
        <f t="shared" si="105"/>
        <v>-0.97611515875881549</v>
      </c>
      <c r="W931" s="12" t="b">
        <f t="shared" si="106"/>
        <v>0</v>
      </c>
    </row>
    <row r="932" spans="1:23">
      <c r="A932" s="26">
        <v>931</v>
      </c>
      <c r="B932" s="27">
        <v>40585</v>
      </c>
      <c r="C932" s="12">
        <v>2</v>
      </c>
      <c r="D932" s="12">
        <v>9</v>
      </c>
      <c r="E932" s="12" t="b">
        <v>0</v>
      </c>
      <c r="F932" s="12">
        <v>5</v>
      </c>
      <c r="G932" s="12">
        <v>1</v>
      </c>
      <c r="H932" s="12">
        <v>0.12</v>
      </c>
      <c r="I932" s="12">
        <v>0.1212</v>
      </c>
      <c r="J932" s="12">
        <v>0.74</v>
      </c>
      <c r="K932" s="12">
        <v>0.22389999999999999</v>
      </c>
      <c r="L932" s="12">
        <v>8</v>
      </c>
      <c r="M932" s="12">
        <v>132</v>
      </c>
      <c r="N932" s="12">
        <v>140</v>
      </c>
      <c r="O932" s="12" t="str">
        <f>VLOOKUP(G932,calculate_field!$B$2:$C$5,2,FALSE)</f>
        <v>Clear/Partly Cloudy</v>
      </c>
      <c r="P932" s="12" t="str">
        <f t="shared" si="100"/>
        <v>Friday</v>
      </c>
      <c r="Q932" s="12" t="str">
        <f t="shared" si="101"/>
        <v>Weekday</v>
      </c>
      <c r="R932" s="12" t="str">
        <f t="shared" si="102"/>
        <v>Morning</v>
      </c>
      <c r="S932" s="28" t="str">
        <f>INDEX(calculate_field!$F$2:$F$4, MATCH(H932, calculate_field!$E$2:$E$4, 1))</f>
        <v>Cold</v>
      </c>
      <c r="T932" s="33">
        <f t="shared" si="103"/>
        <v>63.791666666666664</v>
      </c>
      <c r="U932" s="33">
        <f t="shared" si="104"/>
        <v>55.92773222547163</v>
      </c>
      <c r="V932" s="33">
        <f t="shared" si="105"/>
        <v>-0.61464263449399748</v>
      </c>
      <c r="W932" s="12" t="b">
        <f t="shared" si="106"/>
        <v>0</v>
      </c>
    </row>
    <row r="933" spans="1:23">
      <c r="A933" s="26">
        <v>932</v>
      </c>
      <c r="B933" s="27">
        <v>40585</v>
      </c>
      <c r="C933" s="12">
        <v>2</v>
      </c>
      <c r="D933" s="12">
        <v>10</v>
      </c>
      <c r="E933" s="12" t="b">
        <v>0</v>
      </c>
      <c r="F933" s="12">
        <v>5</v>
      </c>
      <c r="G933" s="12">
        <v>1</v>
      </c>
      <c r="H933" s="12">
        <v>0.14000000000000001</v>
      </c>
      <c r="I933" s="12">
        <v>0.13639999999999999</v>
      </c>
      <c r="J933" s="12">
        <v>0.69</v>
      </c>
      <c r="K933" s="12">
        <v>0.19400000000000001</v>
      </c>
      <c r="L933" s="12">
        <v>5</v>
      </c>
      <c r="M933" s="12">
        <v>39</v>
      </c>
      <c r="N933" s="12">
        <v>44</v>
      </c>
      <c r="O933" s="12" t="str">
        <f>VLOOKUP(G933,calculate_field!$B$2:$C$5,2,FALSE)</f>
        <v>Clear/Partly Cloudy</v>
      </c>
      <c r="P933" s="12" t="str">
        <f t="shared" si="100"/>
        <v>Friday</v>
      </c>
      <c r="Q933" s="12" t="str">
        <f t="shared" si="101"/>
        <v>Weekday</v>
      </c>
      <c r="R933" s="12" t="str">
        <f t="shared" si="102"/>
        <v>Morning</v>
      </c>
      <c r="S933" s="28" t="str">
        <f>INDEX(calculate_field!$F$2:$F$4, MATCH(H933, calculate_field!$E$2:$E$4, 1))</f>
        <v>Cold</v>
      </c>
      <c r="T933" s="33">
        <f t="shared" si="103"/>
        <v>59.75</v>
      </c>
      <c r="U933" s="33">
        <f t="shared" si="104"/>
        <v>53.639091844596358</v>
      </c>
      <c r="V933" s="33">
        <f t="shared" si="105"/>
        <v>-0.38225879206499652</v>
      </c>
      <c r="W933" s="12" t="b">
        <f t="shared" si="106"/>
        <v>0</v>
      </c>
    </row>
    <row r="934" spans="1:23">
      <c r="A934" s="26">
        <v>933</v>
      </c>
      <c r="B934" s="27">
        <v>40585</v>
      </c>
      <c r="C934" s="12">
        <v>2</v>
      </c>
      <c r="D934" s="12">
        <v>11</v>
      </c>
      <c r="E934" s="12" t="b">
        <v>0</v>
      </c>
      <c r="F934" s="12">
        <v>5</v>
      </c>
      <c r="G934" s="12">
        <v>1</v>
      </c>
      <c r="H934" s="12">
        <v>0.22</v>
      </c>
      <c r="I934" s="12">
        <v>0.2273</v>
      </c>
      <c r="J934" s="12">
        <v>0.47</v>
      </c>
      <c r="K934" s="12">
        <v>0.1343</v>
      </c>
      <c r="L934" s="12">
        <v>12</v>
      </c>
      <c r="M934" s="12">
        <v>52</v>
      </c>
      <c r="N934" s="12">
        <v>64</v>
      </c>
      <c r="O934" s="12" t="str">
        <f>VLOOKUP(G934,calculate_field!$B$2:$C$5,2,FALSE)</f>
        <v>Clear/Partly Cloudy</v>
      </c>
      <c r="P934" s="12" t="str">
        <f t="shared" si="100"/>
        <v>Friday</v>
      </c>
      <c r="Q934" s="12" t="str">
        <f t="shared" si="101"/>
        <v>Weekday</v>
      </c>
      <c r="R934" s="12" t="str">
        <f t="shared" si="102"/>
        <v>Morning</v>
      </c>
      <c r="S934" s="28" t="str">
        <f>INDEX(calculate_field!$F$2:$F$4, MATCH(H934, calculate_field!$E$2:$E$4, 1))</f>
        <v>Mild</v>
      </c>
      <c r="T934" s="33">
        <f t="shared" si="103"/>
        <v>61.416666666666664</v>
      </c>
      <c r="U934" s="33">
        <f t="shared" si="104"/>
        <v>53.749755644877659</v>
      </c>
      <c r="V934" s="33">
        <f t="shared" si="105"/>
        <v>0.35316845188309121</v>
      </c>
      <c r="W934" s="12" t="b">
        <f t="shared" si="106"/>
        <v>0</v>
      </c>
    </row>
    <row r="935" spans="1:23">
      <c r="A935" s="26">
        <v>934</v>
      </c>
      <c r="B935" s="27">
        <v>40585</v>
      </c>
      <c r="C935" s="12">
        <v>2</v>
      </c>
      <c r="D935" s="12">
        <v>12</v>
      </c>
      <c r="E935" s="12" t="b">
        <v>0</v>
      </c>
      <c r="F935" s="12">
        <v>5</v>
      </c>
      <c r="G935" s="12">
        <v>1</v>
      </c>
      <c r="H935" s="12">
        <v>0.22</v>
      </c>
      <c r="I935" s="12">
        <v>0.2273</v>
      </c>
      <c r="J935" s="12">
        <v>0.47</v>
      </c>
      <c r="K935" s="12">
        <v>0.1343</v>
      </c>
      <c r="L935" s="12">
        <v>7</v>
      </c>
      <c r="M935" s="12">
        <v>64</v>
      </c>
      <c r="N935" s="12">
        <v>71</v>
      </c>
      <c r="O935" s="12" t="str">
        <f>VLOOKUP(G935,calculate_field!$B$2:$C$5,2,FALSE)</f>
        <v>Clear/Partly Cloudy</v>
      </c>
      <c r="P935" s="12" t="str">
        <f t="shared" si="100"/>
        <v>Friday</v>
      </c>
      <c r="Q935" s="12" t="str">
        <f t="shared" si="101"/>
        <v>Weekday</v>
      </c>
      <c r="R935" s="12" t="str">
        <f t="shared" si="102"/>
        <v>Afternoon</v>
      </c>
      <c r="S935" s="28" t="str">
        <f>INDEX(calculate_field!$F$2:$F$4, MATCH(H935, calculate_field!$E$2:$E$4, 1))</f>
        <v>Mild</v>
      </c>
      <c r="T935" s="33">
        <f t="shared" si="103"/>
        <v>63.5</v>
      </c>
      <c r="U935" s="33">
        <f t="shared" si="104"/>
        <v>54.812724641352169</v>
      </c>
      <c r="V935" s="33">
        <f t="shared" si="105"/>
        <v>0.88989183913233227</v>
      </c>
      <c r="W935" s="12" t="b">
        <f t="shared" si="106"/>
        <v>0</v>
      </c>
    </row>
    <row r="936" spans="1:23">
      <c r="A936" s="26">
        <v>935</v>
      </c>
      <c r="B936" s="27">
        <v>40585</v>
      </c>
      <c r="C936" s="12">
        <v>2</v>
      </c>
      <c r="D936" s="12">
        <v>13</v>
      </c>
      <c r="E936" s="12" t="b">
        <v>0</v>
      </c>
      <c r="F936" s="12">
        <v>5</v>
      </c>
      <c r="G936" s="12">
        <v>1</v>
      </c>
      <c r="H936" s="12">
        <v>0.24</v>
      </c>
      <c r="I936" s="12">
        <v>0.2273</v>
      </c>
      <c r="J936" s="12">
        <v>0.35</v>
      </c>
      <c r="K936" s="12">
        <v>0.19400000000000001</v>
      </c>
      <c r="L936" s="12">
        <v>21</v>
      </c>
      <c r="M936" s="12">
        <v>89</v>
      </c>
      <c r="N936" s="12">
        <v>110</v>
      </c>
      <c r="O936" s="12" t="str">
        <f>VLOOKUP(G936,calculate_field!$B$2:$C$5,2,FALSE)</f>
        <v>Clear/Partly Cloudy</v>
      </c>
      <c r="P936" s="12" t="str">
        <f t="shared" si="100"/>
        <v>Friday</v>
      </c>
      <c r="Q936" s="12" t="str">
        <f t="shared" si="101"/>
        <v>Weekday</v>
      </c>
      <c r="R936" s="12" t="str">
        <f t="shared" si="102"/>
        <v>Afternoon</v>
      </c>
      <c r="S936" s="28" t="str">
        <f>INDEX(calculate_field!$F$2:$F$4, MATCH(H936, calculate_field!$E$2:$E$4, 1))</f>
        <v>Mild</v>
      </c>
      <c r="T936" s="33">
        <f t="shared" si="103"/>
        <v>65.541666666666671</v>
      </c>
      <c r="U936" s="33">
        <f t="shared" si="104"/>
        <v>56.003865679205504</v>
      </c>
      <c r="V936" s="33">
        <f t="shared" si="105"/>
        <v>0.93766605817995241</v>
      </c>
      <c r="W936" s="12" t="b">
        <f t="shared" si="106"/>
        <v>0</v>
      </c>
    </row>
    <row r="937" spans="1:23">
      <c r="A937" s="26">
        <v>936</v>
      </c>
      <c r="B937" s="27">
        <v>40585</v>
      </c>
      <c r="C937" s="12">
        <v>2</v>
      </c>
      <c r="D937" s="12">
        <v>14</v>
      </c>
      <c r="E937" s="12" t="b">
        <v>0</v>
      </c>
      <c r="F937" s="12">
        <v>5</v>
      </c>
      <c r="G937" s="12">
        <v>1</v>
      </c>
      <c r="H937" s="12">
        <v>0.3</v>
      </c>
      <c r="I937" s="12">
        <v>0.28789999999999999</v>
      </c>
      <c r="J937" s="12">
        <v>0.26</v>
      </c>
      <c r="K937" s="12">
        <v>0.25369999999999998</v>
      </c>
      <c r="L937" s="12">
        <v>17</v>
      </c>
      <c r="M937" s="12">
        <v>67</v>
      </c>
      <c r="N937" s="12">
        <v>84</v>
      </c>
      <c r="O937" s="12" t="str">
        <f>VLOOKUP(G937,calculate_field!$B$2:$C$5,2,FALSE)</f>
        <v>Clear/Partly Cloudy</v>
      </c>
      <c r="P937" s="12" t="str">
        <f t="shared" si="100"/>
        <v>Friday</v>
      </c>
      <c r="Q937" s="12" t="str">
        <f t="shared" si="101"/>
        <v>Weekday</v>
      </c>
      <c r="R937" s="12" t="str">
        <f t="shared" si="102"/>
        <v>Afternoon</v>
      </c>
      <c r="S937" s="28" t="str">
        <f>INDEX(calculate_field!$F$2:$F$4, MATCH(H937, calculate_field!$E$2:$E$4, 1))</f>
        <v>Warm</v>
      </c>
      <c r="T937" s="33">
        <f t="shared" si="103"/>
        <v>66.583333333333329</v>
      </c>
      <c r="U937" s="33">
        <f t="shared" si="104"/>
        <v>57.088730835479232</v>
      </c>
      <c r="V937" s="33">
        <f t="shared" si="105"/>
        <v>1.1463728965897257</v>
      </c>
      <c r="W937" s="12" t="b">
        <f t="shared" si="106"/>
        <v>0</v>
      </c>
    </row>
    <row r="938" spans="1:23">
      <c r="A938" s="26">
        <v>937</v>
      </c>
      <c r="B938" s="27">
        <v>40585</v>
      </c>
      <c r="C938" s="12">
        <v>2</v>
      </c>
      <c r="D938" s="12">
        <v>15</v>
      </c>
      <c r="E938" s="12" t="b">
        <v>0</v>
      </c>
      <c r="F938" s="12">
        <v>5</v>
      </c>
      <c r="G938" s="12">
        <v>1</v>
      </c>
      <c r="H938" s="12">
        <v>0.32</v>
      </c>
      <c r="I938" s="12">
        <v>0.31819999999999998</v>
      </c>
      <c r="J938" s="12">
        <v>0.21</v>
      </c>
      <c r="K938" s="12">
        <v>0.16420000000000001</v>
      </c>
      <c r="L938" s="12">
        <v>12</v>
      </c>
      <c r="M938" s="12">
        <v>62</v>
      </c>
      <c r="N938" s="12">
        <v>74</v>
      </c>
      <c r="O938" s="12" t="str">
        <f>VLOOKUP(G938,calculate_field!$B$2:$C$5,2,FALSE)</f>
        <v>Clear/Partly Cloudy</v>
      </c>
      <c r="P938" s="12" t="str">
        <f t="shared" si="100"/>
        <v>Friday</v>
      </c>
      <c r="Q938" s="12" t="str">
        <f t="shared" si="101"/>
        <v>Weekday</v>
      </c>
      <c r="R938" s="12" t="str">
        <f t="shared" si="102"/>
        <v>Afternoon</v>
      </c>
      <c r="S938" s="28" t="str">
        <f>INDEX(calculate_field!$F$2:$F$4, MATCH(H938, calculate_field!$E$2:$E$4, 1))</f>
        <v>Warm</v>
      </c>
      <c r="T938" s="33">
        <f t="shared" si="103"/>
        <v>68.083333333333329</v>
      </c>
      <c r="U938" s="33">
        <f t="shared" si="104"/>
        <v>58.031413282258015</v>
      </c>
      <c r="V938" s="33">
        <f t="shared" si="105"/>
        <v>0.84186983533663917</v>
      </c>
      <c r="W938" s="12" t="b">
        <f t="shared" si="106"/>
        <v>0</v>
      </c>
    </row>
    <row r="939" spans="1:23">
      <c r="A939" s="26">
        <v>938</v>
      </c>
      <c r="B939" s="27">
        <v>40585</v>
      </c>
      <c r="C939" s="12">
        <v>2</v>
      </c>
      <c r="D939" s="12">
        <v>16</v>
      </c>
      <c r="E939" s="12" t="b">
        <v>0</v>
      </c>
      <c r="F939" s="12">
        <v>5</v>
      </c>
      <c r="G939" s="12">
        <v>1</v>
      </c>
      <c r="H939" s="12">
        <v>0.3</v>
      </c>
      <c r="I939" s="12">
        <v>0.28789999999999999</v>
      </c>
      <c r="J939" s="12">
        <v>0.28000000000000003</v>
      </c>
      <c r="K939" s="12">
        <v>0.19400000000000001</v>
      </c>
      <c r="L939" s="12">
        <v>14</v>
      </c>
      <c r="M939" s="12">
        <v>111</v>
      </c>
      <c r="N939" s="12">
        <v>125</v>
      </c>
      <c r="O939" s="12" t="str">
        <f>VLOOKUP(G939,calculate_field!$B$2:$C$5,2,FALSE)</f>
        <v>Clear/Partly Cloudy</v>
      </c>
      <c r="P939" s="12" t="str">
        <f t="shared" si="100"/>
        <v>Friday</v>
      </c>
      <c r="Q939" s="12" t="str">
        <f t="shared" si="101"/>
        <v>Weekday</v>
      </c>
      <c r="R939" s="12" t="str">
        <f t="shared" si="102"/>
        <v>Afternoon</v>
      </c>
      <c r="S939" s="28" t="str">
        <f>INDEX(calculate_field!$F$2:$F$4, MATCH(H939, calculate_field!$E$2:$E$4, 1))</f>
        <v>Warm</v>
      </c>
      <c r="T939" s="33">
        <f t="shared" si="103"/>
        <v>72.25</v>
      </c>
      <c r="U939" s="33">
        <f t="shared" si="104"/>
        <v>61.933519757601516</v>
      </c>
      <c r="V939" s="33">
        <f t="shared" si="105"/>
        <v>1.6734895946807398</v>
      </c>
      <c r="W939" s="12" t="b">
        <f t="shared" si="106"/>
        <v>0</v>
      </c>
    </row>
    <row r="940" spans="1:23">
      <c r="A940" s="26">
        <v>939</v>
      </c>
      <c r="B940" s="27">
        <v>40585</v>
      </c>
      <c r="C940" s="12">
        <v>2</v>
      </c>
      <c r="D940" s="12">
        <v>17</v>
      </c>
      <c r="E940" s="12" t="b">
        <v>0</v>
      </c>
      <c r="F940" s="12">
        <v>5</v>
      </c>
      <c r="G940" s="12">
        <v>1</v>
      </c>
      <c r="H940" s="12">
        <v>0.3</v>
      </c>
      <c r="I940" s="12">
        <v>0.33329999999999999</v>
      </c>
      <c r="J940" s="12">
        <v>0.24</v>
      </c>
      <c r="K940" s="12">
        <v>0</v>
      </c>
      <c r="L940" s="12">
        <v>18</v>
      </c>
      <c r="M940" s="12">
        <v>193</v>
      </c>
      <c r="N940" s="12">
        <v>211</v>
      </c>
      <c r="O940" s="12" t="str">
        <f>VLOOKUP(G940,calculate_field!$B$2:$C$5,2,FALSE)</f>
        <v>Clear/Partly Cloudy</v>
      </c>
      <c r="P940" s="12" t="str">
        <f t="shared" si="100"/>
        <v>Friday</v>
      </c>
      <c r="Q940" s="12" t="str">
        <f t="shared" si="101"/>
        <v>Weekday</v>
      </c>
      <c r="R940" s="12" t="str">
        <f t="shared" si="102"/>
        <v>Evening</v>
      </c>
      <c r="S940" s="28" t="str">
        <f>INDEX(calculate_field!$F$2:$F$4, MATCH(H940, calculate_field!$E$2:$E$4, 1))</f>
        <v>Warm</v>
      </c>
      <c r="T940" s="33">
        <f t="shared" si="103"/>
        <v>73.083333333333329</v>
      </c>
      <c r="U940" s="33">
        <f t="shared" si="104"/>
        <v>62.802600795402306</v>
      </c>
      <c r="V940" s="33">
        <f t="shared" si="105"/>
        <v>1.2735751066665515</v>
      </c>
      <c r="W940" s="12" t="b">
        <f t="shared" si="106"/>
        <v>0</v>
      </c>
    </row>
    <row r="941" spans="1:23">
      <c r="A941" s="26">
        <v>940</v>
      </c>
      <c r="B941" s="27">
        <v>40585</v>
      </c>
      <c r="C941" s="12">
        <v>2</v>
      </c>
      <c r="D941" s="12">
        <v>18</v>
      </c>
      <c r="E941" s="12" t="b">
        <v>0</v>
      </c>
      <c r="F941" s="12">
        <v>5</v>
      </c>
      <c r="G941" s="12">
        <v>1</v>
      </c>
      <c r="H941" s="12">
        <v>0.28000000000000003</v>
      </c>
      <c r="I941" s="12">
        <v>0.31819999999999998</v>
      </c>
      <c r="J941" s="12">
        <v>0.28000000000000003</v>
      </c>
      <c r="K941" s="12">
        <v>0</v>
      </c>
      <c r="L941" s="12">
        <v>9</v>
      </c>
      <c r="M941" s="12">
        <v>165</v>
      </c>
      <c r="N941" s="12">
        <v>174</v>
      </c>
      <c r="O941" s="12" t="str">
        <f>VLOOKUP(G941,calculate_field!$B$2:$C$5,2,FALSE)</f>
        <v>Clear/Partly Cloudy</v>
      </c>
      <c r="P941" s="12" t="str">
        <f t="shared" si="100"/>
        <v>Friday</v>
      </c>
      <c r="Q941" s="12" t="str">
        <f t="shared" si="101"/>
        <v>Weekday</v>
      </c>
      <c r="R941" s="12" t="str">
        <f t="shared" si="102"/>
        <v>Evening</v>
      </c>
      <c r="S941" s="28" t="str">
        <f>INDEX(calculate_field!$F$2:$F$4, MATCH(H941, calculate_field!$E$2:$E$4, 1))</f>
        <v>Mild</v>
      </c>
      <c r="T941" s="33">
        <f t="shared" si="103"/>
        <v>70</v>
      </c>
      <c r="U941" s="33">
        <f t="shared" si="104"/>
        <v>57.313781634240392</v>
      </c>
      <c r="V941" s="33">
        <f t="shared" si="105"/>
        <v>1.1701101220172574</v>
      </c>
      <c r="W941" s="12" t="b">
        <f t="shared" si="106"/>
        <v>0</v>
      </c>
    </row>
    <row r="942" spans="1:23">
      <c r="A942" s="26">
        <v>941</v>
      </c>
      <c r="B942" s="27">
        <v>40585</v>
      </c>
      <c r="C942" s="12">
        <v>2</v>
      </c>
      <c r="D942" s="12">
        <v>19</v>
      </c>
      <c r="E942" s="12" t="b">
        <v>0</v>
      </c>
      <c r="F942" s="12">
        <v>5</v>
      </c>
      <c r="G942" s="12">
        <v>1</v>
      </c>
      <c r="H942" s="12">
        <v>0.26</v>
      </c>
      <c r="I942" s="12">
        <v>0.30299999999999999</v>
      </c>
      <c r="J942" s="12">
        <v>0.33</v>
      </c>
      <c r="K942" s="12">
        <v>0</v>
      </c>
      <c r="L942" s="12">
        <v>7</v>
      </c>
      <c r="M942" s="12">
        <v>94</v>
      </c>
      <c r="N942" s="12">
        <v>101</v>
      </c>
      <c r="O942" s="12" t="str">
        <f>VLOOKUP(G942,calculate_field!$B$2:$C$5,2,FALSE)</f>
        <v>Clear/Partly Cloudy</v>
      </c>
      <c r="P942" s="12" t="str">
        <f t="shared" si="100"/>
        <v>Friday</v>
      </c>
      <c r="Q942" s="12" t="str">
        <f t="shared" si="101"/>
        <v>Weekday</v>
      </c>
      <c r="R942" s="12" t="str">
        <f t="shared" si="102"/>
        <v>Evening</v>
      </c>
      <c r="S942" s="28" t="str">
        <f>INDEX(calculate_field!$F$2:$F$4, MATCH(H942, calculate_field!$E$2:$E$4, 1))</f>
        <v>Mild</v>
      </c>
      <c r="T942" s="33">
        <f t="shared" si="103"/>
        <v>65.416666666666671</v>
      </c>
      <c r="U942" s="33">
        <f t="shared" si="104"/>
        <v>52.860700176864903</v>
      </c>
      <c r="V942" s="33">
        <f t="shared" si="105"/>
        <v>-7.5445430618201373E-2</v>
      </c>
      <c r="W942" s="12" t="b">
        <f t="shared" si="106"/>
        <v>0</v>
      </c>
    </row>
    <row r="943" spans="1:23">
      <c r="A943" s="26">
        <v>942</v>
      </c>
      <c r="B943" s="27">
        <v>40585</v>
      </c>
      <c r="C943" s="12">
        <v>2</v>
      </c>
      <c r="D943" s="12">
        <v>20</v>
      </c>
      <c r="E943" s="12" t="b">
        <v>0</v>
      </c>
      <c r="F943" s="12">
        <v>5</v>
      </c>
      <c r="G943" s="12">
        <v>1</v>
      </c>
      <c r="H943" s="12">
        <v>0.22</v>
      </c>
      <c r="I943" s="12">
        <v>0.2273</v>
      </c>
      <c r="J943" s="12">
        <v>0.55000000000000004</v>
      </c>
      <c r="K943" s="12">
        <v>0.1343</v>
      </c>
      <c r="L943" s="12">
        <v>2</v>
      </c>
      <c r="M943" s="12">
        <v>61</v>
      </c>
      <c r="N943" s="12">
        <v>63</v>
      </c>
      <c r="O943" s="12" t="str">
        <f>VLOOKUP(G943,calculate_field!$B$2:$C$5,2,FALSE)</f>
        <v>Clear/Partly Cloudy</v>
      </c>
      <c r="P943" s="12" t="str">
        <f t="shared" si="100"/>
        <v>Friday</v>
      </c>
      <c r="Q943" s="12" t="str">
        <f t="shared" si="101"/>
        <v>Weekday</v>
      </c>
      <c r="R943" s="12" t="str">
        <f t="shared" si="102"/>
        <v>Evening</v>
      </c>
      <c r="S943" s="28" t="str">
        <f>INDEX(calculate_field!$F$2:$F$4, MATCH(H943, calculate_field!$E$2:$E$4, 1))</f>
        <v>Mild</v>
      </c>
      <c r="T943" s="33">
        <f t="shared" si="103"/>
        <v>62.916666666666664</v>
      </c>
      <c r="U943" s="33">
        <f t="shared" si="104"/>
        <v>52.522389980610761</v>
      </c>
      <c r="V943" s="33">
        <f t="shared" si="105"/>
        <v>-0.48542502175407237</v>
      </c>
      <c r="W943" s="12" t="b">
        <f t="shared" si="106"/>
        <v>0</v>
      </c>
    </row>
    <row r="944" spans="1:23">
      <c r="A944" s="26">
        <v>943</v>
      </c>
      <c r="B944" s="27">
        <v>40585</v>
      </c>
      <c r="C944" s="12">
        <v>2</v>
      </c>
      <c r="D944" s="12">
        <v>21</v>
      </c>
      <c r="E944" s="12" t="b">
        <v>0</v>
      </c>
      <c r="F944" s="12">
        <v>5</v>
      </c>
      <c r="G944" s="12">
        <v>1</v>
      </c>
      <c r="H944" s="12">
        <v>0.2</v>
      </c>
      <c r="I944" s="12">
        <v>0.21210000000000001</v>
      </c>
      <c r="J944" s="12">
        <v>0.59</v>
      </c>
      <c r="K944" s="12">
        <v>0.1343</v>
      </c>
      <c r="L944" s="12">
        <v>1</v>
      </c>
      <c r="M944" s="12">
        <v>46</v>
      </c>
      <c r="N944" s="12">
        <v>47</v>
      </c>
      <c r="O944" s="12" t="str">
        <f>VLOOKUP(G944,calculate_field!$B$2:$C$5,2,FALSE)</f>
        <v>Clear/Partly Cloudy</v>
      </c>
      <c r="P944" s="12" t="str">
        <f t="shared" si="100"/>
        <v>Friday</v>
      </c>
      <c r="Q944" s="12" t="str">
        <f t="shared" si="101"/>
        <v>Weekday</v>
      </c>
      <c r="R944" s="12" t="str">
        <f t="shared" si="102"/>
        <v>Night</v>
      </c>
      <c r="S944" s="28" t="str">
        <f>INDEX(calculate_field!$F$2:$F$4, MATCH(H944, calculate_field!$E$2:$E$4, 1))</f>
        <v>Mild</v>
      </c>
      <c r="T944" s="33">
        <f t="shared" si="103"/>
        <v>61.958333333333336</v>
      </c>
      <c r="U944" s="33">
        <f t="shared" si="104"/>
        <v>52.73022330007111</v>
      </c>
      <c r="V944" s="33">
        <f t="shared" si="105"/>
        <v>-0.50886265763529759</v>
      </c>
      <c r="W944" s="12" t="b">
        <f t="shared" si="106"/>
        <v>1</v>
      </c>
    </row>
    <row r="945" spans="1:23">
      <c r="A945" s="26">
        <v>944</v>
      </c>
      <c r="B945" s="27">
        <v>40585</v>
      </c>
      <c r="C945" s="12">
        <v>2</v>
      </c>
      <c r="D945" s="12">
        <v>22</v>
      </c>
      <c r="E945" s="12" t="b">
        <v>0</v>
      </c>
      <c r="F945" s="12">
        <v>5</v>
      </c>
      <c r="G945" s="12">
        <v>1</v>
      </c>
      <c r="H945" s="12">
        <v>0.2</v>
      </c>
      <c r="I945" s="12">
        <v>0.2273</v>
      </c>
      <c r="J945" s="12">
        <v>0.64</v>
      </c>
      <c r="K945" s="12">
        <v>8.9599999999999999E-2</v>
      </c>
      <c r="L945" s="12">
        <v>2</v>
      </c>
      <c r="M945" s="12">
        <v>41</v>
      </c>
      <c r="N945" s="12">
        <v>43</v>
      </c>
      <c r="O945" s="12" t="str">
        <f>VLOOKUP(G945,calculate_field!$B$2:$C$5,2,FALSE)</f>
        <v>Clear/Partly Cloudy</v>
      </c>
      <c r="P945" s="12" t="str">
        <f t="shared" si="100"/>
        <v>Friday</v>
      </c>
      <c r="Q945" s="12" t="str">
        <f t="shared" si="101"/>
        <v>Weekday</v>
      </c>
      <c r="R945" s="12" t="str">
        <f t="shared" si="102"/>
        <v>Night</v>
      </c>
      <c r="S945" s="28" t="str">
        <f>INDEX(calculate_field!$F$2:$F$4, MATCH(H945, calculate_field!$E$2:$E$4, 1))</f>
        <v>Mild</v>
      </c>
      <c r="T945" s="33">
        <f t="shared" si="103"/>
        <v>62.125</v>
      </c>
      <c r="U945" s="33">
        <f t="shared" si="104"/>
        <v>52.687192157025265</v>
      </c>
      <c r="V945" s="33">
        <f t="shared" si="105"/>
        <v>-0.32067875177782912</v>
      </c>
      <c r="W945" s="12" t="b">
        <f t="shared" si="106"/>
        <v>1</v>
      </c>
    </row>
    <row r="946" spans="1:23">
      <c r="A946" s="26">
        <v>945</v>
      </c>
      <c r="B946" s="27">
        <v>40585</v>
      </c>
      <c r="C946" s="12">
        <v>2</v>
      </c>
      <c r="D946" s="12">
        <v>23</v>
      </c>
      <c r="E946" s="12" t="b">
        <v>0</v>
      </c>
      <c r="F946" s="12">
        <v>5</v>
      </c>
      <c r="G946" s="12">
        <v>1</v>
      </c>
      <c r="H946" s="12">
        <v>0.18</v>
      </c>
      <c r="I946" s="12">
        <v>0.2424</v>
      </c>
      <c r="J946" s="12">
        <v>0.69</v>
      </c>
      <c r="K946" s="12">
        <v>0</v>
      </c>
      <c r="L946" s="12">
        <v>5</v>
      </c>
      <c r="M946" s="12">
        <v>48</v>
      </c>
      <c r="N946" s="12">
        <v>53</v>
      </c>
      <c r="O946" s="12" t="str">
        <f>VLOOKUP(G946,calculate_field!$B$2:$C$5,2,FALSE)</f>
        <v>Clear/Partly Cloudy</v>
      </c>
      <c r="P946" s="12" t="str">
        <f t="shared" si="100"/>
        <v>Friday</v>
      </c>
      <c r="Q946" s="12" t="str">
        <f t="shared" si="101"/>
        <v>Weekday</v>
      </c>
      <c r="R946" s="12" t="str">
        <f t="shared" si="102"/>
        <v>Night</v>
      </c>
      <c r="S946" s="28" t="str">
        <f>INDEX(calculate_field!$F$2:$F$4, MATCH(H946, calculate_field!$E$2:$E$4, 1))</f>
        <v>Cold</v>
      </c>
      <c r="T946" s="33">
        <f t="shared" si="103"/>
        <v>62.208333333333336</v>
      </c>
      <c r="U946" s="33">
        <f t="shared" si="104"/>
        <v>52.657200809589654</v>
      </c>
      <c r="V946" s="33">
        <f t="shared" si="105"/>
        <v>-0.41536580661382222</v>
      </c>
      <c r="W946" s="12" t="b">
        <f t="shared" si="106"/>
        <v>1</v>
      </c>
    </row>
    <row r="947" spans="1:23">
      <c r="A947" s="26">
        <v>946</v>
      </c>
      <c r="B947" s="27">
        <v>40586</v>
      </c>
      <c r="C947" s="12">
        <v>2</v>
      </c>
      <c r="D947" s="12">
        <v>0</v>
      </c>
      <c r="E947" s="12" t="b">
        <v>0</v>
      </c>
      <c r="F947" s="12">
        <v>6</v>
      </c>
      <c r="G947" s="12">
        <v>1</v>
      </c>
      <c r="H947" s="12">
        <v>0.16</v>
      </c>
      <c r="I947" s="12">
        <v>0.19700000000000001</v>
      </c>
      <c r="J947" s="12">
        <v>0.69</v>
      </c>
      <c r="K947" s="12">
        <v>8.9599999999999999E-2</v>
      </c>
      <c r="L947" s="12">
        <v>3</v>
      </c>
      <c r="M947" s="12">
        <v>27</v>
      </c>
      <c r="N947" s="12">
        <v>30</v>
      </c>
      <c r="O947" s="12" t="str">
        <f>VLOOKUP(G947,calculate_field!$B$2:$C$5,2,FALSE)</f>
        <v>Clear/Partly Cloudy</v>
      </c>
      <c r="P947" s="12" t="str">
        <f t="shared" si="100"/>
        <v>Saturday</v>
      </c>
      <c r="Q947" s="12" t="str">
        <f t="shared" si="101"/>
        <v>Weekend</v>
      </c>
      <c r="R947" s="12" t="str">
        <f t="shared" si="102"/>
        <v>Night</v>
      </c>
      <c r="S947" s="28" t="str">
        <f>INDEX(calculate_field!$F$2:$F$4, MATCH(H947, calculate_field!$E$2:$E$4, 1))</f>
        <v>Cold</v>
      </c>
      <c r="T947" s="33">
        <f t="shared" si="103"/>
        <v>61.333333333333336</v>
      </c>
      <c r="U947" s="33">
        <f t="shared" si="104"/>
        <v>52.990291700393136</v>
      </c>
      <c r="V947" s="33">
        <f t="shared" si="105"/>
        <v>-0.63322588719526707</v>
      </c>
      <c r="W947" s="12" t="b">
        <f t="shared" si="106"/>
        <v>1</v>
      </c>
    </row>
    <row r="948" spans="1:23">
      <c r="A948" s="26">
        <v>947</v>
      </c>
      <c r="B948" s="27">
        <v>40586</v>
      </c>
      <c r="C948" s="12">
        <v>2</v>
      </c>
      <c r="D948" s="12">
        <v>1</v>
      </c>
      <c r="E948" s="12" t="b">
        <v>0</v>
      </c>
      <c r="F948" s="12">
        <v>6</v>
      </c>
      <c r="G948" s="12">
        <v>1</v>
      </c>
      <c r="H948" s="12">
        <v>0.14000000000000001</v>
      </c>
      <c r="I948" s="12">
        <v>0.21210000000000001</v>
      </c>
      <c r="J948" s="12">
        <v>0.86</v>
      </c>
      <c r="K948" s="12">
        <v>0</v>
      </c>
      <c r="L948" s="12">
        <v>2</v>
      </c>
      <c r="M948" s="12">
        <v>22</v>
      </c>
      <c r="N948" s="12">
        <v>24</v>
      </c>
      <c r="O948" s="12" t="str">
        <f>VLOOKUP(G948,calculate_field!$B$2:$C$5,2,FALSE)</f>
        <v>Clear/Partly Cloudy</v>
      </c>
      <c r="P948" s="12" t="str">
        <f t="shared" si="100"/>
        <v>Saturday</v>
      </c>
      <c r="Q948" s="12" t="str">
        <f t="shared" si="101"/>
        <v>Weekend</v>
      </c>
      <c r="R948" s="12" t="str">
        <f t="shared" si="102"/>
        <v>Night</v>
      </c>
      <c r="S948" s="28" t="str">
        <f>INDEX(calculate_field!$F$2:$F$4, MATCH(H948, calculate_field!$E$2:$E$4, 1))</f>
        <v>Cold</v>
      </c>
      <c r="T948" s="33">
        <f t="shared" si="103"/>
        <v>61.708333333333336</v>
      </c>
      <c r="U948" s="33">
        <f t="shared" si="104"/>
        <v>52.790380519203673</v>
      </c>
      <c r="V948" s="33">
        <f t="shared" si="105"/>
        <v>-0.48653280951450173</v>
      </c>
      <c r="W948" s="12" t="b">
        <f t="shared" si="106"/>
        <v>1</v>
      </c>
    </row>
    <row r="949" spans="1:23">
      <c r="A949" s="26">
        <v>948</v>
      </c>
      <c r="B949" s="27">
        <v>40586</v>
      </c>
      <c r="C949" s="12">
        <v>2</v>
      </c>
      <c r="D949" s="12">
        <v>2</v>
      </c>
      <c r="E949" s="12" t="b">
        <v>0</v>
      </c>
      <c r="F949" s="12">
        <v>6</v>
      </c>
      <c r="G949" s="12">
        <v>1</v>
      </c>
      <c r="H949" s="12">
        <v>0.14000000000000001</v>
      </c>
      <c r="I949" s="12">
        <v>0.21210000000000001</v>
      </c>
      <c r="J949" s="12">
        <v>0.8</v>
      </c>
      <c r="K949" s="12">
        <v>0</v>
      </c>
      <c r="L949" s="12">
        <v>2</v>
      </c>
      <c r="M949" s="12">
        <v>13</v>
      </c>
      <c r="N949" s="12">
        <v>15</v>
      </c>
      <c r="O949" s="12" t="str">
        <f>VLOOKUP(G949,calculate_field!$B$2:$C$5,2,FALSE)</f>
        <v>Clear/Partly Cloudy</v>
      </c>
      <c r="P949" s="12" t="str">
        <f t="shared" si="100"/>
        <v>Saturday</v>
      </c>
      <c r="Q949" s="12" t="str">
        <f t="shared" si="101"/>
        <v>Weekend</v>
      </c>
      <c r="R949" s="12" t="str">
        <f t="shared" si="102"/>
        <v>Night</v>
      </c>
      <c r="S949" s="28" t="str">
        <f>INDEX(calculate_field!$F$2:$F$4, MATCH(H949, calculate_field!$E$2:$E$4, 1))</f>
        <v>Cold</v>
      </c>
      <c r="T949" s="33">
        <f t="shared" si="103"/>
        <v>61.708333333333336</v>
      </c>
      <c r="U949" s="33">
        <f t="shared" si="104"/>
        <v>52.790380519203673</v>
      </c>
      <c r="V949" s="33">
        <f t="shared" si="105"/>
        <v>-0.71378237737661832</v>
      </c>
      <c r="W949" s="12" t="b">
        <f t="shared" si="106"/>
        <v>1</v>
      </c>
    </row>
    <row r="950" spans="1:23">
      <c r="A950" s="26">
        <v>949</v>
      </c>
      <c r="B950" s="27">
        <v>40586</v>
      </c>
      <c r="C950" s="12">
        <v>2</v>
      </c>
      <c r="D950" s="12">
        <v>3</v>
      </c>
      <c r="E950" s="12" t="b">
        <v>0</v>
      </c>
      <c r="F950" s="12">
        <v>6</v>
      </c>
      <c r="G950" s="12">
        <v>1</v>
      </c>
      <c r="H950" s="12">
        <v>0.12</v>
      </c>
      <c r="I950" s="12">
        <v>0.19700000000000001</v>
      </c>
      <c r="J950" s="12">
        <v>0.8</v>
      </c>
      <c r="K950" s="12">
        <v>0</v>
      </c>
      <c r="L950" s="12">
        <v>3</v>
      </c>
      <c r="M950" s="12">
        <v>7</v>
      </c>
      <c r="N950" s="12">
        <v>10</v>
      </c>
      <c r="O950" s="12" t="str">
        <f>VLOOKUP(G950,calculate_field!$B$2:$C$5,2,FALSE)</f>
        <v>Clear/Partly Cloudy</v>
      </c>
      <c r="P950" s="12" t="str">
        <f t="shared" si="100"/>
        <v>Saturday</v>
      </c>
      <c r="Q950" s="12" t="str">
        <f t="shared" si="101"/>
        <v>Weekend</v>
      </c>
      <c r="R950" s="12" t="str">
        <f t="shared" si="102"/>
        <v>Night</v>
      </c>
      <c r="S950" s="28" t="str">
        <f>INDEX(calculate_field!$F$2:$F$4, MATCH(H950, calculate_field!$E$2:$E$4, 1))</f>
        <v>Cold</v>
      </c>
      <c r="T950" s="33">
        <f t="shared" si="103"/>
        <v>61.916666666666664</v>
      </c>
      <c r="U950" s="33">
        <f t="shared" si="104"/>
        <v>52.607584728957974</v>
      </c>
      <c r="V950" s="33">
        <f t="shared" si="105"/>
        <v>-0.75592412837019174</v>
      </c>
      <c r="W950" s="12" t="b">
        <f t="shared" si="106"/>
        <v>0</v>
      </c>
    </row>
    <row r="951" spans="1:23">
      <c r="A951" s="26">
        <v>950</v>
      </c>
      <c r="B951" s="27">
        <v>40586</v>
      </c>
      <c r="C951" s="12">
        <v>2</v>
      </c>
      <c r="D951" s="12">
        <v>4</v>
      </c>
      <c r="E951" s="12" t="b">
        <v>0</v>
      </c>
      <c r="F951" s="12">
        <v>6</v>
      </c>
      <c r="G951" s="12">
        <v>1</v>
      </c>
      <c r="H951" s="12">
        <v>0.12</v>
      </c>
      <c r="I951" s="12">
        <v>0.16669999999999999</v>
      </c>
      <c r="J951" s="12">
        <v>0.74</v>
      </c>
      <c r="K951" s="12">
        <v>8.9599999999999999E-2</v>
      </c>
      <c r="L951" s="12">
        <v>0</v>
      </c>
      <c r="M951" s="12">
        <v>4</v>
      </c>
      <c r="N951" s="12">
        <v>4</v>
      </c>
      <c r="O951" s="12" t="str">
        <f>VLOOKUP(G951,calculate_field!$B$2:$C$5,2,FALSE)</f>
        <v>Clear/Partly Cloudy</v>
      </c>
      <c r="P951" s="12" t="str">
        <f t="shared" si="100"/>
        <v>Saturday</v>
      </c>
      <c r="Q951" s="12" t="str">
        <f t="shared" si="101"/>
        <v>Weekend</v>
      </c>
      <c r="R951" s="12" t="str">
        <f t="shared" si="102"/>
        <v>Night</v>
      </c>
      <c r="S951" s="28" t="str">
        <f>INDEX(calculate_field!$F$2:$F$4, MATCH(H951, calculate_field!$E$2:$E$4, 1))</f>
        <v>Cold</v>
      </c>
      <c r="T951" s="33">
        <f t="shared" si="103"/>
        <v>62</v>
      </c>
      <c r="U951" s="33">
        <f t="shared" si="104"/>
        <v>52.523286760958833</v>
      </c>
      <c r="V951" s="33">
        <f t="shared" si="105"/>
        <v>-0.86892600993840063</v>
      </c>
      <c r="W951" s="12" t="b">
        <f t="shared" si="106"/>
        <v>0</v>
      </c>
    </row>
    <row r="952" spans="1:23">
      <c r="A952" s="26">
        <v>951</v>
      </c>
      <c r="B952" s="27">
        <v>40586</v>
      </c>
      <c r="C952" s="12">
        <v>2</v>
      </c>
      <c r="D952" s="12">
        <v>5</v>
      </c>
      <c r="E952" s="12" t="b">
        <v>0</v>
      </c>
      <c r="F952" s="12">
        <v>6</v>
      </c>
      <c r="G952" s="12">
        <v>1</v>
      </c>
      <c r="H952" s="12">
        <v>0.12</v>
      </c>
      <c r="I952" s="12">
        <v>0.16669999999999999</v>
      </c>
      <c r="J952" s="12">
        <v>0.74</v>
      </c>
      <c r="K952" s="12">
        <v>8.9599999999999999E-2</v>
      </c>
      <c r="L952" s="12">
        <v>0</v>
      </c>
      <c r="M952" s="12">
        <v>1</v>
      </c>
      <c r="N952" s="12">
        <v>1</v>
      </c>
      <c r="O952" s="12" t="str">
        <f>VLOOKUP(G952,calculate_field!$B$2:$C$5,2,FALSE)</f>
        <v>Clear/Partly Cloudy</v>
      </c>
      <c r="P952" s="12" t="str">
        <f t="shared" si="100"/>
        <v>Saturday</v>
      </c>
      <c r="Q952" s="12" t="str">
        <f t="shared" si="101"/>
        <v>Weekend</v>
      </c>
      <c r="R952" s="12" t="str">
        <f t="shared" si="102"/>
        <v>Night</v>
      </c>
      <c r="S952" s="28" t="str">
        <f>INDEX(calculate_field!$F$2:$F$4, MATCH(H952, calculate_field!$E$2:$E$4, 1))</f>
        <v>Cold</v>
      </c>
      <c r="T952" s="33">
        <f t="shared" si="103"/>
        <v>61.916666666666664</v>
      </c>
      <c r="U952" s="33">
        <f t="shared" si="104"/>
        <v>52.620806487190201</v>
      </c>
      <c r="V952" s="33">
        <f t="shared" si="105"/>
        <v>-1.0230194697794861</v>
      </c>
      <c r="W952" s="12" t="b">
        <f t="shared" si="106"/>
        <v>0</v>
      </c>
    </row>
    <row r="953" spans="1:23">
      <c r="A953" s="26">
        <v>952</v>
      </c>
      <c r="B953" s="27">
        <v>40586</v>
      </c>
      <c r="C953" s="12">
        <v>2</v>
      </c>
      <c r="D953" s="12">
        <v>6</v>
      </c>
      <c r="E953" s="12" t="b">
        <v>0</v>
      </c>
      <c r="F953" s="12">
        <v>6</v>
      </c>
      <c r="G953" s="12">
        <v>1</v>
      </c>
      <c r="H953" s="12">
        <v>0.12</v>
      </c>
      <c r="I953" s="12">
        <v>0.13639999999999999</v>
      </c>
      <c r="J953" s="12">
        <v>0.93</v>
      </c>
      <c r="K953" s="12">
        <v>0.19400000000000001</v>
      </c>
      <c r="L953" s="12">
        <v>1</v>
      </c>
      <c r="M953" s="12">
        <v>1</v>
      </c>
      <c r="N953" s="12">
        <v>2</v>
      </c>
      <c r="O953" s="12" t="str">
        <f>VLOOKUP(G953,calculate_field!$B$2:$C$5,2,FALSE)</f>
        <v>Clear/Partly Cloudy</v>
      </c>
      <c r="P953" s="12" t="str">
        <f t="shared" si="100"/>
        <v>Saturday</v>
      </c>
      <c r="Q953" s="12" t="str">
        <f t="shared" si="101"/>
        <v>Weekend</v>
      </c>
      <c r="R953" s="12" t="str">
        <f t="shared" si="102"/>
        <v>Morning</v>
      </c>
      <c r="S953" s="28" t="str">
        <f>INDEX(calculate_field!$F$2:$F$4, MATCH(H953, calculate_field!$E$2:$E$4, 1))</f>
        <v>Cold</v>
      </c>
      <c r="T953" s="33">
        <f t="shared" si="103"/>
        <v>62.083333333333336</v>
      </c>
      <c r="U953" s="33">
        <f t="shared" si="104"/>
        <v>52.425447410888964</v>
      </c>
      <c r="V953" s="33">
        <f t="shared" si="105"/>
        <v>-0.97432676075708113</v>
      </c>
      <c r="W953" s="12" t="b">
        <f t="shared" si="106"/>
        <v>0</v>
      </c>
    </row>
    <row r="954" spans="1:23">
      <c r="A954" s="26">
        <v>953</v>
      </c>
      <c r="B954" s="27">
        <v>40586</v>
      </c>
      <c r="C954" s="12">
        <v>2</v>
      </c>
      <c r="D954" s="12">
        <v>7</v>
      </c>
      <c r="E954" s="12" t="b">
        <v>0</v>
      </c>
      <c r="F954" s="12">
        <v>6</v>
      </c>
      <c r="G954" s="12">
        <v>1</v>
      </c>
      <c r="H954" s="12">
        <v>0.12</v>
      </c>
      <c r="I954" s="12">
        <v>0.1515</v>
      </c>
      <c r="J954" s="12">
        <v>0.8</v>
      </c>
      <c r="K954" s="12">
        <v>0.1045</v>
      </c>
      <c r="L954" s="12">
        <v>2</v>
      </c>
      <c r="M954" s="12">
        <v>9</v>
      </c>
      <c r="N954" s="12">
        <v>11</v>
      </c>
      <c r="O954" s="12" t="str">
        <f>VLOOKUP(G954,calculate_field!$B$2:$C$5,2,FALSE)</f>
        <v>Clear/Partly Cloudy</v>
      </c>
      <c r="P954" s="12" t="str">
        <f t="shared" si="100"/>
        <v>Saturday</v>
      </c>
      <c r="Q954" s="12" t="str">
        <f t="shared" si="101"/>
        <v>Weekend</v>
      </c>
      <c r="R954" s="12" t="str">
        <f t="shared" si="102"/>
        <v>Morning</v>
      </c>
      <c r="S954" s="28" t="str">
        <f>INDEX(calculate_field!$F$2:$F$4, MATCH(H954, calculate_field!$E$2:$E$4, 1))</f>
        <v>Cold</v>
      </c>
      <c r="T954" s="33">
        <f t="shared" si="103"/>
        <v>62.125</v>
      </c>
      <c r="U954" s="33">
        <f t="shared" si="104"/>
        <v>52.375992259979107</v>
      </c>
      <c r="V954" s="33">
        <f t="shared" si="105"/>
        <v>-1.0351964215024336</v>
      </c>
      <c r="W954" s="12" t="b">
        <f t="shared" si="106"/>
        <v>0</v>
      </c>
    </row>
    <row r="955" spans="1:23">
      <c r="A955" s="26">
        <v>954</v>
      </c>
      <c r="B955" s="27">
        <v>40586</v>
      </c>
      <c r="C955" s="12">
        <v>2</v>
      </c>
      <c r="D955" s="12">
        <v>8</v>
      </c>
      <c r="E955" s="12" t="b">
        <v>0</v>
      </c>
      <c r="F955" s="12">
        <v>6</v>
      </c>
      <c r="G955" s="12">
        <v>1</v>
      </c>
      <c r="H955" s="12">
        <v>0.14000000000000001</v>
      </c>
      <c r="I955" s="12">
        <v>0.1515</v>
      </c>
      <c r="J955" s="12">
        <v>0.86</v>
      </c>
      <c r="K955" s="12">
        <v>0.1343</v>
      </c>
      <c r="L955" s="12">
        <v>2</v>
      </c>
      <c r="M955" s="12">
        <v>28</v>
      </c>
      <c r="N955" s="12">
        <v>30</v>
      </c>
      <c r="O955" s="12" t="str">
        <f>VLOOKUP(G955,calculate_field!$B$2:$C$5,2,FALSE)</f>
        <v>Clear/Partly Cloudy</v>
      </c>
      <c r="P955" s="12" t="str">
        <f t="shared" si="100"/>
        <v>Saturday</v>
      </c>
      <c r="Q955" s="12" t="str">
        <f t="shared" si="101"/>
        <v>Weekend</v>
      </c>
      <c r="R955" s="12" t="str">
        <f t="shared" si="102"/>
        <v>Morning</v>
      </c>
      <c r="S955" s="28" t="str">
        <f>INDEX(calculate_field!$F$2:$F$4, MATCH(H955, calculate_field!$E$2:$E$4, 1))</f>
        <v>Cold</v>
      </c>
      <c r="T955" s="33">
        <f t="shared" si="103"/>
        <v>62.166666666666664</v>
      </c>
      <c r="U955" s="33">
        <f t="shared" si="104"/>
        <v>52.333933348355771</v>
      </c>
      <c r="V955" s="33">
        <f t="shared" si="105"/>
        <v>-0.96795628559262215</v>
      </c>
      <c r="W955" s="12" t="b">
        <f t="shared" si="106"/>
        <v>0</v>
      </c>
    </row>
    <row r="956" spans="1:23">
      <c r="A956" s="26">
        <v>955</v>
      </c>
      <c r="B956" s="27">
        <v>40586</v>
      </c>
      <c r="C956" s="12">
        <v>2</v>
      </c>
      <c r="D956" s="12">
        <v>9</v>
      </c>
      <c r="E956" s="12" t="b">
        <v>0</v>
      </c>
      <c r="F956" s="12">
        <v>6</v>
      </c>
      <c r="G956" s="12">
        <v>1</v>
      </c>
      <c r="H956" s="12">
        <v>0.16</v>
      </c>
      <c r="I956" s="12">
        <v>0.18179999999999999</v>
      </c>
      <c r="J956" s="12">
        <v>0.64</v>
      </c>
      <c r="K956" s="12">
        <v>0.1343</v>
      </c>
      <c r="L956" s="12">
        <v>5</v>
      </c>
      <c r="M956" s="12">
        <v>38</v>
      </c>
      <c r="N956" s="12">
        <v>43</v>
      </c>
      <c r="O956" s="12" t="str">
        <f>VLOOKUP(G956,calculate_field!$B$2:$C$5,2,FALSE)</f>
        <v>Clear/Partly Cloudy</v>
      </c>
      <c r="P956" s="12" t="str">
        <f t="shared" si="100"/>
        <v>Saturday</v>
      </c>
      <c r="Q956" s="12" t="str">
        <f t="shared" si="101"/>
        <v>Weekend</v>
      </c>
      <c r="R956" s="12" t="str">
        <f t="shared" si="102"/>
        <v>Morning</v>
      </c>
      <c r="S956" s="28" t="str">
        <f>INDEX(calculate_field!$F$2:$F$4, MATCH(H956, calculate_field!$E$2:$E$4, 1))</f>
        <v>Cold</v>
      </c>
      <c r="T956" s="33">
        <f t="shared" si="103"/>
        <v>62.875</v>
      </c>
      <c r="U956" s="33">
        <f t="shared" si="104"/>
        <v>51.993571927105862</v>
      </c>
      <c r="V956" s="33">
        <f t="shared" si="105"/>
        <v>-0.40620999572762362</v>
      </c>
      <c r="W956" s="12" t="b">
        <f t="shared" si="106"/>
        <v>0</v>
      </c>
    </row>
    <row r="957" spans="1:23">
      <c r="A957" s="26">
        <v>956</v>
      </c>
      <c r="B957" s="27">
        <v>40586</v>
      </c>
      <c r="C957" s="12">
        <v>2</v>
      </c>
      <c r="D957" s="12">
        <v>10</v>
      </c>
      <c r="E957" s="12" t="b">
        <v>0</v>
      </c>
      <c r="F957" s="12">
        <v>6</v>
      </c>
      <c r="G957" s="12">
        <v>1</v>
      </c>
      <c r="H957" s="12">
        <v>0.22</v>
      </c>
      <c r="I957" s="12">
        <v>0.21210000000000001</v>
      </c>
      <c r="J957" s="12">
        <v>0.41</v>
      </c>
      <c r="K957" s="12">
        <v>0.25369999999999998</v>
      </c>
      <c r="L957" s="12">
        <v>13</v>
      </c>
      <c r="M957" s="12">
        <v>71</v>
      </c>
      <c r="N957" s="12">
        <v>84</v>
      </c>
      <c r="O957" s="12" t="str">
        <f>VLOOKUP(G957,calculate_field!$B$2:$C$5,2,FALSE)</f>
        <v>Clear/Partly Cloudy</v>
      </c>
      <c r="P957" s="12" t="str">
        <f t="shared" si="100"/>
        <v>Saturday</v>
      </c>
      <c r="Q957" s="12" t="str">
        <f t="shared" si="101"/>
        <v>Weekend</v>
      </c>
      <c r="R957" s="12" t="str">
        <f t="shared" si="102"/>
        <v>Morning</v>
      </c>
      <c r="S957" s="28" t="str">
        <f>INDEX(calculate_field!$F$2:$F$4, MATCH(H957, calculate_field!$E$2:$E$4, 1))</f>
        <v>Mild</v>
      </c>
      <c r="T957" s="33">
        <f t="shared" si="103"/>
        <v>65.458333333333329</v>
      </c>
      <c r="U957" s="33">
        <f t="shared" si="104"/>
        <v>52.500914415777117</v>
      </c>
      <c r="V957" s="33">
        <f t="shared" si="105"/>
        <v>0.56410539302762441</v>
      </c>
      <c r="W957" s="12" t="b">
        <f t="shared" si="106"/>
        <v>0</v>
      </c>
    </row>
    <row r="958" spans="1:23">
      <c r="A958" s="26">
        <v>957</v>
      </c>
      <c r="B958" s="27">
        <v>40586</v>
      </c>
      <c r="C958" s="12">
        <v>2</v>
      </c>
      <c r="D958" s="12">
        <v>11</v>
      </c>
      <c r="E958" s="12" t="b">
        <v>0</v>
      </c>
      <c r="F958" s="12">
        <v>6</v>
      </c>
      <c r="G958" s="12">
        <v>1</v>
      </c>
      <c r="H958" s="12">
        <v>0.3</v>
      </c>
      <c r="I958" s="12">
        <v>0.2727</v>
      </c>
      <c r="J958" s="12">
        <v>0.28000000000000003</v>
      </c>
      <c r="K958" s="12">
        <v>0.32840000000000003</v>
      </c>
      <c r="L958" s="12">
        <v>30</v>
      </c>
      <c r="M958" s="12">
        <v>84</v>
      </c>
      <c r="N958" s="12">
        <v>114</v>
      </c>
      <c r="O958" s="12" t="str">
        <f>VLOOKUP(G958,calculate_field!$B$2:$C$5,2,FALSE)</f>
        <v>Clear/Partly Cloudy</v>
      </c>
      <c r="P958" s="12" t="str">
        <f t="shared" si="100"/>
        <v>Saturday</v>
      </c>
      <c r="Q958" s="12" t="str">
        <f t="shared" si="101"/>
        <v>Weekend</v>
      </c>
      <c r="R958" s="12" t="str">
        <f t="shared" si="102"/>
        <v>Morning</v>
      </c>
      <c r="S958" s="28" t="str">
        <f>INDEX(calculate_field!$F$2:$F$4, MATCH(H958, calculate_field!$E$2:$E$4, 1))</f>
        <v>Warm</v>
      </c>
      <c r="T958" s="33">
        <f t="shared" si="103"/>
        <v>66.625</v>
      </c>
      <c r="U958" s="33">
        <f t="shared" si="104"/>
        <v>53.236806898006684</v>
      </c>
      <c r="V958" s="33">
        <f t="shared" si="105"/>
        <v>0.69778821582221096</v>
      </c>
      <c r="W958" s="12" t="b">
        <f t="shared" si="106"/>
        <v>0</v>
      </c>
    </row>
    <row r="959" spans="1:23">
      <c r="A959" s="26">
        <v>958</v>
      </c>
      <c r="B959" s="27">
        <v>40586</v>
      </c>
      <c r="C959" s="12">
        <v>2</v>
      </c>
      <c r="D959" s="12">
        <v>12</v>
      </c>
      <c r="E959" s="12" t="b">
        <v>0</v>
      </c>
      <c r="F959" s="12">
        <v>6</v>
      </c>
      <c r="G959" s="12">
        <v>1</v>
      </c>
      <c r="H959" s="12">
        <v>0.3</v>
      </c>
      <c r="I959" s="12">
        <v>0.2727</v>
      </c>
      <c r="J959" s="12">
        <v>0.39</v>
      </c>
      <c r="K959" s="12">
        <v>0.4627</v>
      </c>
      <c r="L959" s="12">
        <v>27</v>
      </c>
      <c r="M959" s="12">
        <v>93</v>
      </c>
      <c r="N959" s="12">
        <v>120</v>
      </c>
      <c r="O959" s="12" t="str">
        <f>VLOOKUP(G959,calculate_field!$B$2:$C$5,2,FALSE)</f>
        <v>Clear/Partly Cloudy</v>
      </c>
      <c r="P959" s="12" t="str">
        <f t="shared" si="100"/>
        <v>Saturday</v>
      </c>
      <c r="Q959" s="12" t="str">
        <f t="shared" si="101"/>
        <v>Weekend</v>
      </c>
      <c r="R959" s="12" t="str">
        <f t="shared" si="102"/>
        <v>Afternoon</v>
      </c>
      <c r="S959" s="28" t="str">
        <f>INDEX(calculate_field!$F$2:$F$4, MATCH(H959, calculate_field!$E$2:$E$4, 1))</f>
        <v>Warm</v>
      </c>
      <c r="T959" s="33">
        <f t="shared" si="103"/>
        <v>68.208333333333329</v>
      </c>
      <c r="U959" s="33">
        <f t="shared" si="104"/>
        <v>55.234660799385637</v>
      </c>
      <c r="V959" s="33">
        <f t="shared" si="105"/>
        <v>1.3803511634705581</v>
      </c>
      <c r="W959" s="12" t="b">
        <f t="shared" si="106"/>
        <v>0</v>
      </c>
    </row>
    <row r="960" spans="1:23">
      <c r="A960" s="26">
        <v>959</v>
      </c>
      <c r="B960" s="27">
        <v>40586</v>
      </c>
      <c r="C960" s="12">
        <v>2</v>
      </c>
      <c r="D960" s="12">
        <v>13</v>
      </c>
      <c r="E960" s="12" t="b">
        <v>0</v>
      </c>
      <c r="F960" s="12">
        <v>6</v>
      </c>
      <c r="G960" s="12">
        <v>1</v>
      </c>
      <c r="H960" s="12">
        <v>0.3</v>
      </c>
      <c r="I960" s="12">
        <v>0.2727</v>
      </c>
      <c r="J960" s="12">
        <v>0.39</v>
      </c>
      <c r="K960" s="12">
        <v>0.41789999999999999</v>
      </c>
      <c r="L960" s="12">
        <v>32</v>
      </c>
      <c r="M960" s="12">
        <v>103</v>
      </c>
      <c r="N960" s="12">
        <v>135</v>
      </c>
      <c r="O960" s="12" t="str">
        <f>VLOOKUP(G960,calculate_field!$B$2:$C$5,2,FALSE)</f>
        <v>Clear/Partly Cloudy</v>
      </c>
      <c r="P960" s="12" t="str">
        <f t="shared" si="100"/>
        <v>Saturday</v>
      </c>
      <c r="Q960" s="12" t="str">
        <f t="shared" si="101"/>
        <v>Weekend</v>
      </c>
      <c r="R960" s="12" t="str">
        <f t="shared" si="102"/>
        <v>Afternoon</v>
      </c>
      <c r="S960" s="28" t="str">
        <f>INDEX(calculate_field!$F$2:$F$4, MATCH(H960, calculate_field!$E$2:$E$4, 1))</f>
        <v>Warm</v>
      </c>
      <c r="T960" s="33">
        <f t="shared" si="103"/>
        <v>69.625</v>
      </c>
      <c r="U960" s="33">
        <f t="shared" si="104"/>
        <v>57.027691595361389</v>
      </c>
      <c r="V960" s="33">
        <f t="shared" si="105"/>
        <v>1.5291783534531507</v>
      </c>
      <c r="W960" s="12" t="b">
        <f t="shared" si="106"/>
        <v>0</v>
      </c>
    </row>
    <row r="961" spans="1:23">
      <c r="A961" s="26">
        <v>960</v>
      </c>
      <c r="B961" s="27">
        <v>40586</v>
      </c>
      <c r="C961" s="12">
        <v>2</v>
      </c>
      <c r="D961" s="12">
        <v>14</v>
      </c>
      <c r="E961" s="12" t="b">
        <v>0</v>
      </c>
      <c r="F961" s="12">
        <v>6</v>
      </c>
      <c r="G961" s="12">
        <v>1</v>
      </c>
      <c r="H961" s="12">
        <v>0.34</v>
      </c>
      <c r="I961" s="12">
        <v>0.31819999999999998</v>
      </c>
      <c r="J961" s="12">
        <v>0.31</v>
      </c>
      <c r="K961" s="12">
        <v>0.28360000000000002</v>
      </c>
      <c r="L961" s="12">
        <v>30</v>
      </c>
      <c r="M961" s="12">
        <v>90</v>
      </c>
      <c r="N961" s="12">
        <v>120</v>
      </c>
      <c r="O961" s="12" t="str">
        <f>VLOOKUP(G961,calculate_field!$B$2:$C$5,2,FALSE)</f>
        <v>Clear/Partly Cloudy</v>
      </c>
      <c r="P961" s="12" t="str">
        <f t="shared" si="100"/>
        <v>Saturday</v>
      </c>
      <c r="Q961" s="12" t="str">
        <f t="shared" si="101"/>
        <v>Weekend</v>
      </c>
      <c r="R961" s="12" t="str">
        <f t="shared" si="102"/>
        <v>Afternoon</v>
      </c>
      <c r="S961" s="28" t="str">
        <f>INDEX(calculate_field!$F$2:$F$4, MATCH(H961, calculate_field!$E$2:$E$4, 1))</f>
        <v>Warm</v>
      </c>
      <c r="T961" s="33">
        <f t="shared" si="103"/>
        <v>70.708333333333329</v>
      </c>
      <c r="U961" s="33">
        <f t="shared" si="104"/>
        <v>58.550223084019123</v>
      </c>
      <c r="V961" s="33">
        <f t="shared" si="105"/>
        <v>1.8124859574425425</v>
      </c>
      <c r="W961" s="12" t="b">
        <f t="shared" si="106"/>
        <v>0</v>
      </c>
    </row>
    <row r="962" spans="1:23">
      <c r="A962" s="26">
        <v>961</v>
      </c>
      <c r="B962" s="27">
        <v>40586</v>
      </c>
      <c r="C962" s="12">
        <v>2</v>
      </c>
      <c r="D962" s="12">
        <v>15</v>
      </c>
      <c r="E962" s="12" t="b">
        <v>0</v>
      </c>
      <c r="F962" s="12">
        <v>6</v>
      </c>
      <c r="G962" s="12">
        <v>1</v>
      </c>
      <c r="H962" s="12">
        <v>0.34</v>
      </c>
      <c r="I962" s="12">
        <v>0.30299999999999999</v>
      </c>
      <c r="J962" s="12">
        <v>0.28999999999999998</v>
      </c>
      <c r="K962" s="12">
        <v>0.41789999999999999</v>
      </c>
      <c r="L962" s="12">
        <v>47</v>
      </c>
      <c r="M962" s="12">
        <v>127</v>
      </c>
      <c r="N962" s="12">
        <v>174</v>
      </c>
      <c r="O962" s="12" t="str">
        <f>VLOOKUP(G962,calculate_field!$B$2:$C$5,2,FALSE)</f>
        <v>Clear/Partly Cloudy</v>
      </c>
      <c r="P962" s="12" t="str">
        <f t="shared" ref="P962:P1001" si="107">CHOOSE(F962+1,"Sunday","Monday","Tuesday","Wednesday","Thursday","Friday","Saturday")</f>
        <v>Saturday</v>
      </c>
      <c r="Q962" s="12" t="str">
        <f t="shared" ref="Q962:Q1001" si="108">IF(OR(F962=0,F962=6),"Weekend","Weekday")</f>
        <v>Weekend</v>
      </c>
      <c r="R962" s="12" t="str">
        <f t="shared" ref="R962:R1001" si="109">IF(D962&lt;6,"Night",IF(D962&lt;12,"Morning",IF(D962&lt;17,"Afternoon",IF(D962&lt;21,"Evening","Night"))))</f>
        <v>Afternoon</v>
      </c>
      <c r="S962" s="28" t="str">
        <f>INDEX(calculate_field!$F$2:$F$4, MATCH(H962, calculate_field!$E$2:$E$4, 1))</f>
        <v>Warm</v>
      </c>
      <c r="T962" s="33">
        <f t="shared" ref="T962:T1001" si="110">AVERAGE(N962:N985)</f>
        <v>72.458333333333329</v>
      </c>
      <c r="U962" s="33">
        <f t="shared" ref="U962:U1001" si="111">_xlfn.STDEV.S(N962:N985)</f>
        <v>60.676604736247732</v>
      </c>
      <c r="V962" s="33">
        <f t="shared" ref="V962:V978" si="112">(N985-T985)/U985</f>
        <v>2.1068161350612882</v>
      </c>
      <c r="W962" s="12" t="b">
        <f t="shared" ref="W962:W985" si="113">IFERROR(ABS(V978)&gt;1.5,FALSE)</f>
        <v>0</v>
      </c>
    </row>
    <row r="963" spans="1:23">
      <c r="A963" s="26">
        <v>962</v>
      </c>
      <c r="B963" s="27">
        <v>40586</v>
      </c>
      <c r="C963" s="12">
        <v>2</v>
      </c>
      <c r="D963" s="12">
        <v>16</v>
      </c>
      <c r="E963" s="12" t="b">
        <v>0</v>
      </c>
      <c r="F963" s="12">
        <v>6</v>
      </c>
      <c r="G963" s="12">
        <v>1</v>
      </c>
      <c r="H963" s="12">
        <v>0.34</v>
      </c>
      <c r="I963" s="12">
        <v>0.30299999999999999</v>
      </c>
      <c r="J963" s="12">
        <v>0.28999999999999998</v>
      </c>
      <c r="K963" s="12">
        <v>0.41789999999999999</v>
      </c>
      <c r="L963" s="12">
        <v>42</v>
      </c>
      <c r="M963" s="12">
        <v>103</v>
      </c>
      <c r="N963" s="12">
        <v>145</v>
      </c>
      <c r="O963" s="12" t="str">
        <f>VLOOKUP(G963,calculate_field!$B$2:$C$5,2,FALSE)</f>
        <v>Clear/Partly Cloudy</v>
      </c>
      <c r="P963" s="12" t="str">
        <f t="shared" si="107"/>
        <v>Saturday</v>
      </c>
      <c r="Q963" s="12" t="str">
        <f t="shared" si="108"/>
        <v>Weekend</v>
      </c>
      <c r="R963" s="12" t="str">
        <f t="shared" si="109"/>
        <v>Afternoon</v>
      </c>
      <c r="S963" s="28" t="str">
        <f>INDEX(calculate_field!$F$2:$F$4, MATCH(H963, calculate_field!$E$2:$E$4, 1))</f>
        <v>Warm</v>
      </c>
      <c r="T963" s="33">
        <f t="shared" si="110"/>
        <v>70.791666666666671</v>
      </c>
      <c r="U963" s="33">
        <f t="shared" si="111"/>
        <v>58.267732263993295</v>
      </c>
      <c r="V963" s="33">
        <f t="shared" si="112"/>
        <v>1.9599326885507935</v>
      </c>
      <c r="W963" s="12" t="b">
        <f t="shared" si="113"/>
        <v>0</v>
      </c>
    </row>
    <row r="964" spans="1:23">
      <c r="A964" s="26">
        <v>963</v>
      </c>
      <c r="B964" s="27">
        <v>40586</v>
      </c>
      <c r="C964" s="12">
        <v>2</v>
      </c>
      <c r="D964" s="12">
        <v>17</v>
      </c>
      <c r="E964" s="12" t="b">
        <v>0</v>
      </c>
      <c r="F964" s="12">
        <v>6</v>
      </c>
      <c r="G964" s="12">
        <v>1</v>
      </c>
      <c r="H964" s="12">
        <v>0.32</v>
      </c>
      <c r="I964" s="12">
        <v>0.28789999999999999</v>
      </c>
      <c r="J964" s="12">
        <v>0.31</v>
      </c>
      <c r="K964" s="12">
        <v>0.52239999999999998</v>
      </c>
      <c r="L964" s="12">
        <v>24</v>
      </c>
      <c r="M964" s="12">
        <v>113</v>
      </c>
      <c r="N964" s="12">
        <v>137</v>
      </c>
      <c r="O964" s="12" t="str">
        <f>VLOOKUP(G964,calculate_field!$B$2:$C$5,2,FALSE)</f>
        <v>Clear/Partly Cloudy</v>
      </c>
      <c r="P964" s="12" t="str">
        <f t="shared" si="107"/>
        <v>Saturday</v>
      </c>
      <c r="Q964" s="12" t="str">
        <f t="shared" si="108"/>
        <v>Weekend</v>
      </c>
      <c r="R964" s="12" t="str">
        <f t="shared" si="109"/>
        <v>Evening</v>
      </c>
      <c r="S964" s="28" t="str">
        <f>INDEX(calculate_field!$F$2:$F$4, MATCH(H964, calculate_field!$E$2:$E$4, 1))</f>
        <v>Warm</v>
      </c>
      <c r="T964" s="33">
        <f t="shared" si="110"/>
        <v>69.958333333333329</v>
      </c>
      <c r="U964" s="33">
        <f t="shared" si="111"/>
        <v>57.295177099303736</v>
      </c>
      <c r="V964" s="33">
        <f t="shared" si="112"/>
        <v>2.1428437055736316</v>
      </c>
      <c r="W964" s="12" t="b">
        <f t="shared" si="113"/>
        <v>0</v>
      </c>
    </row>
    <row r="965" spans="1:23">
      <c r="A965" s="26">
        <v>964</v>
      </c>
      <c r="B965" s="27">
        <v>40586</v>
      </c>
      <c r="C965" s="12">
        <v>2</v>
      </c>
      <c r="D965" s="12">
        <v>18</v>
      </c>
      <c r="E965" s="12" t="b">
        <v>0</v>
      </c>
      <c r="F965" s="12">
        <v>6</v>
      </c>
      <c r="G965" s="12">
        <v>1</v>
      </c>
      <c r="H965" s="12">
        <v>0.28000000000000003</v>
      </c>
      <c r="I965" s="12">
        <v>0.2576</v>
      </c>
      <c r="J965" s="12">
        <v>0.38</v>
      </c>
      <c r="K965" s="12">
        <v>0.32840000000000003</v>
      </c>
      <c r="L965" s="12">
        <v>4</v>
      </c>
      <c r="M965" s="12">
        <v>60</v>
      </c>
      <c r="N965" s="12">
        <v>64</v>
      </c>
      <c r="O965" s="12" t="str">
        <f>VLOOKUP(G965,calculate_field!$B$2:$C$5,2,FALSE)</f>
        <v>Clear/Partly Cloudy</v>
      </c>
      <c r="P965" s="12" t="str">
        <f t="shared" si="107"/>
        <v>Saturday</v>
      </c>
      <c r="Q965" s="12" t="str">
        <f t="shared" si="108"/>
        <v>Weekend</v>
      </c>
      <c r="R965" s="12" t="str">
        <f t="shared" si="109"/>
        <v>Evening</v>
      </c>
      <c r="S965" s="28" t="str">
        <f>INDEX(calculate_field!$F$2:$F$4, MATCH(H965, calculate_field!$E$2:$E$4, 1))</f>
        <v>Mild</v>
      </c>
      <c r="T965" s="33">
        <f t="shared" si="110"/>
        <v>68.208333333333329</v>
      </c>
      <c r="U965" s="33">
        <f t="shared" si="111"/>
        <v>55.779830519226422</v>
      </c>
      <c r="V965" s="33">
        <f t="shared" si="112"/>
        <v>1.8450130037390706</v>
      </c>
      <c r="W965" s="12" t="b">
        <f t="shared" si="113"/>
        <v>0</v>
      </c>
    </row>
    <row r="966" spans="1:23">
      <c r="A966" s="26">
        <v>965</v>
      </c>
      <c r="B966" s="27">
        <v>40586</v>
      </c>
      <c r="C966" s="12">
        <v>2</v>
      </c>
      <c r="D966" s="12">
        <v>19</v>
      </c>
      <c r="E966" s="12" t="b">
        <v>0</v>
      </c>
      <c r="F966" s="12">
        <v>6</v>
      </c>
      <c r="G966" s="12">
        <v>1</v>
      </c>
      <c r="H966" s="12">
        <v>0.28000000000000003</v>
      </c>
      <c r="I966" s="12">
        <v>0.2727</v>
      </c>
      <c r="J966" s="12">
        <v>0.38</v>
      </c>
      <c r="K966" s="12">
        <v>0.16420000000000001</v>
      </c>
      <c r="L966" s="12">
        <v>2</v>
      </c>
      <c r="M966" s="12">
        <v>39</v>
      </c>
      <c r="N966" s="12">
        <v>41</v>
      </c>
      <c r="O966" s="12" t="str">
        <f>VLOOKUP(G966,calculate_field!$B$2:$C$5,2,FALSE)</f>
        <v>Clear/Partly Cloudy</v>
      </c>
      <c r="P966" s="12" t="str">
        <f t="shared" si="107"/>
        <v>Saturday</v>
      </c>
      <c r="Q966" s="12" t="str">
        <f t="shared" si="108"/>
        <v>Weekend</v>
      </c>
      <c r="R966" s="12" t="str">
        <f t="shared" si="109"/>
        <v>Evening</v>
      </c>
      <c r="S966" s="28" t="str">
        <f>INDEX(calculate_field!$F$2:$F$4, MATCH(H966, calculate_field!$E$2:$E$4, 1))</f>
        <v>Mild</v>
      </c>
      <c r="T966" s="33">
        <f t="shared" si="110"/>
        <v>68.083333333333329</v>
      </c>
      <c r="U966" s="33">
        <f t="shared" si="111"/>
        <v>55.793031095653689</v>
      </c>
      <c r="V966" s="33">
        <f t="shared" si="112"/>
        <v>1.0936591231396169</v>
      </c>
      <c r="W966" s="12" t="b">
        <f t="shared" si="113"/>
        <v>0</v>
      </c>
    </row>
    <row r="967" spans="1:23">
      <c r="A967" s="26">
        <v>966</v>
      </c>
      <c r="B967" s="27">
        <v>40586</v>
      </c>
      <c r="C967" s="12">
        <v>2</v>
      </c>
      <c r="D967" s="12">
        <v>20</v>
      </c>
      <c r="E967" s="12" t="b">
        <v>0</v>
      </c>
      <c r="F967" s="12">
        <v>6</v>
      </c>
      <c r="G967" s="12">
        <v>1</v>
      </c>
      <c r="H967" s="12">
        <v>0.26</v>
      </c>
      <c r="I967" s="12">
        <v>0.2576</v>
      </c>
      <c r="J967" s="12">
        <v>0.41</v>
      </c>
      <c r="K967" s="12">
        <v>0.22389999999999999</v>
      </c>
      <c r="L967" s="12">
        <v>1</v>
      </c>
      <c r="M967" s="12">
        <v>39</v>
      </c>
      <c r="N967" s="12">
        <v>40</v>
      </c>
      <c r="O967" s="12" t="str">
        <f>VLOOKUP(G967,calculate_field!$B$2:$C$5,2,FALSE)</f>
        <v>Clear/Partly Cloudy</v>
      </c>
      <c r="P967" s="12" t="str">
        <f t="shared" si="107"/>
        <v>Saturday</v>
      </c>
      <c r="Q967" s="12" t="str">
        <f t="shared" si="108"/>
        <v>Weekend</v>
      </c>
      <c r="R967" s="12" t="str">
        <f t="shared" si="109"/>
        <v>Evening</v>
      </c>
      <c r="S967" s="28" t="str">
        <f>INDEX(calculate_field!$F$2:$F$4, MATCH(H967, calculate_field!$E$2:$E$4, 1))</f>
        <v>Mild</v>
      </c>
      <c r="T967" s="33">
        <f t="shared" si="110"/>
        <v>68.333333333333329</v>
      </c>
      <c r="U967" s="33">
        <f t="shared" si="111"/>
        <v>55.679725969673839</v>
      </c>
      <c r="V967" s="33">
        <f t="shared" si="112"/>
        <v>0.71717623967121769</v>
      </c>
      <c r="W967" s="12" t="b">
        <f t="shared" si="113"/>
        <v>0</v>
      </c>
    </row>
    <row r="968" spans="1:23">
      <c r="A968" s="26">
        <v>967</v>
      </c>
      <c r="B968" s="27">
        <v>40586</v>
      </c>
      <c r="C968" s="12">
        <v>2</v>
      </c>
      <c r="D968" s="12">
        <v>21</v>
      </c>
      <c r="E968" s="12" t="b">
        <v>0</v>
      </c>
      <c r="F968" s="12">
        <v>6</v>
      </c>
      <c r="G968" s="12">
        <v>1</v>
      </c>
      <c r="H968" s="12">
        <v>0.26</v>
      </c>
      <c r="I968" s="12">
        <v>0.30299999999999999</v>
      </c>
      <c r="J968" s="12">
        <v>0.41</v>
      </c>
      <c r="K968" s="12">
        <v>0</v>
      </c>
      <c r="L968" s="12">
        <v>9</v>
      </c>
      <c r="M968" s="12">
        <v>42</v>
      </c>
      <c r="N968" s="12">
        <v>51</v>
      </c>
      <c r="O968" s="12" t="str">
        <f>VLOOKUP(G968,calculate_field!$B$2:$C$5,2,FALSE)</f>
        <v>Clear/Partly Cloudy</v>
      </c>
      <c r="P968" s="12" t="str">
        <f t="shared" si="107"/>
        <v>Saturday</v>
      </c>
      <c r="Q968" s="12" t="str">
        <f t="shared" si="108"/>
        <v>Weekend</v>
      </c>
      <c r="R968" s="12" t="str">
        <f t="shared" si="109"/>
        <v>Night</v>
      </c>
      <c r="S968" s="28" t="str">
        <f>INDEX(calculate_field!$F$2:$F$4, MATCH(H968, calculate_field!$E$2:$E$4, 1))</f>
        <v>Mild</v>
      </c>
      <c r="T968" s="33">
        <f t="shared" si="110"/>
        <v>68.791666666666671</v>
      </c>
      <c r="U968" s="33">
        <f t="shared" si="111"/>
        <v>55.481277035133886</v>
      </c>
      <c r="V968" s="33">
        <f t="shared" si="112"/>
        <v>0.90106342242578663</v>
      </c>
      <c r="W968" s="12" t="b">
        <f t="shared" si="113"/>
        <v>0</v>
      </c>
    </row>
    <row r="969" spans="1:23">
      <c r="A969" s="26">
        <v>968</v>
      </c>
      <c r="B969" s="27">
        <v>40586</v>
      </c>
      <c r="C969" s="12">
        <v>2</v>
      </c>
      <c r="D969" s="12">
        <v>22</v>
      </c>
      <c r="E969" s="12" t="b">
        <v>0</v>
      </c>
      <c r="F969" s="12">
        <v>6</v>
      </c>
      <c r="G969" s="12">
        <v>1</v>
      </c>
      <c r="H969" s="12">
        <v>0.24</v>
      </c>
      <c r="I969" s="12">
        <v>0.2576</v>
      </c>
      <c r="J969" s="12">
        <v>0.44</v>
      </c>
      <c r="K969" s="12">
        <v>8.9599999999999999E-2</v>
      </c>
      <c r="L969" s="12">
        <v>6</v>
      </c>
      <c r="M969" s="12">
        <v>39</v>
      </c>
      <c r="N969" s="12">
        <v>45</v>
      </c>
      <c r="O969" s="12" t="str">
        <f>VLOOKUP(G969,calculate_field!$B$2:$C$5,2,FALSE)</f>
        <v>Clear/Partly Cloudy</v>
      </c>
      <c r="P969" s="12" t="str">
        <f t="shared" si="107"/>
        <v>Saturday</v>
      </c>
      <c r="Q969" s="12" t="str">
        <f t="shared" si="108"/>
        <v>Weekend</v>
      </c>
      <c r="R969" s="12" t="str">
        <f t="shared" si="109"/>
        <v>Night</v>
      </c>
      <c r="S969" s="28" t="str">
        <f>INDEX(calculate_field!$F$2:$F$4, MATCH(H969, calculate_field!$E$2:$E$4, 1))</f>
        <v>Mild</v>
      </c>
      <c r="T969" s="33">
        <f t="shared" si="110"/>
        <v>68.166666666666671</v>
      </c>
      <c r="U969" s="33">
        <f t="shared" si="111"/>
        <v>55.774130411763529</v>
      </c>
      <c r="V969" s="33">
        <f t="shared" si="112"/>
        <v>0.48089758501900787</v>
      </c>
      <c r="W969" s="12" t="b">
        <f t="shared" si="113"/>
        <v>0</v>
      </c>
    </row>
    <row r="970" spans="1:23">
      <c r="A970" s="26">
        <v>969</v>
      </c>
      <c r="B970" s="27">
        <v>40586</v>
      </c>
      <c r="C970" s="12">
        <v>2</v>
      </c>
      <c r="D970" s="12">
        <v>23</v>
      </c>
      <c r="E970" s="12" t="b">
        <v>0</v>
      </c>
      <c r="F970" s="12">
        <v>6</v>
      </c>
      <c r="G970" s="12">
        <v>1</v>
      </c>
      <c r="H970" s="12">
        <v>0.22</v>
      </c>
      <c r="I970" s="12">
        <v>0.2273</v>
      </c>
      <c r="J970" s="12">
        <v>0.51</v>
      </c>
      <c r="K970" s="12">
        <v>0.1343</v>
      </c>
      <c r="L970" s="12">
        <v>1</v>
      </c>
      <c r="M970" s="12">
        <v>31</v>
      </c>
      <c r="N970" s="12">
        <v>32</v>
      </c>
      <c r="O970" s="12" t="str">
        <f>VLOOKUP(G970,calculate_field!$B$2:$C$5,2,FALSE)</f>
        <v>Clear/Partly Cloudy</v>
      </c>
      <c r="P970" s="12" t="str">
        <f t="shared" si="107"/>
        <v>Saturday</v>
      </c>
      <c r="Q970" s="12" t="str">
        <f t="shared" si="108"/>
        <v>Weekend</v>
      </c>
      <c r="R970" s="12" t="str">
        <f t="shared" si="109"/>
        <v>Night</v>
      </c>
      <c r="S970" s="28" t="str">
        <f>INDEX(calculate_field!$F$2:$F$4, MATCH(H970, calculate_field!$E$2:$E$4, 1))</f>
        <v>Mild</v>
      </c>
      <c r="T970" s="33">
        <f t="shared" si="110"/>
        <v>67.541666666666671</v>
      </c>
      <c r="U970" s="33">
        <f t="shared" si="111"/>
        <v>56.127943259064409</v>
      </c>
      <c r="V970" s="33">
        <f t="shared" si="112"/>
        <v>0.31811033203369526</v>
      </c>
      <c r="W970" s="12" t="b">
        <f t="shared" si="113"/>
        <v>0</v>
      </c>
    </row>
    <row r="971" spans="1:23">
      <c r="A971" s="26">
        <v>970</v>
      </c>
      <c r="B971" s="27">
        <v>40587</v>
      </c>
      <c r="C971" s="12">
        <v>2</v>
      </c>
      <c r="D971" s="12">
        <v>0</v>
      </c>
      <c r="E971" s="12" t="b">
        <v>0</v>
      </c>
      <c r="F971" s="12">
        <v>0</v>
      </c>
      <c r="G971" s="12">
        <v>1</v>
      </c>
      <c r="H971" s="12">
        <v>0.2</v>
      </c>
      <c r="I971" s="12">
        <v>0.2273</v>
      </c>
      <c r="J971" s="12">
        <v>0.64</v>
      </c>
      <c r="K971" s="12">
        <v>0.1045</v>
      </c>
      <c r="L971" s="12">
        <v>5</v>
      </c>
      <c r="M971" s="12">
        <v>34</v>
      </c>
      <c r="N971" s="12">
        <v>39</v>
      </c>
      <c r="O971" s="12" t="str">
        <f>VLOOKUP(G971,calculate_field!$B$2:$C$5,2,FALSE)</f>
        <v>Clear/Partly Cloudy</v>
      </c>
      <c r="P971" s="12" t="str">
        <f t="shared" si="107"/>
        <v>Sunday</v>
      </c>
      <c r="Q971" s="12" t="str">
        <f t="shared" si="108"/>
        <v>Weekend</v>
      </c>
      <c r="R971" s="12" t="str">
        <f t="shared" si="109"/>
        <v>Night</v>
      </c>
      <c r="S971" s="28" t="str">
        <f>INDEX(calculate_field!$F$2:$F$4, MATCH(H971, calculate_field!$E$2:$E$4, 1))</f>
        <v>Mild</v>
      </c>
      <c r="T971" s="33">
        <f t="shared" si="110"/>
        <v>66.666666666666671</v>
      </c>
      <c r="U971" s="33">
        <f t="shared" si="111"/>
        <v>56.864955714445053</v>
      </c>
      <c r="V971" s="33">
        <f t="shared" si="112"/>
        <v>-0.23866963192429874</v>
      </c>
      <c r="W971" s="12" t="b">
        <f t="shared" si="113"/>
        <v>0</v>
      </c>
    </row>
    <row r="972" spans="1:23">
      <c r="A972" s="26">
        <v>971</v>
      </c>
      <c r="B972" s="27">
        <v>40587</v>
      </c>
      <c r="C972" s="12">
        <v>2</v>
      </c>
      <c r="D972" s="12">
        <v>1</v>
      </c>
      <c r="E972" s="12" t="b">
        <v>0</v>
      </c>
      <c r="F972" s="12">
        <v>0</v>
      </c>
      <c r="G972" s="12">
        <v>1</v>
      </c>
      <c r="H972" s="12">
        <v>0.2</v>
      </c>
      <c r="I972" s="12">
        <v>0.2273</v>
      </c>
      <c r="J972" s="12">
        <v>0.59</v>
      </c>
      <c r="K972" s="12">
        <v>8.9599999999999999E-2</v>
      </c>
      <c r="L972" s="12">
        <v>1</v>
      </c>
      <c r="M972" s="12">
        <v>23</v>
      </c>
      <c r="N972" s="12">
        <v>24</v>
      </c>
      <c r="O972" s="12" t="str">
        <f>VLOOKUP(G972,calculate_field!$B$2:$C$5,2,FALSE)</f>
        <v>Clear/Partly Cloudy</v>
      </c>
      <c r="P972" s="12" t="str">
        <f t="shared" si="107"/>
        <v>Sunday</v>
      </c>
      <c r="Q972" s="12" t="str">
        <f t="shared" si="108"/>
        <v>Weekend</v>
      </c>
      <c r="R972" s="12" t="str">
        <f t="shared" si="109"/>
        <v>Night</v>
      </c>
      <c r="S972" s="28" t="str">
        <f>INDEX(calculate_field!$F$2:$F$4, MATCH(H972, calculate_field!$E$2:$E$4, 1))</f>
        <v>Mild</v>
      </c>
      <c r="T972" s="33">
        <f t="shared" si="110"/>
        <v>65.333333333333329</v>
      </c>
      <c r="U972" s="33">
        <f t="shared" si="111"/>
        <v>57.907472422122176</v>
      </c>
      <c r="V972" s="33">
        <f t="shared" si="112"/>
        <v>-0.36647596887325284</v>
      </c>
      <c r="W972" s="12" t="b">
        <f t="shared" si="113"/>
        <v>0</v>
      </c>
    </row>
    <row r="973" spans="1:23">
      <c r="A973" s="26">
        <v>972</v>
      </c>
      <c r="B973" s="27">
        <v>40587</v>
      </c>
      <c r="C973" s="12">
        <v>2</v>
      </c>
      <c r="D973" s="12">
        <v>2</v>
      </c>
      <c r="E973" s="12" t="b">
        <v>0</v>
      </c>
      <c r="F973" s="12">
        <v>0</v>
      </c>
      <c r="G973" s="12">
        <v>2</v>
      </c>
      <c r="H973" s="12">
        <v>0.2</v>
      </c>
      <c r="I973" s="12">
        <v>0.2273</v>
      </c>
      <c r="J973" s="12">
        <v>0.75</v>
      </c>
      <c r="K973" s="12">
        <v>8.9599999999999999E-2</v>
      </c>
      <c r="L973" s="12">
        <v>1</v>
      </c>
      <c r="M973" s="12">
        <v>19</v>
      </c>
      <c r="N973" s="12">
        <v>20</v>
      </c>
      <c r="O973" s="12" t="str">
        <f>VLOOKUP(G973,calculate_field!$B$2:$C$5,2,FALSE)</f>
        <v xml:space="preserve">Mist / cloudy </v>
      </c>
      <c r="P973" s="12" t="str">
        <f t="shared" si="107"/>
        <v>Sunday</v>
      </c>
      <c r="Q973" s="12" t="str">
        <f t="shared" si="108"/>
        <v>Weekend</v>
      </c>
      <c r="R973" s="12" t="str">
        <f t="shared" si="109"/>
        <v>Night</v>
      </c>
      <c r="S973" s="28" t="str">
        <f>INDEX(calculate_field!$F$2:$F$4, MATCH(H973, calculate_field!$E$2:$E$4, 1))</f>
        <v>Mild</v>
      </c>
      <c r="T973" s="33">
        <f t="shared" si="110"/>
        <v>64.416666666666671</v>
      </c>
      <c r="U973" s="33">
        <f t="shared" si="111"/>
        <v>58.758101507397456</v>
      </c>
      <c r="V973" s="33">
        <f t="shared" si="112"/>
        <v>-0.52588618386583597</v>
      </c>
      <c r="W973" s="12" t="b">
        <f t="shared" si="113"/>
        <v>0</v>
      </c>
    </row>
    <row r="974" spans="1:23">
      <c r="A974" s="26">
        <v>973</v>
      </c>
      <c r="B974" s="27">
        <v>40587</v>
      </c>
      <c r="C974" s="12">
        <v>2</v>
      </c>
      <c r="D974" s="12">
        <v>3</v>
      </c>
      <c r="E974" s="12" t="b">
        <v>0</v>
      </c>
      <c r="F974" s="12">
        <v>0</v>
      </c>
      <c r="G974" s="12">
        <v>2</v>
      </c>
      <c r="H974" s="12">
        <v>0.2</v>
      </c>
      <c r="I974" s="12">
        <v>0.2273</v>
      </c>
      <c r="J974" s="12">
        <v>0.69</v>
      </c>
      <c r="K974" s="12">
        <v>0.1045</v>
      </c>
      <c r="L974" s="12">
        <v>4</v>
      </c>
      <c r="M974" s="12">
        <v>8</v>
      </c>
      <c r="N974" s="12">
        <v>12</v>
      </c>
      <c r="O974" s="12" t="str">
        <f>VLOOKUP(G974,calculate_field!$B$2:$C$5,2,FALSE)</f>
        <v xml:space="preserve">Mist / cloudy </v>
      </c>
      <c r="P974" s="12" t="str">
        <f t="shared" si="107"/>
        <v>Sunday</v>
      </c>
      <c r="Q974" s="12" t="str">
        <f t="shared" si="108"/>
        <v>Weekend</v>
      </c>
      <c r="R974" s="12" t="str">
        <f t="shared" si="109"/>
        <v>Night</v>
      </c>
      <c r="S974" s="28" t="str">
        <f>INDEX(calculate_field!$F$2:$F$4, MATCH(H974, calculate_field!$E$2:$E$4, 1))</f>
        <v>Mild</v>
      </c>
      <c r="T974" s="33">
        <f t="shared" si="110"/>
        <v>63.666666666666664</v>
      </c>
      <c r="U974" s="33">
        <f t="shared" si="111"/>
        <v>59.460375308974108</v>
      </c>
      <c r="V974" s="33">
        <f t="shared" si="112"/>
        <v>-0.5841594640632034</v>
      </c>
      <c r="W974" s="12" t="b">
        <f t="shared" si="113"/>
        <v>0</v>
      </c>
    </row>
    <row r="975" spans="1:23">
      <c r="A975" s="26">
        <v>974</v>
      </c>
      <c r="B975" s="27">
        <v>40587</v>
      </c>
      <c r="C975" s="12">
        <v>2</v>
      </c>
      <c r="D975" s="12">
        <v>4</v>
      </c>
      <c r="E975" s="12" t="b">
        <v>0</v>
      </c>
      <c r="F975" s="12">
        <v>0</v>
      </c>
      <c r="G975" s="12">
        <v>2</v>
      </c>
      <c r="H975" s="12">
        <v>0.2</v>
      </c>
      <c r="I975" s="12">
        <v>0.21210000000000001</v>
      </c>
      <c r="J975" s="12">
        <v>0.69</v>
      </c>
      <c r="K975" s="12">
        <v>0.16420000000000001</v>
      </c>
      <c r="L975" s="12">
        <v>0</v>
      </c>
      <c r="M975" s="12">
        <v>2</v>
      </c>
      <c r="N975" s="12">
        <v>2</v>
      </c>
      <c r="O975" s="12" t="str">
        <f>VLOOKUP(G975,calculate_field!$B$2:$C$5,2,FALSE)</f>
        <v xml:space="preserve">Mist / cloudy </v>
      </c>
      <c r="P975" s="12" t="str">
        <f t="shared" si="107"/>
        <v>Sunday</v>
      </c>
      <c r="Q975" s="12" t="str">
        <f t="shared" si="108"/>
        <v>Weekend</v>
      </c>
      <c r="R975" s="12" t="str">
        <f t="shared" si="109"/>
        <v>Night</v>
      </c>
      <c r="S975" s="28" t="str">
        <f>INDEX(calculate_field!$F$2:$F$4, MATCH(H975, calculate_field!$E$2:$E$4, 1))</f>
        <v>Mild</v>
      </c>
      <c r="T975" s="33">
        <f t="shared" si="110"/>
        <v>63.25</v>
      </c>
      <c r="U975" s="33">
        <f t="shared" si="111"/>
        <v>59.871783293823881</v>
      </c>
      <c r="V975" s="33">
        <f t="shared" si="112"/>
        <v>-0.66904969303119688</v>
      </c>
      <c r="W975" s="12" t="b">
        <f t="shared" si="113"/>
        <v>0</v>
      </c>
    </row>
    <row r="976" spans="1:23">
      <c r="A976" s="26">
        <v>975</v>
      </c>
      <c r="B976" s="27">
        <v>40587</v>
      </c>
      <c r="C976" s="12">
        <v>2</v>
      </c>
      <c r="D976" s="12">
        <v>6</v>
      </c>
      <c r="E976" s="12" t="b">
        <v>0</v>
      </c>
      <c r="F976" s="12">
        <v>0</v>
      </c>
      <c r="G976" s="12">
        <v>2</v>
      </c>
      <c r="H976" s="12">
        <v>0.2</v>
      </c>
      <c r="I976" s="12">
        <v>0.21210000000000001</v>
      </c>
      <c r="J976" s="12">
        <v>0.69</v>
      </c>
      <c r="K976" s="12">
        <v>0.1343</v>
      </c>
      <c r="L976" s="12">
        <v>2</v>
      </c>
      <c r="M976" s="12">
        <v>3</v>
      </c>
      <c r="N976" s="12">
        <v>5</v>
      </c>
      <c r="O976" s="12" t="str">
        <f>VLOOKUP(G976,calculate_field!$B$2:$C$5,2,FALSE)</f>
        <v xml:space="preserve">Mist / cloudy </v>
      </c>
      <c r="P976" s="12" t="str">
        <f t="shared" si="107"/>
        <v>Sunday</v>
      </c>
      <c r="Q976" s="12" t="str">
        <f t="shared" si="108"/>
        <v>Weekend</v>
      </c>
      <c r="R976" s="12" t="str">
        <f t="shared" si="109"/>
        <v>Morning</v>
      </c>
      <c r="S976" s="28" t="str">
        <f>INDEX(calculate_field!$F$2:$F$4, MATCH(H976, calculate_field!$E$2:$E$4, 1))</f>
        <v>Mild</v>
      </c>
      <c r="T976" s="33">
        <f t="shared" si="110"/>
        <v>63.291666666666664</v>
      </c>
      <c r="U976" s="33">
        <f t="shared" si="111"/>
        <v>59.82763587584548</v>
      </c>
      <c r="V976" s="33">
        <f t="shared" si="112"/>
        <v>-0.79362821913970782</v>
      </c>
      <c r="W976" s="12" t="b">
        <f t="shared" si="113"/>
        <v>0</v>
      </c>
    </row>
    <row r="977" spans="1:23">
      <c r="A977" s="26">
        <v>976</v>
      </c>
      <c r="B977" s="27">
        <v>40587</v>
      </c>
      <c r="C977" s="12">
        <v>2</v>
      </c>
      <c r="D977" s="12">
        <v>7</v>
      </c>
      <c r="E977" s="12" t="b">
        <v>0</v>
      </c>
      <c r="F977" s="12">
        <v>0</v>
      </c>
      <c r="G977" s="12">
        <v>2</v>
      </c>
      <c r="H977" s="12">
        <v>0.22</v>
      </c>
      <c r="I977" s="12">
        <v>0.2727</v>
      </c>
      <c r="J977" s="12">
        <v>0.55000000000000004</v>
      </c>
      <c r="K977" s="12">
        <v>0</v>
      </c>
      <c r="L977" s="12">
        <v>0</v>
      </c>
      <c r="M977" s="12">
        <v>3</v>
      </c>
      <c r="N977" s="12">
        <v>3</v>
      </c>
      <c r="O977" s="12" t="str">
        <f>VLOOKUP(G977,calculate_field!$B$2:$C$5,2,FALSE)</f>
        <v xml:space="preserve">Mist / cloudy </v>
      </c>
      <c r="P977" s="12" t="str">
        <f t="shared" si="107"/>
        <v>Sunday</v>
      </c>
      <c r="Q977" s="12" t="str">
        <f t="shared" si="108"/>
        <v>Weekend</v>
      </c>
      <c r="R977" s="12" t="str">
        <f t="shared" si="109"/>
        <v>Morning</v>
      </c>
      <c r="S977" s="28" t="str">
        <f>INDEX(calculate_field!$F$2:$F$4, MATCH(H977, calculate_field!$E$2:$E$4, 1))</f>
        <v>Mild</v>
      </c>
      <c r="T977" s="33">
        <f t="shared" si="110"/>
        <v>64.166666666666671</v>
      </c>
      <c r="U977" s="33">
        <f t="shared" si="111"/>
        <v>59.087015175238292</v>
      </c>
      <c r="V977" s="33">
        <f t="shared" si="112"/>
        <v>-0.70710678118654757</v>
      </c>
      <c r="W977" s="12" t="b">
        <f t="shared" si="113"/>
        <v>0</v>
      </c>
    </row>
    <row r="978" spans="1:23">
      <c r="A978" s="26">
        <v>977</v>
      </c>
      <c r="B978" s="27">
        <v>40587</v>
      </c>
      <c r="C978" s="12">
        <v>2</v>
      </c>
      <c r="D978" s="12">
        <v>8</v>
      </c>
      <c r="E978" s="12" t="b">
        <v>0</v>
      </c>
      <c r="F978" s="12">
        <v>0</v>
      </c>
      <c r="G978" s="12">
        <v>2</v>
      </c>
      <c r="H978" s="12">
        <v>0.22</v>
      </c>
      <c r="I978" s="12">
        <v>0.2273</v>
      </c>
      <c r="J978" s="12">
        <v>0.64</v>
      </c>
      <c r="K978" s="12">
        <v>0.19400000000000001</v>
      </c>
      <c r="L978" s="12">
        <v>1</v>
      </c>
      <c r="M978" s="12">
        <v>11</v>
      </c>
      <c r="N978" s="12">
        <v>12</v>
      </c>
      <c r="O978" s="12" t="str">
        <f>VLOOKUP(G978,calculate_field!$B$2:$C$5,2,FALSE)</f>
        <v xml:space="preserve">Mist / cloudy </v>
      </c>
      <c r="P978" s="12" t="str">
        <f t="shared" si="107"/>
        <v>Sunday</v>
      </c>
      <c r="Q978" s="12" t="str">
        <f t="shared" si="108"/>
        <v>Weekend</v>
      </c>
      <c r="R978" s="12" t="str">
        <f t="shared" si="109"/>
        <v>Morning</v>
      </c>
      <c r="S978" s="28" t="str">
        <f>INDEX(calculate_field!$F$2:$F$4, MATCH(H978, calculate_field!$E$2:$E$4, 1))</f>
        <v>Mild</v>
      </c>
      <c r="T978" s="33">
        <f t="shared" si="110"/>
        <v>68.125</v>
      </c>
      <c r="U978" s="33">
        <f t="shared" si="111"/>
        <v>57.982990384362239</v>
      </c>
      <c r="V978" s="33" t="e">
        <f t="shared" si="112"/>
        <v>#DIV/0!</v>
      </c>
      <c r="W978" s="12" t="b">
        <f t="shared" si="113"/>
        <v>0</v>
      </c>
    </row>
    <row r="979" spans="1:23">
      <c r="A979" s="26">
        <v>978</v>
      </c>
      <c r="B979" s="27">
        <v>40587</v>
      </c>
      <c r="C979" s="12">
        <v>2</v>
      </c>
      <c r="D979" s="12">
        <v>9</v>
      </c>
      <c r="E979" s="12" t="b">
        <v>0</v>
      </c>
      <c r="F979" s="12">
        <v>0</v>
      </c>
      <c r="G979" s="12">
        <v>2</v>
      </c>
      <c r="H979" s="12">
        <v>0.24</v>
      </c>
      <c r="I979" s="12">
        <v>0.2273</v>
      </c>
      <c r="J979" s="12">
        <v>0.6</v>
      </c>
      <c r="K979" s="12">
        <v>0.22389999999999999</v>
      </c>
      <c r="L979" s="12">
        <v>12</v>
      </c>
      <c r="M979" s="12">
        <v>35</v>
      </c>
      <c r="N979" s="12">
        <v>47</v>
      </c>
      <c r="O979" s="12" t="str">
        <f>VLOOKUP(G979,calculate_field!$B$2:$C$5,2,FALSE)</f>
        <v xml:space="preserve">Mist / cloudy </v>
      </c>
      <c r="P979" s="12" t="str">
        <f t="shared" si="107"/>
        <v>Sunday</v>
      </c>
      <c r="Q979" s="12" t="str">
        <f t="shared" si="108"/>
        <v>Weekend</v>
      </c>
      <c r="R979" s="12" t="str">
        <f t="shared" si="109"/>
        <v>Morning</v>
      </c>
      <c r="S979" s="28" t="str">
        <f>INDEX(calculate_field!$F$2:$F$4, MATCH(H979, calculate_field!$E$2:$E$4, 1))</f>
        <v>Mild</v>
      </c>
      <c r="T979" s="33">
        <f t="shared" si="110"/>
        <v>70.565217391304344</v>
      </c>
      <c r="U979" s="33">
        <f t="shared" si="111"/>
        <v>58.012401563612805</v>
      </c>
      <c r="V979" s="33" t="e">
        <f t="shared" ref="V979:V1001" si="114">(N1002-U1002)/V1002</f>
        <v>#DIV/0!</v>
      </c>
      <c r="W979" s="12" t="b">
        <f t="shared" si="113"/>
        <v>0</v>
      </c>
    </row>
    <row r="980" spans="1:23">
      <c r="A980" s="26">
        <v>979</v>
      </c>
      <c r="B980" s="27">
        <v>40587</v>
      </c>
      <c r="C980" s="12">
        <v>2</v>
      </c>
      <c r="D980" s="12">
        <v>10</v>
      </c>
      <c r="E980" s="12" t="b">
        <v>0</v>
      </c>
      <c r="F980" s="12">
        <v>0</v>
      </c>
      <c r="G980" s="12">
        <v>1</v>
      </c>
      <c r="H980" s="12">
        <v>0.3</v>
      </c>
      <c r="I980" s="12">
        <v>0.2727</v>
      </c>
      <c r="J980" s="12">
        <v>0.45</v>
      </c>
      <c r="K980" s="12">
        <v>0.32840000000000003</v>
      </c>
      <c r="L980" s="12">
        <v>19</v>
      </c>
      <c r="M980" s="12">
        <v>86</v>
      </c>
      <c r="N980" s="12">
        <v>105</v>
      </c>
      <c r="O980" s="12" t="str">
        <f>VLOOKUP(G980,calculate_field!$B$2:$C$5,2,FALSE)</f>
        <v>Clear/Partly Cloudy</v>
      </c>
      <c r="P980" s="12" t="str">
        <f t="shared" si="107"/>
        <v>Sunday</v>
      </c>
      <c r="Q980" s="12" t="str">
        <f t="shared" si="108"/>
        <v>Weekend</v>
      </c>
      <c r="R980" s="12" t="str">
        <f t="shared" si="109"/>
        <v>Morning</v>
      </c>
      <c r="S980" s="28" t="str">
        <f>INDEX(calculate_field!$F$2:$F$4, MATCH(H980, calculate_field!$E$2:$E$4, 1))</f>
        <v>Warm</v>
      </c>
      <c r="T980" s="33">
        <f t="shared" si="110"/>
        <v>71.63636363636364</v>
      </c>
      <c r="U980" s="33">
        <f t="shared" si="111"/>
        <v>59.144331495519907</v>
      </c>
      <c r="V980" s="33" t="e">
        <f t="shared" si="114"/>
        <v>#DIV/0!</v>
      </c>
      <c r="W980" s="12" t="b">
        <f t="shared" si="113"/>
        <v>0</v>
      </c>
    </row>
    <row r="981" spans="1:23">
      <c r="A981" s="26">
        <v>980</v>
      </c>
      <c r="B981" s="27">
        <v>40587</v>
      </c>
      <c r="C981" s="12">
        <v>2</v>
      </c>
      <c r="D981" s="12">
        <v>11</v>
      </c>
      <c r="E981" s="12" t="b">
        <v>0</v>
      </c>
      <c r="F981" s="12">
        <v>0</v>
      </c>
      <c r="G981" s="12">
        <v>1</v>
      </c>
      <c r="H981" s="12">
        <v>0.32</v>
      </c>
      <c r="I981" s="12">
        <v>0.28789999999999999</v>
      </c>
      <c r="J981" s="12">
        <v>0.39</v>
      </c>
      <c r="K981" s="12">
        <v>0.44779999999999998</v>
      </c>
      <c r="L981" s="12">
        <v>26</v>
      </c>
      <c r="M981" s="12">
        <v>86</v>
      </c>
      <c r="N981" s="12">
        <v>112</v>
      </c>
      <c r="O981" s="12" t="str">
        <f>VLOOKUP(G981,calculate_field!$B$2:$C$5,2,FALSE)</f>
        <v>Clear/Partly Cloudy</v>
      </c>
      <c r="P981" s="12" t="str">
        <f t="shared" si="107"/>
        <v>Sunday</v>
      </c>
      <c r="Q981" s="12" t="str">
        <f t="shared" si="108"/>
        <v>Weekend</v>
      </c>
      <c r="R981" s="12" t="str">
        <f t="shared" si="109"/>
        <v>Morning</v>
      </c>
      <c r="S981" s="28" t="str">
        <f>INDEX(calculate_field!$F$2:$F$4, MATCH(H981, calculate_field!$E$2:$E$4, 1))</f>
        <v>Warm</v>
      </c>
      <c r="T981" s="33">
        <f t="shared" si="110"/>
        <v>70.047619047619051</v>
      </c>
      <c r="U981" s="33">
        <f t="shared" si="111"/>
        <v>60.121939581550585</v>
      </c>
      <c r="V981" s="33" t="e">
        <f t="shared" si="114"/>
        <v>#DIV/0!</v>
      </c>
      <c r="W981" s="12" t="b">
        <f t="shared" si="113"/>
        <v>0</v>
      </c>
    </row>
    <row r="982" spans="1:23">
      <c r="A982" s="26">
        <v>981</v>
      </c>
      <c r="B982" s="27">
        <v>40587</v>
      </c>
      <c r="C982" s="12">
        <v>2</v>
      </c>
      <c r="D982" s="12">
        <v>12</v>
      </c>
      <c r="E982" s="12" t="b">
        <v>0</v>
      </c>
      <c r="F982" s="12">
        <v>0</v>
      </c>
      <c r="G982" s="12">
        <v>1</v>
      </c>
      <c r="H982" s="12">
        <v>0.36</v>
      </c>
      <c r="I982" s="12">
        <v>0.31819999999999998</v>
      </c>
      <c r="J982" s="12">
        <v>0.32</v>
      </c>
      <c r="K982" s="12">
        <v>0.4627</v>
      </c>
      <c r="L982" s="12">
        <v>58</v>
      </c>
      <c r="M982" s="12">
        <v>94</v>
      </c>
      <c r="N982" s="12">
        <v>152</v>
      </c>
      <c r="O982" s="12" t="str">
        <f>VLOOKUP(G982,calculate_field!$B$2:$C$5,2,FALSE)</f>
        <v>Clear/Partly Cloudy</v>
      </c>
      <c r="P982" s="12" t="str">
        <f t="shared" si="107"/>
        <v>Sunday</v>
      </c>
      <c r="Q982" s="12" t="str">
        <f t="shared" si="108"/>
        <v>Weekend</v>
      </c>
      <c r="R982" s="12" t="str">
        <f t="shared" si="109"/>
        <v>Afternoon</v>
      </c>
      <c r="S982" s="28" t="str">
        <f>INDEX(calculate_field!$F$2:$F$4, MATCH(H982, calculate_field!$E$2:$E$4, 1))</f>
        <v>Warm</v>
      </c>
      <c r="T982" s="33">
        <f t="shared" si="110"/>
        <v>67.95</v>
      </c>
      <c r="U982" s="33">
        <f t="shared" si="111"/>
        <v>60.890302572482106</v>
      </c>
      <c r="V982" s="33" t="e">
        <f t="shared" si="114"/>
        <v>#DIV/0!</v>
      </c>
      <c r="W982" s="12" t="b">
        <f t="shared" si="113"/>
        <v>0</v>
      </c>
    </row>
    <row r="983" spans="1:23">
      <c r="A983" s="26">
        <v>982</v>
      </c>
      <c r="B983" s="27">
        <v>40587</v>
      </c>
      <c r="C983" s="12">
        <v>2</v>
      </c>
      <c r="D983" s="12">
        <v>13</v>
      </c>
      <c r="E983" s="12" t="b">
        <v>0</v>
      </c>
      <c r="F983" s="12">
        <v>0</v>
      </c>
      <c r="G983" s="12">
        <v>1</v>
      </c>
      <c r="H983" s="12">
        <v>0.38</v>
      </c>
      <c r="I983" s="12">
        <v>0.39389999999999997</v>
      </c>
      <c r="J983" s="12">
        <v>0.28999999999999998</v>
      </c>
      <c r="K983" s="12">
        <v>0.35820000000000002</v>
      </c>
      <c r="L983" s="12">
        <v>62</v>
      </c>
      <c r="M983" s="12">
        <v>92</v>
      </c>
      <c r="N983" s="12">
        <v>154</v>
      </c>
      <c r="O983" s="12" t="str">
        <f>VLOOKUP(G983,calculate_field!$B$2:$C$5,2,FALSE)</f>
        <v>Clear/Partly Cloudy</v>
      </c>
      <c r="P983" s="12" t="str">
        <f t="shared" si="107"/>
        <v>Sunday</v>
      </c>
      <c r="Q983" s="12" t="str">
        <f t="shared" si="108"/>
        <v>Weekend</v>
      </c>
      <c r="R983" s="12" t="str">
        <f t="shared" si="109"/>
        <v>Afternoon</v>
      </c>
      <c r="S983" s="28" t="str">
        <f>INDEX(calculate_field!$F$2:$F$4, MATCH(H983, calculate_field!$E$2:$E$4, 1))</f>
        <v>Warm</v>
      </c>
      <c r="T983" s="33">
        <f t="shared" si="110"/>
        <v>63.526315789473685</v>
      </c>
      <c r="U983" s="33">
        <f t="shared" si="111"/>
        <v>59.164899899492433</v>
      </c>
      <c r="V983" s="33" t="e">
        <f t="shared" si="114"/>
        <v>#DIV/0!</v>
      </c>
      <c r="W983" s="12" t="b">
        <f t="shared" si="113"/>
        <v>0</v>
      </c>
    </row>
    <row r="984" spans="1:23">
      <c r="A984" s="26">
        <v>983</v>
      </c>
      <c r="B984" s="27">
        <v>40587</v>
      </c>
      <c r="C984" s="12">
        <v>2</v>
      </c>
      <c r="D984" s="12">
        <v>14</v>
      </c>
      <c r="E984" s="12" t="b">
        <v>0</v>
      </c>
      <c r="F984" s="12">
        <v>0</v>
      </c>
      <c r="G984" s="12">
        <v>2</v>
      </c>
      <c r="H984" s="12">
        <v>0.4</v>
      </c>
      <c r="I984" s="12">
        <v>0.40910000000000002</v>
      </c>
      <c r="J984" s="12">
        <v>0.3</v>
      </c>
      <c r="K984" s="12">
        <v>0.41789999999999999</v>
      </c>
      <c r="L984" s="12">
        <v>51</v>
      </c>
      <c r="M984" s="12">
        <v>110</v>
      </c>
      <c r="N984" s="12">
        <v>161</v>
      </c>
      <c r="O984" s="12" t="str">
        <f>VLOOKUP(G984,calculate_field!$B$2:$C$5,2,FALSE)</f>
        <v xml:space="preserve">Mist / cloudy </v>
      </c>
      <c r="P984" s="12" t="str">
        <f t="shared" si="107"/>
        <v>Sunday</v>
      </c>
      <c r="Q984" s="12" t="str">
        <f t="shared" si="108"/>
        <v>Weekend</v>
      </c>
      <c r="R984" s="12" t="str">
        <f t="shared" si="109"/>
        <v>Afternoon</v>
      </c>
      <c r="S984" s="28" t="str">
        <f>INDEX(calculate_field!$F$2:$F$4, MATCH(H984, calculate_field!$E$2:$E$4, 1))</f>
        <v>Warm</v>
      </c>
      <c r="T984" s="33">
        <f t="shared" si="110"/>
        <v>58.5</v>
      </c>
      <c r="U984" s="33">
        <f t="shared" si="111"/>
        <v>56.552162282476246</v>
      </c>
      <c r="V984" s="33" t="e">
        <f t="shared" si="114"/>
        <v>#DIV/0!</v>
      </c>
      <c r="W984" s="12" t="b">
        <f t="shared" si="113"/>
        <v>0</v>
      </c>
    </row>
    <row r="985" spans="1:23">
      <c r="A985" s="26">
        <v>984</v>
      </c>
      <c r="B985" s="27">
        <v>40587</v>
      </c>
      <c r="C985" s="12">
        <v>2</v>
      </c>
      <c r="D985" s="12">
        <v>15</v>
      </c>
      <c r="E985" s="12" t="b">
        <v>0</v>
      </c>
      <c r="F985" s="12">
        <v>0</v>
      </c>
      <c r="G985" s="12">
        <v>2</v>
      </c>
      <c r="H985" s="12">
        <v>0.4</v>
      </c>
      <c r="I985" s="12">
        <v>0.40910000000000002</v>
      </c>
      <c r="J985" s="12">
        <v>0.3</v>
      </c>
      <c r="K985" s="12">
        <v>0.29849999999999999</v>
      </c>
      <c r="L985" s="12">
        <v>40</v>
      </c>
      <c r="M985" s="12">
        <v>122</v>
      </c>
      <c r="N985" s="12">
        <v>162</v>
      </c>
      <c r="O985" s="12" t="str">
        <f>VLOOKUP(G985,calculate_field!$B$2:$C$5,2,FALSE)</f>
        <v xml:space="preserve">Mist / cloudy </v>
      </c>
      <c r="P985" s="12" t="str">
        <f t="shared" si="107"/>
        <v>Sunday</v>
      </c>
      <c r="Q985" s="12" t="str">
        <f t="shared" si="108"/>
        <v>Weekend</v>
      </c>
      <c r="R985" s="12" t="str">
        <f t="shared" si="109"/>
        <v>Afternoon</v>
      </c>
      <c r="S985" s="28" t="str">
        <f>INDEX(calculate_field!$F$2:$F$4, MATCH(H985, calculate_field!$E$2:$E$4, 1))</f>
        <v>Warm</v>
      </c>
      <c r="T985" s="33">
        <f t="shared" si="110"/>
        <v>52.470588235294116</v>
      </c>
      <c r="U985" s="33">
        <f t="shared" si="111"/>
        <v>51.988120815070374</v>
      </c>
      <c r="V985" s="33" t="e">
        <f t="shared" si="114"/>
        <v>#DIV/0!</v>
      </c>
      <c r="W985" s="12" t="b">
        <f t="shared" si="113"/>
        <v>0</v>
      </c>
    </row>
    <row r="986" spans="1:23">
      <c r="A986" s="26">
        <v>985</v>
      </c>
      <c r="B986" s="27">
        <v>40587</v>
      </c>
      <c r="C986" s="12">
        <v>2</v>
      </c>
      <c r="D986" s="12">
        <v>16</v>
      </c>
      <c r="E986" s="12" t="b">
        <v>0</v>
      </c>
      <c r="F986" s="12">
        <v>0</v>
      </c>
      <c r="G986" s="12">
        <v>2</v>
      </c>
      <c r="H986" s="12">
        <v>0.42</v>
      </c>
      <c r="I986" s="12">
        <v>0.42420000000000002</v>
      </c>
      <c r="J986" s="12">
        <v>0.28000000000000003</v>
      </c>
      <c r="K986" s="12">
        <v>0.32840000000000003</v>
      </c>
      <c r="L986" s="12">
        <v>28</v>
      </c>
      <c r="M986" s="12">
        <v>106</v>
      </c>
      <c r="N986" s="12">
        <v>134</v>
      </c>
      <c r="O986" s="12" t="str">
        <f>VLOOKUP(G986,calculate_field!$B$2:$C$5,2,FALSE)</f>
        <v xml:space="preserve">Mist / cloudy </v>
      </c>
      <c r="P986" s="12" t="str">
        <f t="shared" si="107"/>
        <v>Sunday</v>
      </c>
      <c r="Q986" s="12" t="str">
        <f t="shared" si="108"/>
        <v>Weekend</v>
      </c>
      <c r="R986" s="12" t="str">
        <f t="shared" si="109"/>
        <v>Afternoon</v>
      </c>
      <c r="S986" s="28" t="str">
        <f>INDEX(calculate_field!$F$2:$F$4, MATCH(H986, calculate_field!$E$2:$E$4, 1))</f>
        <v>Warm</v>
      </c>
      <c r="T986" s="33">
        <f t="shared" si="110"/>
        <v>45.625</v>
      </c>
      <c r="U986" s="33">
        <f t="shared" si="111"/>
        <v>45.090834249693508</v>
      </c>
      <c r="V986" s="33" t="e">
        <f t="shared" si="114"/>
        <v>#DIV/0!</v>
      </c>
      <c r="W986" s="12" t="b">
        <f t="shared" ref="W986:W1001" si="115">IFERROR(ABS(W1002)&gt;1.5,FALSE)</f>
        <v>0</v>
      </c>
    </row>
    <row r="987" spans="1:23">
      <c r="A987" s="26">
        <v>986</v>
      </c>
      <c r="B987" s="27">
        <v>40587</v>
      </c>
      <c r="C987" s="12">
        <v>2</v>
      </c>
      <c r="D987" s="12">
        <v>17</v>
      </c>
      <c r="E987" s="12" t="b">
        <v>0</v>
      </c>
      <c r="F987" s="12">
        <v>0</v>
      </c>
      <c r="G987" s="12">
        <v>1</v>
      </c>
      <c r="H987" s="12">
        <v>0.42</v>
      </c>
      <c r="I987" s="12">
        <v>0.42420000000000002</v>
      </c>
      <c r="J987" s="12">
        <v>0.28000000000000003</v>
      </c>
      <c r="K987" s="12">
        <v>0.32840000000000003</v>
      </c>
      <c r="L987" s="12">
        <v>30</v>
      </c>
      <c r="M987" s="12">
        <v>95</v>
      </c>
      <c r="N987" s="12">
        <v>125</v>
      </c>
      <c r="O987" s="12" t="str">
        <f>VLOOKUP(G987,calculate_field!$B$2:$C$5,2,FALSE)</f>
        <v>Clear/Partly Cloudy</v>
      </c>
      <c r="P987" s="12" t="str">
        <f t="shared" si="107"/>
        <v>Sunday</v>
      </c>
      <c r="Q987" s="12" t="str">
        <f t="shared" si="108"/>
        <v>Weekend</v>
      </c>
      <c r="R987" s="12" t="str">
        <f t="shared" si="109"/>
        <v>Evening</v>
      </c>
      <c r="S987" s="28" t="str">
        <f>INDEX(calculate_field!$F$2:$F$4, MATCH(H987, calculate_field!$E$2:$E$4, 1))</f>
        <v>Warm</v>
      </c>
      <c r="T987" s="33">
        <f t="shared" si="110"/>
        <v>39.733333333333334</v>
      </c>
      <c r="U987" s="33">
        <f t="shared" si="111"/>
        <v>39.791360632081698</v>
      </c>
      <c r="V987" s="33" t="e">
        <f t="shared" si="114"/>
        <v>#DIV/0!</v>
      </c>
      <c r="W987" s="12" t="b">
        <f t="shared" si="115"/>
        <v>0</v>
      </c>
    </row>
    <row r="988" spans="1:23">
      <c r="A988" s="26">
        <v>987</v>
      </c>
      <c r="B988" s="27">
        <v>40587</v>
      </c>
      <c r="C988" s="12">
        <v>2</v>
      </c>
      <c r="D988" s="12">
        <v>18</v>
      </c>
      <c r="E988" s="12" t="b">
        <v>0</v>
      </c>
      <c r="F988" s="12">
        <v>0</v>
      </c>
      <c r="G988" s="12">
        <v>1</v>
      </c>
      <c r="H988" s="12">
        <v>0.4</v>
      </c>
      <c r="I988" s="12">
        <v>0.40910000000000002</v>
      </c>
      <c r="J988" s="12">
        <v>0.32</v>
      </c>
      <c r="K988" s="12">
        <v>0.29849999999999999</v>
      </c>
      <c r="L988" s="12">
        <v>17</v>
      </c>
      <c r="M988" s="12">
        <v>78</v>
      </c>
      <c r="N988" s="12">
        <v>95</v>
      </c>
      <c r="O988" s="12" t="str">
        <f>VLOOKUP(G988,calculate_field!$B$2:$C$5,2,FALSE)</f>
        <v>Clear/Partly Cloudy</v>
      </c>
      <c r="P988" s="12" t="str">
        <f t="shared" si="107"/>
        <v>Sunday</v>
      </c>
      <c r="Q988" s="12" t="str">
        <f t="shared" si="108"/>
        <v>Weekend</v>
      </c>
      <c r="R988" s="12" t="str">
        <f t="shared" si="109"/>
        <v>Evening</v>
      </c>
      <c r="S988" s="28" t="str">
        <f>INDEX(calculate_field!$F$2:$F$4, MATCH(H988, calculate_field!$E$2:$E$4, 1))</f>
        <v>Warm</v>
      </c>
      <c r="T988" s="33">
        <f t="shared" si="110"/>
        <v>33.642857142857146</v>
      </c>
      <c r="U988" s="33">
        <f t="shared" si="111"/>
        <v>33.255669598424269</v>
      </c>
      <c r="V988" s="33" t="e">
        <f t="shared" si="114"/>
        <v>#DIV/0!</v>
      </c>
      <c r="W988" s="12" t="b">
        <f t="shared" si="115"/>
        <v>0</v>
      </c>
    </row>
    <row r="989" spans="1:23">
      <c r="A989" s="26">
        <v>988</v>
      </c>
      <c r="B989" s="27">
        <v>40587</v>
      </c>
      <c r="C989" s="12">
        <v>2</v>
      </c>
      <c r="D989" s="12">
        <v>19</v>
      </c>
      <c r="E989" s="12" t="b">
        <v>0</v>
      </c>
      <c r="F989" s="12">
        <v>0</v>
      </c>
      <c r="G989" s="12">
        <v>1</v>
      </c>
      <c r="H989" s="12">
        <v>0.4</v>
      </c>
      <c r="I989" s="12">
        <v>0.40910000000000002</v>
      </c>
      <c r="J989" s="12">
        <v>0.35</v>
      </c>
      <c r="K989" s="12">
        <v>0.28360000000000002</v>
      </c>
      <c r="L989" s="12">
        <v>11</v>
      </c>
      <c r="M989" s="12">
        <v>50</v>
      </c>
      <c r="N989" s="12">
        <v>61</v>
      </c>
      <c r="O989" s="12" t="str">
        <f>VLOOKUP(G989,calculate_field!$B$2:$C$5,2,FALSE)</f>
        <v>Clear/Partly Cloudy</v>
      </c>
      <c r="P989" s="12" t="str">
        <f t="shared" si="107"/>
        <v>Sunday</v>
      </c>
      <c r="Q989" s="12" t="str">
        <f t="shared" si="108"/>
        <v>Weekend</v>
      </c>
      <c r="R989" s="12" t="str">
        <f t="shared" si="109"/>
        <v>Evening</v>
      </c>
      <c r="S989" s="28" t="str">
        <f>INDEX(calculate_field!$F$2:$F$4, MATCH(H989, calculate_field!$E$2:$E$4, 1))</f>
        <v>Warm</v>
      </c>
      <c r="T989" s="33">
        <f t="shared" si="110"/>
        <v>28.923076923076923</v>
      </c>
      <c r="U989" s="33">
        <f t="shared" si="111"/>
        <v>29.329909473838981</v>
      </c>
      <c r="V989" s="33" t="e">
        <f t="shared" si="114"/>
        <v>#DIV/0!</v>
      </c>
      <c r="W989" s="12" t="b">
        <f t="shared" si="115"/>
        <v>0</v>
      </c>
    </row>
    <row r="990" spans="1:23">
      <c r="A990" s="26">
        <v>989</v>
      </c>
      <c r="B990" s="27">
        <v>40587</v>
      </c>
      <c r="C990" s="12">
        <v>2</v>
      </c>
      <c r="D990" s="12">
        <v>20</v>
      </c>
      <c r="E990" s="12" t="b">
        <v>0</v>
      </c>
      <c r="F990" s="12">
        <v>0</v>
      </c>
      <c r="G990" s="12">
        <v>1</v>
      </c>
      <c r="H990" s="12">
        <v>0.4</v>
      </c>
      <c r="I990" s="12">
        <v>0.40910000000000002</v>
      </c>
      <c r="J990" s="12">
        <v>0.35</v>
      </c>
      <c r="K990" s="12">
        <v>0.32840000000000003</v>
      </c>
      <c r="L990" s="12">
        <v>15</v>
      </c>
      <c r="M990" s="12">
        <v>32</v>
      </c>
      <c r="N990" s="12">
        <v>47</v>
      </c>
      <c r="O990" s="12" t="str">
        <f>VLOOKUP(G990,calculate_field!$B$2:$C$5,2,FALSE)</f>
        <v>Clear/Partly Cloudy</v>
      </c>
      <c r="P990" s="12" t="str">
        <f t="shared" si="107"/>
        <v>Sunday</v>
      </c>
      <c r="Q990" s="12" t="str">
        <f t="shared" si="108"/>
        <v>Weekend</v>
      </c>
      <c r="R990" s="12" t="str">
        <f t="shared" si="109"/>
        <v>Evening</v>
      </c>
      <c r="S990" s="28" t="str">
        <f>INDEX(calculate_field!$F$2:$F$4, MATCH(H990, calculate_field!$E$2:$E$4, 1))</f>
        <v>Warm</v>
      </c>
      <c r="T990" s="33">
        <f t="shared" si="110"/>
        <v>26.25</v>
      </c>
      <c r="U990" s="33">
        <f t="shared" si="111"/>
        <v>28.932916139989008</v>
      </c>
      <c r="V990" s="33" t="e">
        <f t="shared" si="114"/>
        <v>#DIV/0!</v>
      </c>
      <c r="W990" s="12" t="b">
        <f t="shared" si="115"/>
        <v>0</v>
      </c>
    </row>
    <row r="991" spans="1:23">
      <c r="A991" s="26">
        <v>990</v>
      </c>
      <c r="B991" s="27">
        <v>40587</v>
      </c>
      <c r="C991" s="12">
        <v>2</v>
      </c>
      <c r="D991" s="12">
        <v>21</v>
      </c>
      <c r="E991" s="12" t="b">
        <v>0</v>
      </c>
      <c r="F991" s="12">
        <v>0</v>
      </c>
      <c r="G991" s="12">
        <v>1</v>
      </c>
      <c r="H991" s="12">
        <v>0.4</v>
      </c>
      <c r="I991" s="12">
        <v>0.40910000000000002</v>
      </c>
      <c r="J991" s="12">
        <v>0.35</v>
      </c>
      <c r="K991" s="12">
        <v>0.35820000000000002</v>
      </c>
      <c r="L991" s="12">
        <v>6</v>
      </c>
      <c r="M991" s="12">
        <v>45</v>
      </c>
      <c r="N991" s="12">
        <v>51</v>
      </c>
      <c r="O991" s="12" t="str">
        <f>VLOOKUP(G991,calculate_field!$B$2:$C$5,2,FALSE)</f>
        <v>Clear/Partly Cloudy</v>
      </c>
      <c r="P991" s="12" t="str">
        <f t="shared" si="107"/>
        <v>Sunday</v>
      </c>
      <c r="Q991" s="12" t="str">
        <f t="shared" si="108"/>
        <v>Weekend</v>
      </c>
      <c r="R991" s="12" t="str">
        <f t="shared" si="109"/>
        <v>Night</v>
      </c>
      <c r="S991" s="28" t="str">
        <f>INDEX(calculate_field!$F$2:$F$4, MATCH(H991, calculate_field!$E$2:$E$4, 1))</f>
        <v>Warm</v>
      </c>
      <c r="T991" s="33">
        <f t="shared" si="110"/>
        <v>24.363636363636363</v>
      </c>
      <c r="U991" s="33">
        <f t="shared" si="111"/>
        <v>29.561030859131851</v>
      </c>
      <c r="V991" s="33" t="e">
        <f t="shared" si="114"/>
        <v>#DIV/0!</v>
      </c>
      <c r="W991" s="12" t="b">
        <f t="shared" si="115"/>
        <v>0</v>
      </c>
    </row>
    <row r="992" spans="1:23">
      <c r="A992" s="26">
        <v>991</v>
      </c>
      <c r="B992" s="27">
        <v>40587</v>
      </c>
      <c r="C992" s="12">
        <v>2</v>
      </c>
      <c r="D992" s="12">
        <v>22</v>
      </c>
      <c r="E992" s="12" t="b">
        <v>0</v>
      </c>
      <c r="F992" s="12">
        <v>0</v>
      </c>
      <c r="G992" s="12">
        <v>1</v>
      </c>
      <c r="H992" s="12">
        <v>0.4</v>
      </c>
      <c r="I992" s="12">
        <v>0.40910000000000002</v>
      </c>
      <c r="J992" s="12">
        <v>0.35</v>
      </c>
      <c r="K992" s="12">
        <v>0.29849999999999999</v>
      </c>
      <c r="L992" s="12">
        <v>5</v>
      </c>
      <c r="M992" s="12">
        <v>31</v>
      </c>
      <c r="N992" s="12">
        <v>36</v>
      </c>
      <c r="O992" s="12" t="str">
        <f>VLOOKUP(G992,calculate_field!$B$2:$C$5,2,FALSE)</f>
        <v>Clear/Partly Cloudy</v>
      </c>
      <c r="P992" s="12" t="str">
        <f t="shared" si="107"/>
        <v>Sunday</v>
      </c>
      <c r="Q992" s="12" t="str">
        <f t="shared" si="108"/>
        <v>Weekend</v>
      </c>
      <c r="R992" s="12" t="str">
        <f t="shared" si="109"/>
        <v>Night</v>
      </c>
      <c r="S992" s="28" t="str">
        <f>INDEX(calculate_field!$F$2:$F$4, MATCH(H992, calculate_field!$E$2:$E$4, 1))</f>
        <v>Warm</v>
      </c>
      <c r="T992" s="33">
        <f t="shared" si="110"/>
        <v>21.7</v>
      </c>
      <c r="U992" s="33">
        <f t="shared" si="111"/>
        <v>29.736061160371147</v>
      </c>
      <c r="V992" s="33" t="e">
        <f t="shared" si="114"/>
        <v>#DIV/0!</v>
      </c>
      <c r="W992" s="12" t="b">
        <f t="shared" si="115"/>
        <v>0</v>
      </c>
    </row>
    <row r="993" spans="1:23">
      <c r="A993" s="26">
        <v>992</v>
      </c>
      <c r="B993" s="27">
        <v>40587</v>
      </c>
      <c r="C993" s="12">
        <v>2</v>
      </c>
      <c r="D993" s="12">
        <v>23</v>
      </c>
      <c r="E993" s="12" t="b">
        <v>0</v>
      </c>
      <c r="F993" s="12">
        <v>0</v>
      </c>
      <c r="G993" s="12">
        <v>1</v>
      </c>
      <c r="H993" s="12">
        <v>0.4</v>
      </c>
      <c r="I993" s="12">
        <v>0.40910000000000002</v>
      </c>
      <c r="J993" s="12">
        <v>0.35</v>
      </c>
      <c r="K993" s="12">
        <v>0.35820000000000002</v>
      </c>
      <c r="L993" s="12">
        <v>3</v>
      </c>
      <c r="M993" s="12">
        <v>27</v>
      </c>
      <c r="N993" s="12">
        <v>30</v>
      </c>
      <c r="O993" s="12" t="str">
        <f>VLOOKUP(G993,calculate_field!$B$2:$C$5,2,FALSE)</f>
        <v>Clear/Partly Cloudy</v>
      </c>
      <c r="P993" s="12" t="str">
        <f t="shared" si="107"/>
        <v>Sunday</v>
      </c>
      <c r="Q993" s="12" t="str">
        <f t="shared" si="108"/>
        <v>Weekend</v>
      </c>
      <c r="R993" s="12" t="str">
        <f t="shared" si="109"/>
        <v>Night</v>
      </c>
      <c r="S993" s="28" t="str">
        <f>INDEX(calculate_field!$F$2:$F$4, MATCH(H993, calculate_field!$E$2:$E$4, 1))</f>
        <v>Warm</v>
      </c>
      <c r="T993" s="33">
        <f t="shared" si="110"/>
        <v>20.111111111111111</v>
      </c>
      <c r="U993" s="33">
        <f t="shared" si="111"/>
        <v>31.086349272809617</v>
      </c>
      <c r="V993" s="33" t="e">
        <f t="shared" si="114"/>
        <v>#DIV/0!</v>
      </c>
      <c r="W993" s="12" t="b">
        <f t="shared" si="115"/>
        <v>0</v>
      </c>
    </row>
    <row r="994" spans="1:23">
      <c r="A994" s="26">
        <v>993</v>
      </c>
      <c r="B994" s="27">
        <v>40588</v>
      </c>
      <c r="C994" s="12">
        <v>2</v>
      </c>
      <c r="D994" s="12">
        <v>0</v>
      </c>
      <c r="E994" s="12" t="b">
        <v>0</v>
      </c>
      <c r="F994" s="12">
        <v>1</v>
      </c>
      <c r="G994" s="12">
        <v>1</v>
      </c>
      <c r="H994" s="12">
        <v>0.38</v>
      </c>
      <c r="I994" s="12">
        <v>0.39389999999999997</v>
      </c>
      <c r="J994" s="12">
        <v>0.37</v>
      </c>
      <c r="K994" s="12">
        <v>0.35820000000000002</v>
      </c>
      <c r="L994" s="12">
        <v>3</v>
      </c>
      <c r="M994" s="12">
        <v>8</v>
      </c>
      <c r="N994" s="12">
        <v>11</v>
      </c>
      <c r="O994" s="12" t="str">
        <f>VLOOKUP(G994,calculate_field!$B$2:$C$5,2,FALSE)</f>
        <v>Clear/Partly Cloudy</v>
      </c>
      <c r="P994" s="12" t="str">
        <f t="shared" si="107"/>
        <v>Monday</v>
      </c>
      <c r="Q994" s="12" t="str">
        <f t="shared" si="108"/>
        <v>Weekday</v>
      </c>
      <c r="R994" s="12" t="str">
        <f t="shared" si="109"/>
        <v>Night</v>
      </c>
      <c r="S994" s="28" t="str">
        <f>INDEX(calculate_field!$F$2:$F$4, MATCH(H994, calculate_field!$E$2:$E$4, 1))</f>
        <v>Warm</v>
      </c>
      <c r="T994" s="33">
        <f t="shared" si="110"/>
        <v>18.875</v>
      </c>
      <c r="U994" s="33">
        <f t="shared" si="111"/>
        <v>32.99540011231003</v>
      </c>
      <c r="V994" s="33" t="e">
        <f t="shared" si="114"/>
        <v>#DIV/0!</v>
      </c>
      <c r="W994" s="12" t="b">
        <f t="shared" si="115"/>
        <v>0</v>
      </c>
    </row>
    <row r="995" spans="1:23">
      <c r="A995" s="26">
        <v>994</v>
      </c>
      <c r="B995" s="27">
        <v>40588</v>
      </c>
      <c r="C995" s="12">
        <v>2</v>
      </c>
      <c r="D995" s="12">
        <v>1</v>
      </c>
      <c r="E995" s="12" t="b">
        <v>0</v>
      </c>
      <c r="F995" s="12">
        <v>1</v>
      </c>
      <c r="G995" s="12">
        <v>1</v>
      </c>
      <c r="H995" s="12">
        <v>0.38</v>
      </c>
      <c r="I995" s="12">
        <v>0.39389999999999997</v>
      </c>
      <c r="J995" s="12">
        <v>0.37</v>
      </c>
      <c r="K995" s="12">
        <v>0.35820000000000002</v>
      </c>
      <c r="L995" s="12">
        <v>1</v>
      </c>
      <c r="M995" s="12">
        <v>6</v>
      </c>
      <c r="N995" s="12">
        <v>7</v>
      </c>
      <c r="O995" s="12" t="str">
        <f>VLOOKUP(G995,calculate_field!$B$2:$C$5,2,FALSE)</f>
        <v>Clear/Partly Cloudy</v>
      </c>
      <c r="P995" s="12" t="str">
        <f t="shared" si="107"/>
        <v>Monday</v>
      </c>
      <c r="Q995" s="12" t="str">
        <f t="shared" si="108"/>
        <v>Weekday</v>
      </c>
      <c r="R995" s="12" t="str">
        <f t="shared" si="109"/>
        <v>Night</v>
      </c>
      <c r="S995" s="28" t="str">
        <f>INDEX(calculate_field!$F$2:$F$4, MATCH(H995, calculate_field!$E$2:$E$4, 1))</f>
        <v>Warm</v>
      </c>
      <c r="T995" s="33">
        <f t="shared" si="110"/>
        <v>20</v>
      </c>
      <c r="U995" s="33">
        <f t="shared" si="111"/>
        <v>35.472994422987938</v>
      </c>
      <c r="V995" s="33" t="e">
        <f t="shared" si="114"/>
        <v>#DIV/0!</v>
      </c>
      <c r="W995" s="12" t="b">
        <f t="shared" si="115"/>
        <v>0</v>
      </c>
    </row>
    <row r="996" spans="1:23">
      <c r="A996" s="26">
        <v>995</v>
      </c>
      <c r="B996" s="27">
        <v>40588</v>
      </c>
      <c r="C996" s="12">
        <v>2</v>
      </c>
      <c r="D996" s="12">
        <v>2</v>
      </c>
      <c r="E996" s="12" t="b">
        <v>0</v>
      </c>
      <c r="F996" s="12">
        <v>1</v>
      </c>
      <c r="G996" s="12">
        <v>1</v>
      </c>
      <c r="H996" s="12">
        <v>0.36</v>
      </c>
      <c r="I996" s="12">
        <v>0.33329999999999999</v>
      </c>
      <c r="J996" s="12">
        <v>0.4</v>
      </c>
      <c r="K996" s="12">
        <v>0.29849999999999999</v>
      </c>
      <c r="L996" s="12">
        <v>0</v>
      </c>
      <c r="M996" s="12">
        <v>2</v>
      </c>
      <c r="N996" s="12">
        <v>2</v>
      </c>
      <c r="O996" s="12" t="str">
        <f>VLOOKUP(G996,calculate_field!$B$2:$C$5,2,FALSE)</f>
        <v>Clear/Partly Cloudy</v>
      </c>
      <c r="P996" s="12" t="str">
        <f t="shared" si="107"/>
        <v>Monday</v>
      </c>
      <c r="Q996" s="12" t="str">
        <f t="shared" si="108"/>
        <v>Weekday</v>
      </c>
      <c r="R996" s="12" t="str">
        <f t="shared" si="109"/>
        <v>Night</v>
      </c>
      <c r="S996" s="28" t="str">
        <f>INDEX(calculate_field!$F$2:$F$4, MATCH(H996, calculate_field!$E$2:$E$4, 1))</f>
        <v>Warm</v>
      </c>
      <c r="T996" s="33">
        <f t="shared" si="110"/>
        <v>22.166666666666668</v>
      </c>
      <c r="U996" s="33">
        <f t="shared" si="111"/>
        <v>38.347968220841466</v>
      </c>
      <c r="V996" s="33" t="e">
        <f t="shared" si="114"/>
        <v>#DIV/0!</v>
      </c>
      <c r="W996" s="12" t="b">
        <f t="shared" si="115"/>
        <v>0</v>
      </c>
    </row>
    <row r="997" spans="1:23">
      <c r="A997" s="26">
        <v>996</v>
      </c>
      <c r="B997" s="27">
        <v>40588</v>
      </c>
      <c r="C997" s="12">
        <v>2</v>
      </c>
      <c r="D997" s="12">
        <v>3</v>
      </c>
      <c r="E997" s="12" t="b">
        <v>0</v>
      </c>
      <c r="F997" s="12">
        <v>1</v>
      </c>
      <c r="G997" s="12">
        <v>1</v>
      </c>
      <c r="H997" s="12">
        <v>0.34</v>
      </c>
      <c r="I997" s="12">
        <v>0.31819999999999998</v>
      </c>
      <c r="J997" s="12">
        <v>0.46</v>
      </c>
      <c r="K997" s="12">
        <v>0.22389999999999999</v>
      </c>
      <c r="L997" s="12">
        <v>1</v>
      </c>
      <c r="M997" s="12">
        <v>1</v>
      </c>
      <c r="N997" s="12">
        <v>2</v>
      </c>
      <c r="O997" s="12" t="str">
        <f>VLOOKUP(G997,calculate_field!$B$2:$C$5,2,FALSE)</f>
        <v>Clear/Partly Cloudy</v>
      </c>
      <c r="P997" s="12" t="str">
        <f t="shared" si="107"/>
        <v>Monday</v>
      </c>
      <c r="Q997" s="12" t="str">
        <f t="shared" si="108"/>
        <v>Weekday</v>
      </c>
      <c r="R997" s="12" t="str">
        <f t="shared" si="109"/>
        <v>Night</v>
      </c>
      <c r="S997" s="28" t="str">
        <f>INDEX(calculate_field!$F$2:$F$4, MATCH(H997, calculate_field!$E$2:$E$4, 1))</f>
        <v>Warm</v>
      </c>
      <c r="T997" s="33">
        <f t="shared" si="110"/>
        <v>26.2</v>
      </c>
      <c r="U997" s="33">
        <f t="shared" si="111"/>
        <v>41.427044306829323</v>
      </c>
      <c r="V997" s="33" t="e">
        <f t="shared" si="114"/>
        <v>#DIV/0!</v>
      </c>
      <c r="W997" s="12" t="b">
        <f t="shared" si="115"/>
        <v>0</v>
      </c>
    </row>
    <row r="998" spans="1:23">
      <c r="A998" s="26">
        <v>997</v>
      </c>
      <c r="B998" s="27">
        <v>40588</v>
      </c>
      <c r="C998" s="12">
        <v>2</v>
      </c>
      <c r="D998" s="12">
        <v>4</v>
      </c>
      <c r="E998" s="12" t="b">
        <v>0</v>
      </c>
      <c r="F998" s="12">
        <v>1</v>
      </c>
      <c r="G998" s="12">
        <v>1</v>
      </c>
      <c r="H998" s="12">
        <v>0.32</v>
      </c>
      <c r="I998" s="12">
        <v>0.30299999999999999</v>
      </c>
      <c r="J998" s="12">
        <v>0.53</v>
      </c>
      <c r="K998" s="12">
        <v>0.28360000000000002</v>
      </c>
      <c r="L998" s="12">
        <v>0</v>
      </c>
      <c r="M998" s="12">
        <v>2</v>
      </c>
      <c r="N998" s="12">
        <v>2</v>
      </c>
      <c r="O998" s="12" t="str">
        <f>VLOOKUP(G998,calculate_field!$B$2:$C$5,2,FALSE)</f>
        <v>Clear/Partly Cloudy</v>
      </c>
      <c r="P998" s="12" t="str">
        <f t="shared" si="107"/>
        <v>Monday</v>
      </c>
      <c r="Q998" s="12" t="str">
        <f t="shared" si="108"/>
        <v>Weekday</v>
      </c>
      <c r="R998" s="12" t="str">
        <f t="shared" si="109"/>
        <v>Night</v>
      </c>
      <c r="S998" s="28" t="str">
        <f>INDEX(calculate_field!$F$2:$F$4, MATCH(H998, calculate_field!$E$2:$E$4, 1))</f>
        <v>Warm</v>
      </c>
      <c r="T998" s="33">
        <f t="shared" si="110"/>
        <v>32.25</v>
      </c>
      <c r="U998" s="33">
        <f t="shared" si="111"/>
        <v>45.213382974513202</v>
      </c>
      <c r="V998" s="33" t="e">
        <f t="shared" si="114"/>
        <v>#DIV/0!</v>
      </c>
      <c r="W998" s="12" t="b">
        <f t="shared" si="115"/>
        <v>0</v>
      </c>
    </row>
    <row r="999" spans="1:23">
      <c r="A999" s="26">
        <v>998</v>
      </c>
      <c r="B999" s="27">
        <v>40588</v>
      </c>
      <c r="C999" s="12">
        <v>2</v>
      </c>
      <c r="D999" s="12">
        <v>5</v>
      </c>
      <c r="E999" s="12" t="b">
        <v>0</v>
      </c>
      <c r="F999" s="12">
        <v>1</v>
      </c>
      <c r="G999" s="12">
        <v>1</v>
      </c>
      <c r="H999" s="12">
        <v>0.32</v>
      </c>
      <c r="I999" s="12">
        <v>0.30299999999999999</v>
      </c>
      <c r="J999" s="12">
        <v>0.53</v>
      </c>
      <c r="K999" s="12">
        <v>0.28360000000000002</v>
      </c>
      <c r="L999" s="12">
        <v>0</v>
      </c>
      <c r="M999" s="12">
        <v>3</v>
      </c>
      <c r="N999" s="12">
        <v>3</v>
      </c>
      <c r="O999" s="12" t="str">
        <f>VLOOKUP(G999,calculate_field!$B$2:$C$5,2,FALSE)</f>
        <v>Clear/Partly Cloudy</v>
      </c>
      <c r="P999" s="12" t="str">
        <f t="shared" si="107"/>
        <v>Monday</v>
      </c>
      <c r="Q999" s="12" t="str">
        <f t="shared" si="108"/>
        <v>Weekday</v>
      </c>
      <c r="R999" s="12" t="str">
        <f t="shared" si="109"/>
        <v>Night</v>
      </c>
      <c r="S999" s="28" t="str">
        <f>INDEX(calculate_field!$F$2:$F$4, MATCH(H999, calculate_field!$E$2:$E$4, 1))</f>
        <v>Warm</v>
      </c>
      <c r="T999" s="33">
        <f t="shared" si="110"/>
        <v>42.333333333333336</v>
      </c>
      <c r="U999" s="33">
        <f t="shared" si="111"/>
        <v>49.561409718987349</v>
      </c>
      <c r="V999" s="33" t="e">
        <f t="shared" si="114"/>
        <v>#DIV/0!</v>
      </c>
      <c r="W999" s="12" t="b">
        <f t="shared" si="115"/>
        <v>0</v>
      </c>
    </row>
    <row r="1000" spans="1:23">
      <c r="A1000" s="26">
        <v>999</v>
      </c>
      <c r="B1000" s="27">
        <v>40588</v>
      </c>
      <c r="C1000" s="12">
        <v>2</v>
      </c>
      <c r="D1000" s="12">
        <v>6</v>
      </c>
      <c r="E1000" s="12" t="b">
        <v>0</v>
      </c>
      <c r="F1000" s="12">
        <v>1</v>
      </c>
      <c r="G1000" s="12">
        <v>1</v>
      </c>
      <c r="H1000" s="12">
        <v>0.34</v>
      </c>
      <c r="I1000" s="12">
        <v>0.30299999999999999</v>
      </c>
      <c r="J1000" s="12">
        <v>0.46</v>
      </c>
      <c r="K1000" s="12">
        <v>0.29849999999999999</v>
      </c>
      <c r="L1000" s="12">
        <v>1</v>
      </c>
      <c r="M1000" s="12">
        <v>25</v>
      </c>
      <c r="N1000" s="12">
        <v>26</v>
      </c>
      <c r="O1000" s="12" t="str">
        <f>VLOOKUP(G1000,calculate_field!$B$2:$C$5,2,FALSE)</f>
        <v>Clear/Partly Cloudy</v>
      </c>
      <c r="P1000" s="12" t="str">
        <f t="shared" si="107"/>
        <v>Monday</v>
      </c>
      <c r="Q1000" s="12" t="str">
        <f t="shared" si="108"/>
        <v>Weekday</v>
      </c>
      <c r="R1000" s="12" t="str">
        <f t="shared" si="109"/>
        <v>Morning</v>
      </c>
      <c r="S1000" s="28" t="str">
        <f>INDEX(calculate_field!$F$2:$F$4, MATCH(H1000, calculate_field!$E$2:$E$4, 1))</f>
        <v>Warm</v>
      </c>
      <c r="T1000" s="33">
        <f t="shared" si="110"/>
        <v>62</v>
      </c>
      <c r="U1000" s="33">
        <f t="shared" si="111"/>
        <v>50.911688245431421</v>
      </c>
      <c r="V1000" s="33" t="e">
        <f t="shared" si="114"/>
        <v>#DIV/0!</v>
      </c>
      <c r="W1000" s="12" t="b">
        <f t="shared" si="115"/>
        <v>0</v>
      </c>
    </row>
    <row r="1001" spans="1:23">
      <c r="A1001" s="16">
        <v>1000</v>
      </c>
      <c r="B1001" s="29">
        <v>40588</v>
      </c>
      <c r="C1001" s="30">
        <v>2</v>
      </c>
      <c r="D1001" s="30">
        <v>7</v>
      </c>
      <c r="E1001" s="30" t="b">
        <v>0</v>
      </c>
      <c r="F1001" s="30">
        <v>1</v>
      </c>
      <c r="G1001" s="30">
        <v>1</v>
      </c>
      <c r="H1001" s="30">
        <v>0.34</v>
      </c>
      <c r="I1001" s="30">
        <v>0.30299999999999999</v>
      </c>
      <c r="J1001" s="30">
        <v>0.46</v>
      </c>
      <c r="K1001" s="30">
        <v>0.29849999999999999</v>
      </c>
      <c r="L1001" s="30">
        <v>2</v>
      </c>
      <c r="M1001" s="30">
        <v>96</v>
      </c>
      <c r="N1001" s="30">
        <v>98</v>
      </c>
      <c r="O1001" s="30" t="str">
        <f>VLOOKUP(G1001,calculate_field!$B$2:$C$5,2,FALSE)</f>
        <v>Clear/Partly Cloudy</v>
      </c>
      <c r="P1001" s="30" t="str">
        <f t="shared" si="107"/>
        <v>Monday</v>
      </c>
      <c r="Q1001" s="30" t="str">
        <f t="shared" si="108"/>
        <v>Weekday</v>
      </c>
      <c r="R1001" s="30" t="str">
        <f t="shared" si="109"/>
        <v>Morning</v>
      </c>
      <c r="S1001" s="31" t="str">
        <f>INDEX(calculate_field!$F$2:$F$4, MATCH(H1001, calculate_field!$E$2:$E$4, 1))</f>
        <v>Warm</v>
      </c>
      <c r="T1001" s="34">
        <f t="shared" si="110"/>
        <v>98</v>
      </c>
      <c r="U1001" s="34" t="e">
        <f t="shared" si="111"/>
        <v>#DIV/0!</v>
      </c>
      <c r="V1001" s="34" t="e">
        <f t="shared" si="114"/>
        <v>#DIV/0!</v>
      </c>
      <c r="W1001" s="30" t="b">
        <f t="shared" si="115"/>
        <v>0</v>
      </c>
    </row>
  </sheetData>
  <phoneticPr fontId="4" type="noConversion"/>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2B08EE-C720-4D40-9C04-83C66CB34AF4}">
  <sheetPr>
    <tabColor rgb="FF00B0F0"/>
  </sheetPr>
  <dimension ref="A1:M1048573"/>
  <sheetViews>
    <sheetView workbookViewId="0">
      <selection activeCell="G21" sqref="G21"/>
    </sheetView>
  </sheetViews>
  <sheetFormatPr defaultRowHeight="12.75"/>
  <cols>
    <col min="1" max="1" width="4.28515625" customWidth="1"/>
    <col min="2" max="2" width="12.28515625" customWidth="1"/>
    <col min="3" max="3" width="19.28515625" customWidth="1"/>
    <col min="4" max="4" width="11.140625" customWidth="1"/>
    <col min="5" max="5" width="14.85546875" customWidth="1"/>
    <col min="6" max="6" width="17.140625" customWidth="1"/>
    <col min="7" max="7" width="14" customWidth="1"/>
    <col min="8" max="8" width="17.28515625" bestFit="1" customWidth="1"/>
    <col min="9" max="9" width="13.140625" bestFit="1" customWidth="1"/>
  </cols>
  <sheetData>
    <row r="1" spans="1:13" ht="30.75" customHeight="1">
      <c r="A1" s="2"/>
      <c r="B1" s="18" t="s">
        <v>8</v>
      </c>
      <c r="C1" s="19" t="s">
        <v>50</v>
      </c>
      <c r="D1" s="3"/>
      <c r="E1" s="18" t="s">
        <v>53</v>
      </c>
      <c r="F1" s="19" t="s">
        <v>52</v>
      </c>
      <c r="K1" s="124"/>
      <c r="L1" s="124"/>
      <c r="M1" s="124"/>
    </row>
    <row r="2" spans="1:13" ht="20.25" customHeight="1">
      <c r="A2" s="2"/>
      <c r="B2" s="14">
        <v>1</v>
      </c>
      <c r="C2" s="20" t="s">
        <v>41</v>
      </c>
      <c r="D2" s="3"/>
      <c r="E2" s="14">
        <v>0</v>
      </c>
      <c r="F2" s="20" t="s">
        <v>19</v>
      </c>
    </row>
    <row r="3" spans="1:13" ht="18.75" customHeight="1">
      <c r="A3" s="2"/>
      <c r="B3" s="14">
        <v>2</v>
      </c>
      <c r="C3" s="20" t="s">
        <v>42</v>
      </c>
      <c r="D3" s="3"/>
      <c r="E3" s="14">
        <v>0.2</v>
      </c>
      <c r="F3" s="20" t="s">
        <v>20</v>
      </c>
    </row>
    <row r="4" spans="1:13" ht="20.25" customHeight="1">
      <c r="A4" s="2"/>
      <c r="B4" s="14">
        <v>3</v>
      </c>
      <c r="C4" s="20" t="s">
        <v>43</v>
      </c>
      <c r="D4" s="3"/>
      <c r="E4" s="15">
        <v>0.3</v>
      </c>
      <c r="F4" s="21" t="s">
        <v>21</v>
      </c>
      <c r="L4" s="125"/>
      <c r="M4" s="125"/>
    </row>
    <row r="5" spans="1:13" ht="14.25" customHeight="1">
      <c r="A5" s="2"/>
      <c r="B5" s="15">
        <v>4</v>
      </c>
      <c r="C5" s="21" t="s">
        <v>44</v>
      </c>
      <c r="D5" s="2"/>
      <c r="E5" s="2"/>
      <c r="F5" s="2"/>
      <c r="G5" s="4"/>
      <c r="L5" s="125"/>
      <c r="M5" s="125"/>
    </row>
    <row r="6" spans="1:13">
      <c r="A6" s="2"/>
      <c r="B6" s="2"/>
      <c r="C6" s="2"/>
      <c r="D6" s="2"/>
      <c r="E6" s="2"/>
      <c r="F6" s="2"/>
      <c r="G6" s="4"/>
    </row>
    <row r="7" spans="1:13">
      <c r="A7" s="2"/>
      <c r="F7" s="4"/>
      <c r="G7" s="4"/>
    </row>
    <row r="8" spans="1:13">
      <c r="A8" s="2"/>
      <c r="F8" s="7"/>
      <c r="G8" s="4"/>
    </row>
    <row r="9" spans="1:13">
      <c r="A9" s="2"/>
      <c r="B9" s="18" t="s">
        <v>48</v>
      </c>
      <c r="C9" s="82" t="s">
        <v>36</v>
      </c>
      <c r="D9" s="19" t="s">
        <v>35</v>
      </c>
      <c r="F9" s="8"/>
    </row>
    <row r="10" spans="1:13">
      <c r="A10" s="2"/>
      <c r="B10" s="80" t="s">
        <v>114</v>
      </c>
      <c r="C10" s="63" t="s">
        <v>45</v>
      </c>
      <c r="D10" s="81">
        <f>SUM('clean data'!N:N)</f>
        <v>58304</v>
      </c>
      <c r="F10" s="17" t="s">
        <v>51</v>
      </c>
      <c r="G10" s="12" t="s">
        <v>108</v>
      </c>
      <c r="J10" s="65"/>
    </row>
    <row r="11" spans="1:13">
      <c r="A11" s="2"/>
      <c r="B11" s="80" t="s">
        <v>115</v>
      </c>
      <c r="C11" s="63" t="s">
        <v>46</v>
      </c>
      <c r="D11" s="81">
        <f>AVERAGE('clean data'!N:N)</f>
        <v>58.304000000000002</v>
      </c>
      <c r="F11" s="12" t="s">
        <v>41</v>
      </c>
      <c r="G11" s="33">
        <v>52.059305847411657</v>
      </c>
    </row>
    <row r="12" spans="1:13">
      <c r="A12" s="2"/>
      <c r="B12" s="80" t="s">
        <v>114</v>
      </c>
      <c r="C12" s="63" t="s">
        <v>112</v>
      </c>
      <c r="D12" s="81">
        <f>SUM('clean data'!L:L)</f>
        <v>4921</v>
      </c>
      <c r="F12" s="12" t="s">
        <v>44</v>
      </c>
      <c r="G12" s="33" t="e">
        <v>#DIV/0!</v>
      </c>
    </row>
    <row r="13" spans="1:13" ht="25.5">
      <c r="A13" s="2"/>
      <c r="B13" s="80" t="s">
        <v>114</v>
      </c>
      <c r="C13" s="63" t="s">
        <v>113</v>
      </c>
      <c r="D13" s="81">
        <f>SUM('clean data'!M:M)</f>
        <v>53383</v>
      </c>
      <c r="F13" s="12" t="s">
        <v>43</v>
      </c>
      <c r="G13" s="33">
        <v>31.519655279865617</v>
      </c>
    </row>
    <row r="14" spans="1:13">
      <c r="A14" s="2"/>
      <c r="B14" s="83"/>
      <c r="C14" s="63"/>
      <c r="D14" s="20"/>
      <c r="F14" s="12" t="s">
        <v>42</v>
      </c>
      <c r="G14" s="33">
        <v>51.424210834247987</v>
      </c>
    </row>
    <row r="15" spans="1:13">
      <c r="A15" s="2"/>
      <c r="B15" s="14"/>
      <c r="C15" s="79"/>
      <c r="D15" s="20"/>
      <c r="F15" s="12" t="s">
        <v>49</v>
      </c>
      <c r="G15" s="33">
        <v>50.985557867999354</v>
      </c>
    </row>
    <row r="16" spans="1:13" ht="12.75" customHeight="1">
      <c r="A16" s="2"/>
      <c r="B16" s="80" t="s">
        <v>30</v>
      </c>
      <c r="C16" s="63" t="s">
        <v>116</v>
      </c>
      <c r="D16" s="81">
        <f>COUNTIF('clean data'!Q:Q,"weekday")</f>
        <v>670</v>
      </c>
      <c r="F16" s="8"/>
    </row>
    <row r="17" spans="1:6" ht="12.75" customHeight="1">
      <c r="A17" s="2"/>
      <c r="B17" s="80" t="s">
        <v>30</v>
      </c>
      <c r="C17" s="63" t="s">
        <v>31</v>
      </c>
      <c r="D17" s="81">
        <f>COUNTIF('clean data'!Q:Q,'clean data'!Q2)</f>
        <v>330</v>
      </c>
      <c r="F17" s="8"/>
    </row>
    <row r="18" spans="1:6" ht="12.75" customHeight="1">
      <c r="A18" s="2"/>
      <c r="B18" s="80" t="s">
        <v>30</v>
      </c>
      <c r="C18" s="63" t="s">
        <v>33</v>
      </c>
      <c r="D18" s="81">
        <f>COUNTIF('clean data'!S:S,"cold")</f>
        <v>425</v>
      </c>
      <c r="F18" s="8"/>
    </row>
    <row r="19" spans="1:6">
      <c r="A19" s="2"/>
      <c r="B19" s="80" t="s">
        <v>30</v>
      </c>
      <c r="C19" s="63" t="s">
        <v>32</v>
      </c>
      <c r="D19" s="81">
        <f>COUNTIF('clean data'!S:S,"Warm")</f>
        <v>138</v>
      </c>
      <c r="F19" s="8"/>
    </row>
    <row r="20" spans="1:6">
      <c r="A20" s="2"/>
      <c r="B20" s="80" t="s">
        <v>30</v>
      </c>
      <c r="C20" s="63" t="s">
        <v>34</v>
      </c>
      <c r="D20" s="81">
        <f>COUNTIF('clean data'!S:S,"Mild")</f>
        <v>437</v>
      </c>
      <c r="F20" s="8"/>
    </row>
    <row r="21" spans="1:6">
      <c r="A21" s="2"/>
      <c r="B21" s="80"/>
      <c r="C21" s="63"/>
      <c r="D21" s="81"/>
      <c r="F21" s="8"/>
    </row>
    <row r="22" spans="1:6" ht="25.5">
      <c r="A22" s="2"/>
      <c r="B22" s="80" t="s">
        <v>29</v>
      </c>
      <c r="C22" s="63" t="s">
        <v>24</v>
      </c>
      <c r="D22" s="81">
        <f>SUMIF('clean data'!Q:Q,"weekend",'clean data'!N:N)</f>
        <v>15869</v>
      </c>
      <c r="F22" s="8"/>
    </row>
    <row r="23" spans="1:6" ht="25.5">
      <c r="A23" s="2"/>
      <c r="B23" s="80" t="s">
        <v>29</v>
      </c>
      <c r="C23" s="63" t="s">
        <v>25</v>
      </c>
      <c r="D23" s="81">
        <f>SUMIF('clean data'!Q:Q,"weekday",'clean data'!N:N)</f>
        <v>42435</v>
      </c>
      <c r="F23" s="8"/>
    </row>
    <row r="24" spans="1:6">
      <c r="A24" s="2"/>
      <c r="B24" s="80"/>
      <c r="C24" s="63"/>
      <c r="D24" s="81"/>
      <c r="F24" s="8"/>
    </row>
    <row r="25" spans="1:6" ht="25.5">
      <c r="A25" s="2"/>
      <c r="B25" s="80" t="s">
        <v>29</v>
      </c>
      <c r="C25" s="63" t="s">
        <v>26</v>
      </c>
      <c r="D25" s="81">
        <f>SUMIF('clean data'!S:S,"warm",'clean data'!N:N)</f>
        <v>11820</v>
      </c>
      <c r="F25" s="8"/>
    </row>
    <row r="26" spans="1:6" ht="25.5">
      <c r="A26" s="2"/>
      <c r="B26" s="80" t="s">
        <v>29</v>
      </c>
      <c r="C26" s="63" t="s">
        <v>28</v>
      </c>
      <c r="D26" s="81">
        <f>SUMIF('clean data'!S:S,"mild",'clean data'!N:N)</f>
        <v>26218</v>
      </c>
      <c r="F26" s="8"/>
    </row>
    <row r="27" spans="1:6" ht="25.5">
      <c r="A27" s="2"/>
      <c r="B27" s="80" t="s">
        <v>29</v>
      </c>
      <c r="C27" s="63" t="s">
        <v>27</v>
      </c>
      <c r="D27" s="81">
        <f>SUMIF('clean data'!S:S,"cold",'clean data'!N:N)</f>
        <v>20266</v>
      </c>
      <c r="F27" s="8"/>
    </row>
    <row r="28" spans="1:6">
      <c r="A28" s="2"/>
      <c r="B28" s="83"/>
      <c r="C28" s="13"/>
      <c r="D28" s="61"/>
      <c r="F28" s="8"/>
    </row>
    <row r="29" spans="1:6">
      <c r="A29" s="2"/>
      <c r="B29" s="14"/>
      <c r="C29" s="12"/>
      <c r="D29" s="20"/>
      <c r="F29" s="8"/>
    </row>
    <row r="30" spans="1:6">
      <c r="A30" s="2"/>
      <c r="B30" s="80"/>
      <c r="C30" s="63"/>
      <c r="D30" s="81"/>
      <c r="F30" s="8"/>
    </row>
    <row r="31" spans="1:6">
      <c r="A31" s="2"/>
      <c r="B31" s="80" t="s">
        <v>47</v>
      </c>
      <c r="C31" s="63" t="s">
        <v>37</v>
      </c>
      <c r="D31" s="81">
        <f>CORREL('clean data'!N:N,'clean data'!H:H)</f>
        <v>0.22929155386993369</v>
      </c>
      <c r="F31" s="8"/>
    </row>
    <row r="32" spans="1:6" ht="25.5">
      <c r="A32" s="2"/>
      <c r="B32" s="80" t="s">
        <v>47</v>
      </c>
      <c r="C32" s="63" t="s">
        <v>38</v>
      </c>
      <c r="D32" s="81">
        <f>CORREL('clean data'!N:N,'clean data'!I:I)</f>
        <v>0.17935425283399756</v>
      </c>
      <c r="F32" s="8"/>
    </row>
    <row r="33" spans="1:7">
      <c r="A33" s="2"/>
      <c r="B33" s="80" t="s">
        <v>47</v>
      </c>
      <c r="C33" s="63" t="s">
        <v>39</v>
      </c>
      <c r="D33" s="81">
        <f>CORREL('clean data'!N:N,'clean data'!J:J)</f>
        <v>-0.25435329828790432</v>
      </c>
      <c r="F33" s="8"/>
    </row>
    <row r="34" spans="1:7" ht="25.5">
      <c r="A34" s="2"/>
      <c r="B34" s="80" t="s">
        <v>47</v>
      </c>
      <c r="C34" s="63" t="s">
        <v>40</v>
      </c>
      <c r="D34" s="81">
        <f>CORREL('clean data'!N:N,'clean data'!K:K)</f>
        <v>0.10399668008577614</v>
      </c>
      <c r="E34" s="5"/>
      <c r="F34" s="6"/>
      <c r="G34" s="8"/>
    </row>
    <row r="35" spans="1:7">
      <c r="A35" s="2"/>
      <c r="B35" s="78"/>
      <c r="C35" s="64"/>
      <c r="D35" s="62"/>
      <c r="E35" s="5"/>
      <c r="F35" s="6"/>
      <c r="G35" s="8"/>
    </row>
    <row r="36" spans="1:7">
      <c r="A36" s="2"/>
      <c r="E36" s="5"/>
      <c r="F36" s="6"/>
      <c r="G36" s="8"/>
    </row>
    <row r="37" spans="1:7">
      <c r="A37" s="2"/>
      <c r="E37" s="5"/>
      <c r="F37" s="6"/>
      <c r="G37" s="8"/>
    </row>
    <row r="38" spans="1:7">
      <c r="A38" s="2"/>
      <c r="E38" s="5"/>
      <c r="F38" s="6"/>
      <c r="G38" s="8"/>
    </row>
    <row r="39" spans="1:7">
      <c r="A39" s="2"/>
      <c r="E39" s="5"/>
      <c r="F39" s="6"/>
      <c r="G39" s="8"/>
    </row>
    <row r="40" spans="1:7">
      <c r="A40" s="2"/>
      <c r="B40" s="6"/>
      <c r="E40" s="6"/>
      <c r="F40" s="6"/>
      <c r="G40" s="8"/>
    </row>
    <row r="41" spans="1:7">
      <c r="A41" s="2"/>
      <c r="B41" s="6"/>
      <c r="E41" s="6"/>
      <c r="F41" s="6"/>
      <c r="G41" s="8"/>
    </row>
    <row r="42" spans="1:7">
      <c r="A42" s="2"/>
      <c r="B42" s="6"/>
      <c r="E42" s="6"/>
      <c r="F42" s="6"/>
      <c r="G42" s="8"/>
    </row>
    <row r="43" spans="1:7">
      <c r="A43" s="2"/>
      <c r="B43" s="6"/>
      <c r="E43" s="6"/>
      <c r="F43" s="6"/>
      <c r="G43" s="8"/>
    </row>
    <row r="44" spans="1:7">
      <c r="A44" s="2"/>
      <c r="B44" s="6"/>
      <c r="E44" s="6"/>
      <c r="F44" s="6"/>
      <c r="G44" s="8"/>
    </row>
    <row r="45" spans="1:7">
      <c r="A45" s="2"/>
      <c r="B45" s="6"/>
      <c r="E45" s="6"/>
      <c r="F45" s="6"/>
      <c r="G45" s="8"/>
    </row>
    <row r="46" spans="1:7">
      <c r="A46" s="2"/>
      <c r="B46" s="6"/>
      <c r="E46" s="6"/>
      <c r="F46" s="6"/>
      <c r="G46" s="8"/>
    </row>
    <row r="47" spans="1:7">
      <c r="A47" s="2"/>
      <c r="B47" s="6"/>
      <c r="E47" s="6"/>
      <c r="F47" s="6"/>
      <c r="G47" s="8"/>
    </row>
    <row r="48" spans="1:7">
      <c r="A48" s="2"/>
      <c r="B48" s="6"/>
      <c r="E48" s="6"/>
      <c r="F48" s="6"/>
      <c r="G48" s="8"/>
    </row>
    <row r="49" spans="1:7">
      <c r="A49" s="2"/>
      <c r="B49" s="6"/>
      <c r="E49" s="6"/>
      <c r="F49" s="6"/>
      <c r="G49" s="8"/>
    </row>
    <row r="50" spans="1:7">
      <c r="A50" s="2"/>
      <c r="B50" s="6"/>
      <c r="E50" s="6"/>
      <c r="F50" s="6"/>
      <c r="G50" s="8"/>
    </row>
    <row r="51" spans="1:7">
      <c r="A51" s="2"/>
      <c r="B51" s="6"/>
      <c r="E51" s="6"/>
      <c r="F51" s="6"/>
      <c r="G51" s="8"/>
    </row>
    <row r="52" spans="1:7">
      <c r="A52" s="2"/>
      <c r="B52" s="6"/>
      <c r="C52" s="6"/>
      <c r="D52" s="6"/>
      <c r="E52" s="6"/>
      <c r="F52" s="6"/>
      <c r="G52" s="8"/>
    </row>
    <row r="53" spans="1:7">
      <c r="A53" s="2"/>
      <c r="B53" s="6"/>
      <c r="C53" s="6"/>
      <c r="D53" s="6"/>
      <c r="E53" s="6"/>
      <c r="F53" s="6"/>
      <c r="G53" s="8"/>
    </row>
    <row r="54" spans="1:7">
      <c r="A54" s="2"/>
      <c r="B54" s="6"/>
      <c r="C54" s="6"/>
      <c r="D54" s="6"/>
      <c r="E54" s="6"/>
      <c r="F54" s="6"/>
      <c r="G54" s="8"/>
    </row>
    <row r="55" spans="1:7">
      <c r="A55" s="2"/>
      <c r="B55" s="6"/>
      <c r="C55" s="6"/>
      <c r="D55" s="6"/>
      <c r="E55" s="6"/>
      <c r="F55" s="6"/>
      <c r="G55" s="8"/>
    </row>
    <row r="56" spans="1:7">
      <c r="A56" s="2"/>
      <c r="B56" s="6"/>
      <c r="C56" s="6"/>
      <c r="D56" s="6"/>
      <c r="E56" s="6"/>
      <c r="F56" s="6"/>
      <c r="G56" s="8"/>
    </row>
    <row r="57" spans="1:7">
      <c r="A57" s="2"/>
      <c r="B57" s="6"/>
      <c r="C57" s="6"/>
      <c r="D57" s="6"/>
      <c r="E57" s="6"/>
      <c r="F57" s="6"/>
      <c r="G57" s="8"/>
    </row>
    <row r="58" spans="1:7">
      <c r="A58" s="2"/>
      <c r="B58" s="6"/>
      <c r="C58" s="6"/>
      <c r="D58" s="6"/>
      <c r="E58" s="6"/>
      <c r="F58" s="6"/>
      <c r="G58" s="8"/>
    </row>
    <row r="59" spans="1:7">
      <c r="A59" s="2"/>
      <c r="B59" s="6"/>
      <c r="C59" s="6"/>
      <c r="D59" s="6"/>
      <c r="E59" s="6"/>
      <c r="F59" s="6"/>
      <c r="G59" s="8"/>
    </row>
    <row r="60" spans="1:7">
      <c r="A60" s="2"/>
      <c r="B60" s="6"/>
      <c r="C60" s="6"/>
      <c r="D60" s="6"/>
      <c r="E60" s="6"/>
      <c r="F60" s="6"/>
      <c r="G60" s="8"/>
    </row>
    <row r="61" spans="1:7">
      <c r="A61" s="2"/>
      <c r="B61" s="6"/>
      <c r="C61" s="6"/>
      <c r="D61" s="6"/>
      <c r="E61" s="6"/>
      <c r="F61" s="6"/>
      <c r="G61" s="8"/>
    </row>
    <row r="62" spans="1:7">
      <c r="A62" s="2"/>
      <c r="B62" s="6"/>
      <c r="C62" s="6"/>
      <c r="D62" s="6"/>
      <c r="E62" s="6"/>
      <c r="F62" s="6"/>
      <c r="G62" s="8"/>
    </row>
    <row r="63" spans="1:7">
      <c r="A63" s="2"/>
      <c r="B63" s="6"/>
      <c r="C63" s="6"/>
      <c r="D63" s="6"/>
      <c r="E63" s="6"/>
      <c r="F63" s="6"/>
      <c r="G63" s="8"/>
    </row>
    <row r="64" spans="1:7">
      <c r="A64" s="2"/>
      <c r="B64" s="6"/>
      <c r="C64" s="6"/>
      <c r="D64" s="6"/>
      <c r="E64" s="6"/>
      <c r="F64" s="6"/>
      <c r="G64" s="8"/>
    </row>
    <row r="65" spans="1:7">
      <c r="A65" s="2"/>
      <c r="B65" s="6"/>
      <c r="C65" s="6"/>
      <c r="D65" s="6"/>
      <c r="E65" s="6"/>
      <c r="F65" s="6"/>
      <c r="G65" s="8"/>
    </row>
    <row r="66" spans="1:7">
      <c r="A66" s="2"/>
      <c r="B66" s="6"/>
      <c r="C66" s="6"/>
      <c r="D66" s="6"/>
      <c r="E66" s="6"/>
      <c r="F66" s="6"/>
      <c r="G66" s="8"/>
    </row>
    <row r="67" spans="1:7">
      <c r="A67" s="2"/>
      <c r="B67" s="6"/>
      <c r="C67" s="6"/>
      <c r="D67" s="6"/>
      <c r="E67" s="6"/>
      <c r="F67" s="6"/>
      <c r="G67" s="8"/>
    </row>
    <row r="68" spans="1:7">
      <c r="A68" s="2"/>
      <c r="B68" s="6"/>
      <c r="C68" s="6"/>
      <c r="D68" s="6"/>
      <c r="E68" s="6"/>
      <c r="F68" s="6"/>
      <c r="G68" s="8"/>
    </row>
    <row r="69" spans="1:7">
      <c r="A69" s="2"/>
      <c r="B69" s="6"/>
      <c r="C69" s="6"/>
      <c r="D69" s="6"/>
      <c r="E69" s="6"/>
      <c r="F69" s="6"/>
      <c r="G69" s="8"/>
    </row>
    <row r="70" spans="1:7">
      <c r="A70" s="2"/>
      <c r="B70" s="6"/>
      <c r="C70" s="6"/>
      <c r="D70" s="6"/>
      <c r="E70" s="6"/>
      <c r="F70" s="6"/>
      <c r="G70" s="8"/>
    </row>
    <row r="71" spans="1:7">
      <c r="A71" s="2"/>
      <c r="B71" s="6"/>
      <c r="C71" s="6"/>
      <c r="D71" s="6"/>
      <c r="E71" s="6"/>
      <c r="F71" s="6"/>
      <c r="G71" s="8"/>
    </row>
    <row r="72" spans="1:7">
      <c r="A72" s="2"/>
      <c r="B72" s="6"/>
      <c r="C72" s="6"/>
      <c r="D72" s="6"/>
      <c r="E72" s="6"/>
      <c r="F72" s="6"/>
      <c r="G72" s="8"/>
    </row>
    <row r="73" spans="1:7">
      <c r="A73" s="2"/>
      <c r="B73" s="6"/>
      <c r="C73" s="6"/>
      <c r="D73" s="6"/>
      <c r="E73" s="6"/>
      <c r="F73" s="6"/>
      <c r="G73" s="8"/>
    </row>
    <row r="74" spans="1:7">
      <c r="A74" s="2"/>
      <c r="B74" s="6"/>
      <c r="C74" s="6"/>
      <c r="D74" s="6"/>
      <c r="E74" s="6"/>
      <c r="F74" s="6"/>
      <c r="G74" s="8"/>
    </row>
    <row r="75" spans="1:7">
      <c r="A75" s="2"/>
      <c r="B75" s="6"/>
      <c r="C75" s="6"/>
      <c r="D75" s="6"/>
      <c r="E75" s="6"/>
      <c r="F75" s="6"/>
      <c r="G75" s="8"/>
    </row>
    <row r="76" spans="1:7">
      <c r="A76" s="2"/>
      <c r="B76" s="6"/>
      <c r="C76" s="6"/>
      <c r="D76" s="6"/>
      <c r="E76" s="6"/>
      <c r="F76" s="6"/>
      <c r="G76" s="8"/>
    </row>
    <row r="77" spans="1:7">
      <c r="A77" s="2"/>
      <c r="B77" s="6"/>
      <c r="C77" s="6"/>
      <c r="D77" s="6"/>
      <c r="E77" s="6"/>
      <c r="F77" s="6"/>
      <c r="G77" s="8"/>
    </row>
    <row r="78" spans="1:7">
      <c r="A78" s="2"/>
      <c r="B78" s="6"/>
      <c r="C78" s="6"/>
      <c r="D78" s="6"/>
      <c r="E78" s="6"/>
      <c r="F78" s="6"/>
      <c r="G78" s="8"/>
    </row>
    <row r="79" spans="1:7">
      <c r="A79" s="2"/>
      <c r="B79" s="6"/>
      <c r="C79" s="6"/>
      <c r="D79" s="6"/>
      <c r="E79" s="6"/>
      <c r="F79" s="6"/>
      <c r="G79" s="8"/>
    </row>
    <row r="80" spans="1:7">
      <c r="A80" s="2"/>
      <c r="B80" s="6"/>
      <c r="C80" s="6"/>
      <c r="D80" s="6"/>
      <c r="E80" s="6"/>
      <c r="F80" s="6"/>
      <c r="G80" s="8"/>
    </row>
    <row r="81" spans="1:7">
      <c r="A81" s="2"/>
      <c r="B81" s="6"/>
      <c r="C81" s="6"/>
      <c r="D81" s="6"/>
      <c r="E81" s="6"/>
      <c r="F81" s="6"/>
      <c r="G81" s="8"/>
    </row>
    <row r="82" spans="1:7">
      <c r="A82" s="2"/>
      <c r="B82" s="6"/>
      <c r="C82" s="6"/>
      <c r="D82" s="6"/>
      <c r="E82" s="6"/>
      <c r="F82" s="6"/>
      <c r="G82" s="8"/>
    </row>
    <row r="83" spans="1:7">
      <c r="A83" s="2"/>
      <c r="B83" s="6"/>
      <c r="C83" s="6"/>
      <c r="D83" s="6"/>
      <c r="E83" s="6"/>
      <c r="F83" s="6"/>
      <c r="G83" s="8"/>
    </row>
    <row r="84" spans="1:7">
      <c r="A84" s="2"/>
      <c r="B84" s="6"/>
      <c r="C84" s="6"/>
      <c r="D84" s="6"/>
      <c r="E84" s="6"/>
      <c r="F84" s="6"/>
      <c r="G84" s="8"/>
    </row>
    <row r="85" spans="1:7">
      <c r="A85" s="2"/>
      <c r="B85" s="6"/>
      <c r="C85" s="6"/>
      <c r="D85" s="6"/>
      <c r="E85" s="6"/>
      <c r="F85" s="6"/>
      <c r="G85" s="8"/>
    </row>
    <row r="86" spans="1:7">
      <c r="A86" s="2"/>
      <c r="B86" s="6"/>
      <c r="C86" s="6"/>
      <c r="D86" s="6"/>
      <c r="E86" s="6"/>
      <c r="F86" s="6"/>
      <c r="G86" s="8"/>
    </row>
    <row r="87" spans="1:7">
      <c r="A87" s="2"/>
      <c r="B87" s="6"/>
      <c r="C87" s="6"/>
      <c r="D87" s="6"/>
      <c r="E87" s="6"/>
      <c r="F87" s="6"/>
      <c r="G87" s="8"/>
    </row>
    <row r="88" spans="1:7">
      <c r="A88" s="2"/>
      <c r="B88" s="6"/>
      <c r="C88" s="6"/>
      <c r="D88" s="6"/>
      <c r="E88" s="6"/>
      <c r="F88" s="6"/>
      <c r="G88" s="8"/>
    </row>
    <row r="89" spans="1:7">
      <c r="A89" s="2"/>
      <c r="B89" s="6"/>
      <c r="C89" s="6"/>
      <c r="D89" s="6"/>
      <c r="E89" s="6"/>
      <c r="F89" s="6"/>
      <c r="G89" s="8"/>
    </row>
    <row r="90" spans="1:7">
      <c r="A90" s="2"/>
      <c r="B90" s="6"/>
      <c r="C90" s="6"/>
      <c r="D90" s="6"/>
      <c r="E90" s="6"/>
      <c r="F90" s="6"/>
      <c r="G90" s="8"/>
    </row>
    <row r="91" spans="1:7">
      <c r="A91" s="2"/>
      <c r="B91" s="6"/>
      <c r="C91" s="6"/>
      <c r="D91" s="6"/>
      <c r="E91" s="6"/>
      <c r="F91" s="6"/>
      <c r="G91" s="8"/>
    </row>
    <row r="92" spans="1:7">
      <c r="A92" s="2"/>
      <c r="B92" s="6"/>
      <c r="C92" s="6"/>
      <c r="D92" s="6"/>
      <c r="E92" s="6"/>
      <c r="F92" s="6"/>
      <c r="G92" s="8"/>
    </row>
    <row r="93" spans="1:7">
      <c r="A93" s="2"/>
      <c r="B93" s="6"/>
      <c r="C93" s="6"/>
      <c r="D93" s="6"/>
      <c r="E93" s="6"/>
      <c r="F93" s="6"/>
      <c r="G93" s="8"/>
    </row>
    <row r="94" spans="1:7">
      <c r="A94" s="2"/>
      <c r="B94" s="6"/>
      <c r="C94" s="6"/>
      <c r="D94" s="6"/>
      <c r="E94" s="6"/>
      <c r="F94" s="6"/>
      <c r="G94" s="8"/>
    </row>
    <row r="95" spans="1:7">
      <c r="A95" s="2"/>
      <c r="B95" s="6"/>
      <c r="C95" s="6"/>
      <c r="D95" s="6"/>
      <c r="E95" s="6"/>
      <c r="F95" s="6"/>
      <c r="G95" s="8"/>
    </row>
    <row r="96" spans="1:7">
      <c r="A96" s="2"/>
      <c r="B96" s="6"/>
      <c r="C96" s="6"/>
      <c r="D96" s="6"/>
      <c r="E96" s="6"/>
      <c r="F96" s="6"/>
      <c r="G96" s="8"/>
    </row>
    <row r="97" spans="1:7">
      <c r="A97" s="2"/>
      <c r="B97" s="6"/>
      <c r="C97" s="6"/>
      <c r="D97" s="6"/>
      <c r="E97" s="6"/>
      <c r="F97" s="6"/>
      <c r="G97" s="8"/>
    </row>
    <row r="98" spans="1:7">
      <c r="A98" s="2"/>
      <c r="B98" s="6"/>
      <c r="C98" s="6"/>
      <c r="D98" s="6"/>
      <c r="E98" s="6"/>
      <c r="F98" s="6"/>
      <c r="G98" s="8"/>
    </row>
    <row r="99" spans="1:7">
      <c r="A99" s="2"/>
      <c r="B99" s="6"/>
      <c r="C99" s="6"/>
      <c r="D99" s="6"/>
      <c r="E99" s="6"/>
      <c r="F99" s="6"/>
      <c r="G99" s="8"/>
    </row>
    <row r="100" spans="1:7">
      <c r="A100" s="2"/>
      <c r="B100" s="6"/>
      <c r="C100" s="6"/>
      <c r="D100" s="6"/>
      <c r="E100" s="6"/>
      <c r="F100" s="6"/>
      <c r="G100" s="8"/>
    </row>
    <row r="101" spans="1:7">
      <c r="A101" s="2"/>
      <c r="B101" s="6"/>
      <c r="C101" s="6"/>
      <c r="D101" s="6"/>
      <c r="E101" s="6"/>
      <c r="F101" s="6"/>
      <c r="G101" s="8"/>
    </row>
    <row r="102" spans="1:7">
      <c r="A102" s="2"/>
      <c r="B102" s="6"/>
      <c r="C102" s="6"/>
      <c r="D102" s="6"/>
      <c r="E102" s="6"/>
      <c r="F102" s="6"/>
      <c r="G102" s="8"/>
    </row>
    <row r="103" spans="1:7">
      <c r="A103" s="2"/>
      <c r="B103" s="6"/>
      <c r="C103" s="6"/>
      <c r="D103" s="6"/>
      <c r="E103" s="6"/>
      <c r="F103" s="6"/>
      <c r="G103" s="8"/>
    </row>
    <row r="104" spans="1:7">
      <c r="A104" s="2"/>
      <c r="B104" s="6"/>
      <c r="C104" s="6"/>
      <c r="D104" s="6"/>
      <c r="E104" s="6"/>
      <c r="F104" s="6"/>
      <c r="G104" s="8"/>
    </row>
    <row r="105" spans="1:7">
      <c r="A105" s="2"/>
      <c r="B105" s="6"/>
      <c r="C105" s="6"/>
      <c r="D105" s="6"/>
      <c r="E105" s="6"/>
      <c r="F105" s="6"/>
      <c r="G105" s="8"/>
    </row>
    <row r="106" spans="1:7">
      <c r="A106" s="2"/>
      <c r="B106" s="6"/>
      <c r="C106" s="6"/>
      <c r="D106" s="6"/>
      <c r="E106" s="6"/>
      <c r="F106" s="6"/>
      <c r="G106" s="8"/>
    </row>
    <row r="107" spans="1:7">
      <c r="A107" s="2"/>
      <c r="B107" s="6"/>
      <c r="C107" s="6"/>
      <c r="D107" s="6"/>
      <c r="E107" s="6"/>
      <c r="F107" s="6"/>
      <c r="G107" s="8"/>
    </row>
    <row r="108" spans="1:7">
      <c r="A108" s="2"/>
      <c r="B108" s="6"/>
      <c r="C108" s="6"/>
      <c r="D108" s="6"/>
      <c r="E108" s="6"/>
      <c r="F108" s="6"/>
      <c r="G108" s="8"/>
    </row>
    <row r="109" spans="1:7">
      <c r="A109" s="2"/>
      <c r="B109" s="6"/>
      <c r="C109" s="6"/>
      <c r="D109" s="6"/>
      <c r="E109" s="6"/>
      <c r="F109" s="6"/>
      <c r="G109" s="8"/>
    </row>
    <row r="110" spans="1:7">
      <c r="A110" s="2"/>
      <c r="B110" s="9"/>
      <c r="C110" s="9"/>
      <c r="D110" s="9"/>
      <c r="E110" s="9"/>
      <c r="F110" s="9"/>
      <c r="G110" s="10"/>
    </row>
    <row r="111" spans="1:7">
      <c r="A111" s="2"/>
      <c r="B111" s="2"/>
      <c r="C111" s="2"/>
      <c r="D111" s="2"/>
      <c r="E111" s="2"/>
      <c r="F111" s="2"/>
    </row>
    <row r="112" spans="1:7">
      <c r="A112" s="2"/>
      <c r="B112" s="2"/>
      <c r="C112" s="2"/>
      <c r="D112" s="2"/>
      <c r="E112" s="2"/>
      <c r="F112" s="2"/>
    </row>
    <row r="113" spans="1:6">
      <c r="A113" s="2"/>
      <c r="B113" s="2"/>
      <c r="C113" s="2"/>
      <c r="D113" s="2"/>
      <c r="E113" s="2"/>
      <c r="F113" s="2"/>
    </row>
    <row r="114" spans="1:6">
      <c r="A114" s="2"/>
      <c r="B114" s="2"/>
      <c r="C114" s="2"/>
      <c r="D114" s="2"/>
      <c r="E114" s="2"/>
      <c r="F114" s="2"/>
    </row>
    <row r="115" spans="1:6">
      <c r="A115" s="2"/>
      <c r="B115" s="2"/>
      <c r="C115" s="2"/>
      <c r="D115" s="2"/>
      <c r="E115" s="2"/>
      <c r="F115" s="2"/>
    </row>
    <row r="116" spans="1:6">
      <c r="A116" s="2"/>
      <c r="B116" s="2"/>
      <c r="C116" s="2"/>
      <c r="D116" s="2"/>
      <c r="E116" s="2"/>
      <c r="F116" s="2"/>
    </row>
    <row r="117" spans="1:6">
      <c r="A117" s="2"/>
      <c r="B117" s="2"/>
      <c r="C117" s="2"/>
      <c r="D117" s="2"/>
      <c r="E117" s="2"/>
      <c r="F117" s="2"/>
    </row>
    <row r="118" spans="1:6">
      <c r="A118" s="2"/>
      <c r="B118" s="2"/>
      <c r="C118" s="2"/>
      <c r="D118" s="2"/>
      <c r="E118" s="2"/>
      <c r="F118" s="2"/>
    </row>
    <row r="119" spans="1:6">
      <c r="A119" s="2"/>
      <c r="B119" s="2"/>
      <c r="C119" s="2"/>
      <c r="D119" s="2"/>
      <c r="E119" s="2"/>
      <c r="F119" s="2"/>
    </row>
    <row r="120" spans="1:6">
      <c r="A120" s="2"/>
      <c r="B120" s="2"/>
      <c r="C120" s="2"/>
      <c r="D120" s="2"/>
      <c r="E120" s="2"/>
      <c r="F120" s="2"/>
    </row>
    <row r="121" spans="1:6">
      <c r="A121" s="2"/>
      <c r="B121" s="2"/>
      <c r="C121" s="2"/>
      <c r="D121" s="2"/>
      <c r="E121" s="2"/>
      <c r="F121" s="2"/>
    </row>
    <row r="122" spans="1:6">
      <c r="A122" s="2"/>
      <c r="B122" s="2"/>
      <c r="C122" s="2"/>
      <c r="D122" s="2"/>
      <c r="E122" s="2"/>
      <c r="F122" s="2"/>
    </row>
    <row r="123" spans="1:6">
      <c r="A123" s="2"/>
      <c r="B123" s="2"/>
      <c r="C123" s="2"/>
      <c r="D123" s="2"/>
      <c r="E123" s="2"/>
      <c r="F123" s="2"/>
    </row>
    <row r="124" spans="1:6">
      <c r="A124" s="2"/>
      <c r="B124" s="2"/>
      <c r="C124" s="2"/>
      <c r="D124" s="2"/>
      <c r="E124" s="2"/>
      <c r="F124" s="2"/>
    </row>
    <row r="125" spans="1:6">
      <c r="A125" s="2"/>
      <c r="B125" s="2"/>
      <c r="C125" s="2"/>
      <c r="D125" s="2"/>
      <c r="E125" s="2"/>
      <c r="F125" s="2"/>
    </row>
    <row r="126" spans="1:6">
      <c r="A126" s="2"/>
      <c r="B126" s="2"/>
      <c r="C126" s="2"/>
      <c r="D126" s="2"/>
      <c r="E126" s="2"/>
      <c r="F126" s="2"/>
    </row>
    <row r="127" spans="1:6">
      <c r="A127" s="2"/>
      <c r="B127" s="2"/>
      <c r="C127" s="2"/>
      <c r="D127" s="2"/>
      <c r="E127" s="2"/>
      <c r="F127" s="2"/>
    </row>
    <row r="128" spans="1:6">
      <c r="A128" s="2"/>
      <c r="B128" s="2"/>
      <c r="C128" s="2"/>
      <c r="D128" s="2"/>
      <c r="E128" s="2"/>
      <c r="F128" s="2"/>
    </row>
    <row r="129" spans="1:6">
      <c r="A129" s="2"/>
      <c r="B129" s="2"/>
      <c r="C129" s="2"/>
      <c r="D129" s="2"/>
      <c r="E129" s="2"/>
      <c r="F129" s="2"/>
    </row>
    <row r="130" spans="1:6">
      <c r="A130" s="2"/>
      <c r="B130" s="2"/>
      <c r="C130" s="2"/>
      <c r="D130" s="2"/>
      <c r="E130" s="2"/>
      <c r="F130" s="2"/>
    </row>
    <row r="131" spans="1:6">
      <c r="A131" s="2"/>
      <c r="B131" s="2"/>
      <c r="C131" s="2"/>
      <c r="D131" s="2"/>
      <c r="E131" s="2"/>
      <c r="F131" s="2"/>
    </row>
    <row r="132" spans="1:6">
      <c r="A132" s="2"/>
      <c r="B132" s="2"/>
      <c r="C132" s="2"/>
      <c r="D132" s="2"/>
      <c r="E132" s="2"/>
      <c r="F132" s="2"/>
    </row>
    <row r="133" spans="1:6">
      <c r="A133" s="2"/>
      <c r="B133" s="2"/>
      <c r="C133" s="2"/>
      <c r="D133" s="2"/>
      <c r="E133" s="2"/>
      <c r="F133" s="2"/>
    </row>
    <row r="134" spans="1:6">
      <c r="A134" s="2"/>
      <c r="B134" s="2"/>
      <c r="C134" s="2"/>
      <c r="D134" s="2"/>
      <c r="E134" s="2"/>
      <c r="F134" s="2"/>
    </row>
    <row r="135" spans="1:6">
      <c r="A135" s="2"/>
      <c r="B135" s="2"/>
      <c r="C135" s="2"/>
      <c r="D135" s="2"/>
      <c r="E135" s="2"/>
      <c r="F135" s="2"/>
    </row>
    <row r="136" spans="1:6">
      <c r="A136" s="2"/>
      <c r="B136" s="2"/>
      <c r="C136" s="2"/>
      <c r="D136" s="2"/>
      <c r="E136" s="2"/>
      <c r="F136" s="2"/>
    </row>
    <row r="137" spans="1:6">
      <c r="A137" s="2"/>
      <c r="B137" s="2"/>
      <c r="C137" s="2"/>
      <c r="D137" s="2"/>
      <c r="E137" s="2"/>
      <c r="F137" s="2"/>
    </row>
    <row r="138" spans="1:6">
      <c r="A138" s="2"/>
      <c r="B138" s="2"/>
      <c r="C138" s="2"/>
      <c r="D138" s="2"/>
      <c r="E138" s="2"/>
      <c r="F138" s="2"/>
    </row>
    <row r="139" spans="1:6">
      <c r="A139" s="2"/>
      <c r="B139" s="2"/>
      <c r="C139" s="2"/>
      <c r="D139" s="2"/>
      <c r="E139" s="2"/>
      <c r="F139" s="2"/>
    </row>
    <row r="140" spans="1:6">
      <c r="A140" s="2"/>
      <c r="B140" s="2"/>
      <c r="C140" s="2"/>
      <c r="D140" s="2"/>
      <c r="E140" s="2"/>
      <c r="F140" s="2"/>
    </row>
    <row r="141" spans="1:6">
      <c r="A141" s="2"/>
      <c r="B141" s="2"/>
      <c r="C141" s="2"/>
      <c r="D141" s="2"/>
      <c r="E141" s="2"/>
      <c r="F141" s="2"/>
    </row>
    <row r="142" spans="1:6">
      <c r="A142" s="2"/>
      <c r="B142" s="2"/>
      <c r="C142" s="2"/>
      <c r="D142" s="2"/>
      <c r="E142" s="2"/>
      <c r="F142" s="2"/>
    </row>
    <row r="143" spans="1:6">
      <c r="A143" s="2"/>
      <c r="B143" s="2"/>
      <c r="C143" s="2"/>
      <c r="D143" s="2"/>
      <c r="E143" s="2"/>
      <c r="F143" s="2"/>
    </row>
    <row r="144" spans="1:6">
      <c r="A144" s="2"/>
      <c r="B144" s="2"/>
      <c r="C144" s="2"/>
      <c r="D144" s="2"/>
      <c r="E144" s="2"/>
      <c r="F144" s="2"/>
    </row>
    <row r="145" spans="1:6">
      <c r="A145" s="2"/>
      <c r="B145" s="2"/>
      <c r="C145" s="2"/>
      <c r="D145" s="2"/>
      <c r="E145" s="2"/>
      <c r="F145" s="2"/>
    </row>
    <row r="146" spans="1:6">
      <c r="A146" s="2"/>
      <c r="B146" s="2"/>
      <c r="C146" s="2"/>
      <c r="D146" s="2"/>
      <c r="E146" s="2"/>
      <c r="F146" s="2"/>
    </row>
    <row r="147" spans="1:6">
      <c r="A147" s="2"/>
      <c r="B147" s="2"/>
      <c r="C147" s="2"/>
      <c r="D147" s="2"/>
      <c r="E147" s="2"/>
      <c r="F147" s="2"/>
    </row>
    <row r="148" spans="1:6">
      <c r="A148" s="2"/>
      <c r="B148" s="2"/>
      <c r="C148" s="2"/>
      <c r="D148" s="2"/>
      <c r="E148" s="2"/>
      <c r="F148" s="2"/>
    </row>
    <row r="149" spans="1:6">
      <c r="A149" s="2"/>
      <c r="B149" s="2"/>
      <c r="C149" s="2"/>
      <c r="D149" s="2"/>
      <c r="E149" s="2"/>
      <c r="F149" s="2"/>
    </row>
    <row r="1048573" spans="3:5">
      <c r="C1048573" s="126"/>
      <c r="D1048573" s="126"/>
      <c r="E1048573" s="126"/>
    </row>
  </sheetData>
  <mergeCells count="3">
    <mergeCell ref="K1:M1"/>
    <mergeCell ref="L4:M5"/>
    <mergeCell ref="C1048573:E1048573"/>
  </mergeCells>
  <pageMargins left="0.7" right="0.7" top="0.75" bottom="0.75" header="0.3" footer="0.3"/>
  <tableParts count="3">
    <tablePart r:id="rId2"/>
    <tablePart r:id="rId3"/>
    <tablePart r:id="rId4"/>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358125-F527-4B9B-A827-7FDD819B8229}">
  <dimension ref="AG15"/>
  <sheetViews>
    <sheetView topLeftCell="L16" zoomScale="69" zoomScaleNormal="69" workbookViewId="0">
      <selection activeCell="AO51" sqref="AO51"/>
    </sheetView>
  </sheetViews>
  <sheetFormatPr defaultRowHeight="12.75"/>
  <sheetData>
    <row r="15" spans="33:33">
      <c r="AG15" s="8"/>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8AE9D1-B519-4420-88BB-F0BD7DCFFD01}">
  <dimension ref="B2:J12"/>
  <sheetViews>
    <sheetView workbookViewId="0">
      <selection activeCell="M11" sqref="M11"/>
    </sheetView>
  </sheetViews>
  <sheetFormatPr defaultRowHeight="12.75"/>
  <cols>
    <col min="1" max="1" width="6" customWidth="1"/>
    <col min="2" max="2" width="13.85546875" bestFit="1" customWidth="1"/>
    <col min="3" max="3" width="14" bestFit="1" customWidth="1"/>
    <col min="4" max="4" width="11" bestFit="1" customWidth="1"/>
  </cols>
  <sheetData>
    <row r="2" spans="2:10">
      <c r="D2" s="127" t="s">
        <v>111</v>
      </c>
      <c r="E2" s="127"/>
      <c r="F2" s="127"/>
      <c r="G2" s="127"/>
      <c r="H2" s="127"/>
      <c r="I2" s="127"/>
      <c r="J2" s="127"/>
    </row>
    <row r="3" spans="2:10">
      <c r="D3" s="127"/>
      <c r="E3" s="127"/>
      <c r="F3" s="127"/>
      <c r="G3" s="127"/>
      <c r="H3" s="127"/>
      <c r="I3" s="127"/>
      <c r="J3" s="127"/>
    </row>
    <row r="9" spans="2:10">
      <c r="B9" s="55" t="s">
        <v>51</v>
      </c>
      <c r="C9" s="60" t="s">
        <v>54</v>
      </c>
      <c r="D9" s="59" t="s">
        <v>96</v>
      </c>
    </row>
    <row r="10" spans="2:10">
      <c r="B10" s="56" t="s">
        <v>109</v>
      </c>
      <c r="C10" s="31">
        <v>2219</v>
      </c>
      <c r="D10" s="70">
        <v>40216</v>
      </c>
    </row>
    <row r="11" spans="2:10">
      <c r="B11" s="57" t="s">
        <v>110</v>
      </c>
      <c r="C11" s="76">
        <v>2702</v>
      </c>
      <c r="D11" s="71">
        <v>13167</v>
      </c>
    </row>
    <row r="12" spans="2:10">
      <c r="B12" s="58" t="s">
        <v>49</v>
      </c>
      <c r="C12" s="69">
        <v>4921</v>
      </c>
      <c r="D12" s="72">
        <v>53383</v>
      </c>
    </row>
  </sheetData>
  <mergeCells count="1">
    <mergeCell ref="D2:J3"/>
  </mergeCells>
  <pageMargins left="0.7" right="0.7" top="0.75" bottom="0.75" header="0.3" footer="0.3"/>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B1F02EE-F7BF-4726-9336-C2283986D3F5}">
  <dimension ref="B2:J30"/>
  <sheetViews>
    <sheetView topLeftCell="A5" workbookViewId="0">
      <selection activeCell="M18" sqref="M18"/>
    </sheetView>
  </sheetViews>
  <sheetFormatPr defaultRowHeight="12.75"/>
  <cols>
    <col min="2" max="2" width="16.140625" bestFit="1" customWidth="1"/>
    <col min="3" max="3" width="17.42578125" bestFit="1" customWidth="1"/>
    <col min="4" max="4" width="14" bestFit="1" customWidth="1"/>
    <col min="5" max="5" width="16.28515625" bestFit="1" customWidth="1"/>
  </cols>
  <sheetData>
    <row r="2" spans="2:10">
      <c r="C2" s="128" t="s">
        <v>103</v>
      </c>
      <c r="D2" s="128"/>
      <c r="E2" s="128"/>
      <c r="F2" s="128"/>
      <c r="G2" s="128"/>
      <c r="H2" s="128"/>
      <c r="I2" s="128"/>
      <c r="J2" s="128"/>
    </row>
    <row r="3" spans="2:10">
      <c r="C3" s="128"/>
      <c r="D3" s="128"/>
      <c r="E3" s="128"/>
      <c r="F3" s="128"/>
      <c r="G3" s="128"/>
      <c r="H3" s="128"/>
      <c r="I3" s="128"/>
      <c r="J3" s="128"/>
    </row>
    <row r="5" spans="2:10">
      <c r="B5" s="17" t="s">
        <v>51</v>
      </c>
      <c r="C5" s="28" t="s">
        <v>55</v>
      </c>
      <c r="D5" s="12" t="s">
        <v>54</v>
      </c>
    </row>
    <row r="6" spans="2:10">
      <c r="B6" s="30">
        <v>0</v>
      </c>
      <c r="C6" s="31">
        <v>629</v>
      </c>
      <c r="D6" s="30">
        <v>74</v>
      </c>
    </row>
    <row r="7" spans="2:10">
      <c r="B7" s="38">
        <v>1</v>
      </c>
      <c r="C7" s="76">
        <v>412</v>
      </c>
      <c r="D7" s="38">
        <v>48</v>
      </c>
    </row>
    <row r="8" spans="2:10">
      <c r="B8" s="38">
        <v>2</v>
      </c>
      <c r="C8" s="76">
        <v>261</v>
      </c>
      <c r="D8" s="38">
        <v>33</v>
      </c>
    </row>
    <row r="9" spans="2:10">
      <c r="B9" s="38">
        <v>3</v>
      </c>
      <c r="C9" s="76">
        <v>117</v>
      </c>
      <c r="D9" s="38">
        <v>34</v>
      </c>
    </row>
    <row r="10" spans="2:10">
      <c r="B10" s="38">
        <v>4</v>
      </c>
      <c r="C10" s="76">
        <v>62</v>
      </c>
      <c r="D10" s="38">
        <v>7</v>
      </c>
    </row>
    <row r="11" spans="2:10">
      <c r="B11" s="38">
        <v>5</v>
      </c>
      <c r="C11" s="76">
        <v>161</v>
      </c>
      <c r="D11" s="38">
        <v>3</v>
      </c>
    </row>
    <row r="12" spans="2:10">
      <c r="B12" s="38">
        <v>6</v>
      </c>
      <c r="C12" s="76">
        <v>801</v>
      </c>
      <c r="D12" s="38">
        <v>21</v>
      </c>
    </row>
    <row r="13" spans="2:10">
      <c r="B13" s="38">
        <v>7</v>
      </c>
      <c r="C13" s="76">
        <v>2275</v>
      </c>
      <c r="D13" s="38">
        <v>64</v>
      </c>
    </row>
    <row r="14" spans="2:10">
      <c r="B14" s="38">
        <v>8</v>
      </c>
      <c r="C14" s="76">
        <v>5261</v>
      </c>
      <c r="D14" s="38">
        <v>127</v>
      </c>
    </row>
    <row r="15" spans="2:10">
      <c r="B15" s="38">
        <v>9</v>
      </c>
      <c r="C15" s="76">
        <v>3500</v>
      </c>
      <c r="D15" s="38">
        <v>172</v>
      </c>
    </row>
    <row r="16" spans="2:10">
      <c r="B16" s="38">
        <v>10</v>
      </c>
      <c r="C16" s="76">
        <v>2037</v>
      </c>
      <c r="D16" s="38">
        <v>216</v>
      </c>
    </row>
    <row r="17" spans="2:4">
      <c r="B17" s="38">
        <v>11</v>
      </c>
      <c r="C17" s="76">
        <v>2127</v>
      </c>
      <c r="D17" s="38">
        <v>367</v>
      </c>
    </row>
    <row r="18" spans="2:4">
      <c r="B18" s="38">
        <v>12</v>
      </c>
      <c r="C18" s="76">
        <v>2801</v>
      </c>
      <c r="D18" s="38">
        <v>482</v>
      </c>
    </row>
    <row r="19" spans="2:4">
      <c r="B19" s="38">
        <v>13</v>
      </c>
      <c r="C19" s="76">
        <v>2863</v>
      </c>
      <c r="D19" s="38">
        <v>513</v>
      </c>
    </row>
    <row r="20" spans="2:4">
      <c r="B20" s="38">
        <v>14</v>
      </c>
      <c r="C20" s="76">
        <v>2734</v>
      </c>
      <c r="D20" s="38">
        <v>466</v>
      </c>
    </row>
    <row r="21" spans="2:4">
      <c r="B21" s="38">
        <v>15</v>
      </c>
      <c r="C21" s="76">
        <v>2816</v>
      </c>
      <c r="D21" s="38">
        <v>536</v>
      </c>
    </row>
    <row r="22" spans="2:4">
      <c r="B22" s="38">
        <v>16</v>
      </c>
      <c r="C22" s="76">
        <v>3435</v>
      </c>
      <c r="D22" s="38">
        <v>493</v>
      </c>
    </row>
    <row r="23" spans="2:4">
      <c r="B23" s="38">
        <v>17</v>
      </c>
      <c r="C23" s="76">
        <v>5774</v>
      </c>
      <c r="D23" s="38">
        <v>395</v>
      </c>
    </row>
    <row r="24" spans="2:4">
      <c r="B24" s="38">
        <v>18</v>
      </c>
      <c r="C24" s="76">
        <v>5061</v>
      </c>
      <c r="D24" s="38">
        <v>222</v>
      </c>
    </row>
    <row r="25" spans="2:4">
      <c r="B25" s="38">
        <v>19</v>
      </c>
      <c r="C25" s="76">
        <v>3474</v>
      </c>
      <c r="D25" s="38">
        <v>187</v>
      </c>
    </row>
    <row r="26" spans="2:4">
      <c r="B26" s="38">
        <v>20</v>
      </c>
      <c r="C26" s="76">
        <v>2516</v>
      </c>
      <c r="D26" s="38">
        <v>140</v>
      </c>
    </row>
    <row r="27" spans="2:4">
      <c r="B27" s="38">
        <v>21</v>
      </c>
      <c r="C27" s="76">
        <v>1879</v>
      </c>
      <c r="D27" s="38">
        <v>117</v>
      </c>
    </row>
    <row r="28" spans="2:4">
      <c r="B28" s="38">
        <v>22</v>
      </c>
      <c r="C28" s="76">
        <v>1405</v>
      </c>
      <c r="D28" s="38">
        <v>103</v>
      </c>
    </row>
    <row r="29" spans="2:4">
      <c r="B29" s="24">
        <v>23</v>
      </c>
      <c r="C29" s="76">
        <v>982</v>
      </c>
      <c r="D29" s="38">
        <v>101</v>
      </c>
    </row>
    <row r="30" spans="2:4">
      <c r="B30" s="12" t="s">
        <v>49</v>
      </c>
      <c r="C30" s="28">
        <v>53383</v>
      </c>
      <c r="D30" s="12">
        <v>4921</v>
      </c>
    </row>
  </sheetData>
  <mergeCells count="1">
    <mergeCell ref="C2:J3"/>
  </mergeCells>
  <pageMargins left="0.7" right="0.7" top="0.75" bottom="0.75" header="0.3" footer="0.3"/>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1D5116-7A22-41C1-B448-D6C17567CE0D}">
  <dimension ref="B2:J17"/>
  <sheetViews>
    <sheetView topLeftCell="A3" zoomScaleNormal="100" workbookViewId="0">
      <selection activeCell="D23" sqref="D23"/>
    </sheetView>
  </sheetViews>
  <sheetFormatPr defaultRowHeight="12.75"/>
  <cols>
    <col min="2" max="2" width="17.28515625" bestFit="1" customWidth="1"/>
    <col min="3" max="3" width="14" bestFit="1" customWidth="1"/>
    <col min="4" max="4" width="17.42578125" bestFit="1" customWidth="1"/>
    <col min="10" max="10" width="9.7109375" customWidth="1"/>
  </cols>
  <sheetData>
    <row r="2" spans="2:10">
      <c r="C2" s="129" t="s">
        <v>101</v>
      </c>
      <c r="D2" s="129"/>
      <c r="E2" s="129"/>
      <c r="F2" s="129"/>
      <c r="G2" s="129"/>
      <c r="H2" s="129"/>
      <c r="I2" s="129"/>
      <c r="J2" s="129"/>
    </row>
    <row r="3" spans="2:10">
      <c r="C3" s="129"/>
      <c r="D3" s="129"/>
      <c r="E3" s="129"/>
      <c r="F3" s="129"/>
      <c r="G3" s="129"/>
      <c r="H3" s="129"/>
      <c r="I3" s="129"/>
      <c r="J3" s="129"/>
    </row>
    <row r="12" spans="2:10">
      <c r="B12" s="17" t="s">
        <v>51</v>
      </c>
      <c r="C12" s="26" t="s">
        <v>54</v>
      </c>
      <c r="D12" s="26" t="s">
        <v>55</v>
      </c>
    </row>
    <row r="13" spans="2:10">
      <c r="B13" s="30" t="s">
        <v>41</v>
      </c>
      <c r="C13" s="16">
        <v>3211</v>
      </c>
      <c r="D13" s="16">
        <v>34162</v>
      </c>
    </row>
    <row r="14" spans="2:10">
      <c r="B14" s="38" t="s">
        <v>44</v>
      </c>
      <c r="C14" s="68">
        <v>1</v>
      </c>
      <c r="D14" s="68">
        <v>35</v>
      </c>
    </row>
    <row r="15" spans="2:10">
      <c r="B15" s="38" t="s">
        <v>43</v>
      </c>
      <c r="C15" s="68">
        <v>171</v>
      </c>
      <c r="D15" s="68">
        <v>2618</v>
      </c>
    </row>
    <row r="16" spans="2:10">
      <c r="B16" s="24" t="s">
        <v>42</v>
      </c>
      <c r="C16" s="68">
        <v>1538</v>
      </c>
      <c r="D16" s="68">
        <v>16568</v>
      </c>
    </row>
    <row r="17" spans="2:4">
      <c r="B17" s="12" t="s">
        <v>49</v>
      </c>
      <c r="C17" s="67">
        <v>4921</v>
      </c>
      <c r="D17" s="67">
        <v>53383</v>
      </c>
    </row>
  </sheetData>
  <mergeCells count="1">
    <mergeCell ref="C2:J3"/>
  </mergeCells>
  <pageMargins left="0.7" right="0.7" top="0.75" bottom="0.75" header="0.3" footer="0.3"/>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05424A-4DE4-4D84-9F8A-D455BD0B175A}">
  <dimension ref="B2:H12"/>
  <sheetViews>
    <sheetView workbookViewId="0">
      <selection activeCell="B8" sqref="B8:C13"/>
    </sheetView>
  </sheetViews>
  <sheetFormatPr defaultRowHeight="12.75"/>
  <cols>
    <col min="2" max="2" width="16.140625" bestFit="1" customWidth="1"/>
    <col min="3" max="3" width="10.7109375" bestFit="1" customWidth="1"/>
    <col min="4" max="5" width="17.42578125" bestFit="1" customWidth="1"/>
  </cols>
  <sheetData>
    <row r="2" spans="2:8">
      <c r="C2" s="130" t="s">
        <v>106</v>
      </c>
      <c r="D2" s="130"/>
      <c r="E2" s="130"/>
      <c r="F2" s="130"/>
      <c r="G2" s="130"/>
      <c r="H2" s="130"/>
    </row>
    <row r="3" spans="2:8">
      <c r="C3" s="130"/>
      <c r="D3" s="130"/>
      <c r="E3" s="130"/>
      <c r="F3" s="130"/>
      <c r="G3" s="130"/>
      <c r="H3" s="130"/>
    </row>
    <row r="4" spans="2:8">
      <c r="C4" s="130"/>
      <c r="D4" s="130"/>
      <c r="E4" s="130"/>
      <c r="F4" s="130"/>
      <c r="G4" s="130"/>
      <c r="H4" s="130"/>
    </row>
    <row r="9" spans="2:8">
      <c r="B9" s="17" t="s">
        <v>51</v>
      </c>
      <c r="C9" s="12" t="s">
        <v>102</v>
      </c>
    </row>
    <row r="10" spans="2:8" ht="21.75" customHeight="1">
      <c r="B10" s="30" t="s">
        <v>104</v>
      </c>
      <c r="C10" s="30">
        <v>38189</v>
      </c>
    </row>
    <row r="11" spans="2:8" ht="15.75" customHeight="1">
      <c r="B11" s="24" t="s">
        <v>105</v>
      </c>
      <c r="C11" s="38">
        <v>20115</v>
      </c>
    </row>
    <row r="12" spans="2:8" ht="18.75" customHeight="1">
      <c r="B12" s="12" t="s">
        <v>49</v>
      </c>
      <c r="C12" s="24">
        <v>58304</v>
      </c>
    </row>
  </sheetData>
  <mergeCells count="1">
    <mergeCell ref="C2:H4"/>
  </mergeCells>
  <pageMargins left="0.7" right="0.7" top="0.75" bottom="0.75" header="0.3" footer="0.3"/>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CF5202-6261-4441-B96C-D08DA00C260F}">
  <dimension ref="B2:I15"/>
  <sheetViews>
    <sheetView workbookViewId="0">
      <selection activeCell="C2" sqref="C2:I3"/>
    </sheetView>
  </sheetViews>
  <sheetFormatPr defaultRowHeight="12.75"/>
  <cols>
    <col min="2" max="2" width="17.28515625" bestFit="1" customWidth="1"/>
    <col min="3" max="3" width="14.28515625" bestFit="1" customWidth="1"/>
    <col min="4" max="4" width="10" customWidth="1"/>
    <col min="8" max="8" width="11.28515625" customWidth="1"/>
    <col min="9" max="9" width="16.7109375" customWidth="1"/>
  </cols>
  <sheetData>
    <row r="2" spans="2:9">
      <c r="C2" s="131" t="s">
        <v>100</v>
      </c>
      <c r="D2" s="131"/>
      <c r="E2" s="131"/>
      <c r="F2" s="131"/>
      <c r="G2" s="131"/>
      <c r="H2" s="131"/>
      <c r="I2" s="131"/>
    </row>
    <row r="3" spans="2:9">
      <c r="C3" s="131"/>
      <c r="D3" s="131"/>
      <c r="E3" s="131"/>
      <c r="F3" s="131"/>
      <c r="G3" s="131"/>
      <c r="H3" s="131"/>
      <c r="I3" s="131"/>
    </row>
    <row r="9" spans="2:9">
      <c r="B9" s="2"/>
      <c r="C9" s="2"/>
    </row>
    <row r="10" spans="2:9">
      <c r="B10" s="17" t="s">
        <v>51</v>
      </c>
      <c r="C10" s="12" t="s">
        <v>56</v>
      </c>
    </row>
    <row r="11" spans="2:9">
      <c r="B11" s="30" t="s">
        <v>41</v>
      </c>
      <c r="C11" s="34">
        <v>61.671617161716171</v>
      </c>
    </row>
    <row r="12" spans="2:9">
      <c r="B12" s="38" t="s">
        <v>44</v>
      </c>
      <c r="C12" s="45">
        <v>36</v>
      </c>
    </row>
    <row r="13" spans="2:9">
      <c r="B13" s="38" t="s">
        <v>43</v>
      </c>
      <c r="C13" s="45">
        <v>33.202380952380949</v>
      </c>
    </row>
    <row r="14" spans="2:9">
      <c r="B14" s="24" t="s">
        <v>42</v>
      </c>
      <c r="C14" s="45">
        <v>58.595469255663431</v>
      </c>
    </row>
    <row r="15" spans="2:9">
      <c r="B15" s="12" t="s">
        <v>49</v>
      </c>
      <c r="C15" s="32">
        <v>58.304000000000002</v>
      </c>
    </row>
  </sheetData>
  <mergeCells count="1">
    <mergeCell ref="C2:I3"/>
  </mergeCells>
  <pageMargins left="0.7" right="0.7" top="0.75" bottom="0.75" header="0.3" footer="0.3"/>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7AE3AF-E563-400C-9FF8-F213AFA02318}">
  <dimension ref="B3:L20"/>
  <sheetViews>
    <sheetView workbookViewId="0">
      <selection activeCell="M18" sqref="M18"/>
    </sheetView>
  </sheetViews>
  <sheetFormatPr defaultRowHeight="12.75"/>
  <cols>
    <col min="2" max="2" width="16.140625" bestFit="1" customWidth="1"/>
    <col min="3" max="3" width="14" bestFit="1" customWidth="1"/>
    <col min="4" max="4" width="17.42578125" bestFit="1" customWidth="1"/>
  </cols>
  <sheetData>
    <row r="3" spans="2:12">
      <c r="C3" s="132" t="s">
        <v>98</v>
      </c>
      <c r="D3" s="133"/>
      <c r="E3" s="133"/>
      <c r="F3" s="133"/>
      <c r="G3" s="133"/>
      <c r="H3" s="133"/>
      <c r="I3" s="133"/>
      <c r="J3" s="133"/>
      <c r="K3" s="133"/>
      <c r="L3" s="133"/>
    </row>
    <row r="4" spans="2:12">
      <c r="C4" s="133"/>
      <c r="D4" s="133"/>
      <c r="E4" s="133"/>
      <c r="F4" s="133"/>
      <c r="G4" s="133"/>
      <c r="H4" s="133"/>
      <c r="I4" s="133"/>
      <c r="J4" s="133"/>
      <c r="K4" s="133"/>
      <c r="L4" s="133"/>
    </row>
    <row r="12" spans="2:12">
      <c r="B12" s="17" t="s">
        <v>51</v>
      </c>
      <c r="C12" s="28" t="s">
        <v>54</v>
      </c>
      <c r="D12" s="12" t="s">
        <v>55</v>
      </c>
    </row>
    <row r="13" spans="2:12">
      <c r="B13" s="30" t="s">
        <v>65</v>
      </c>
      <c r="C13" s="31">
        <v>1477</v>
      </c>
      <c r="D13" s="30">
        <v>6644</v>
      </c>
    </row>
    <row r="14" spans="2:12">
      <c r="B14" s="38" t="s">
        <v>63</v>
      </c>
      <c r="C14" s="76">
        <v>534</v>
      </c>
      <c r="D14" s="38">
        <v>7916</v>
      </c>
    </row>
    <row r="15" spans="2:12">
      <c r="B15" s="38" t="s">
        <v>67</v>
      </c>
      <c r="C15" s="76">
        <v>457</v>
      </c>
      <c r="D15" s="38">
        <v>7926</v>
      </c>
    </row>
    <row r="16" spans="2:12">
      <c r="B16" s="38" t="s">
        <v>68</v>
      </c>
      <c r="C16" s="76">
        <v>344</v>
      </c>
      <c r="D16" s="38">
        <v>7705</v>
      </c>
    </row>
    <row r="17" spans="2:4">
      <c r="B17" s="38" t="s">
        <v>66</v>
      </c>
      <c r="C17" s="76">
        <v>332</v>
      </c>
      <c r="D17" s="38">
        <v>8126</v>
      </c>
    </row>
    <row r="18" spans="2:4">
      <c r="B18" s="38" t="s">
        <v>62</v>
      </c>
      <c r="C18" s="76">
        <v>552</v>
      </c>
      <c r="D18" s="38">
        <v>8543</v>
      </c>
    </row>
    <row r="19" spans="2:4">
      <c r="B19" s="24" t="s">
        <v>64</v>
      </c>
      <c r="C19" s="76">
        <v>1225</v>
      </c>
      <c r="D19" s="38">
        <v>6523</v>
      </c>
    </row>
    <row r="20" spans="2:4">
      <c r="B20" s="12" t="s">
        <v>49</v>
      </c>
      <c r="C20" s="69">
        <v>4921</v>
      </c>
      <c r="D20" s="24">
        <v>53383</v>
      </c>
    </row>
  </sheetData>
  <mergeCells count="1">
    <mergeCell ref="C3:L4"/>
  </mergeCells>
  <pageMargins left="0.7" right="0.7" top="0.75" bottom="0.75" header="0.3" footer="0.3"/>
  <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55CBA6-D220-4113-A59E-562A53B6B376}">
  <dimension ref="B4:L17"/>
  <sheetViews>
    <sheetView topLeftCell="A5" workbookViewId="0">
      <selection activeCell="N15" sqref="N15"/>
    </sheetView>
  </sheetViews>
  <sheetFormatPr defaultRowHeight="12.75"/>
  <cols>
    <col min="3" max="3" width="17.5703125" customWidth="1"/>
    <col min="4" max="4" width="11.85546875" customWidth="1"/>
    <col min="5" max="5" width="9.28515625" customWidth="1"/>
  </cols>
  <sheetData>
    <row r="4" spans="2:12">
      <c r="B4" s="2"/>
      <c r="C4" s="6"/>
      <c r="D4" s="6"/>
      <c r="E4" s="2"/>
    </row>
    <row r="5" spans="2:12">
      <c r="B5" s="2"/>
      <c r="C5" s="2"/>
      <c r="D5" s="2"/>
      <c r="E5" s="2"/>
    </row>
    <row r="6" spans="2:12">
      <c r="B6" s="2"/>
      <c r="C6" s="2"/>
      <c r="H6" s="2"/>
      <c r="I6" s="2"/>
    </row>
    <row r="7" spans="2:12">
      <c r="B7" s="2"/>
      <c r="C7" s="2"/>
      <c r="D7" s="132" t="s">
        <v>107</v>
      </c>
      <c r="E7" s="132"/>
      <c r="F7" s="132"/>
      <c r="G7" s="132"/>
      <c r="H7" s="132"/>
      <c r="I7" s="132"/>
      <c r="J7" s="132"/>
      <c r="K7" s="132"/>
      <c r="L7" s="132"/>
    </row>
    <row r="8" spans="2:12">
      <c r="B8" s="2"/>
      <c r="D8" s="132"/>
      <c r="E8" s="132"/>
      <c r="F8" s="132"/>
      <c r="G8" s="132"/>
      <c r="H8" s="132"/>
      <c r="I8" s="132"/>
      <c r="J8" s="132"/>
      <c r="K8" s="132"/>
      <c r="L8" s="132"/>
    </row>
    <row r="9" spans="2:12">
      <c r="B9" s="2"/>
    </row>
    <row r="10" spans="2:12">
      <c r="B10" s="2"/>
    </row>
    <row r="13" spans="2:12">
      <c r="C13" s="40" t="s">
        <v>85</v>
      </c>
      <c r="D13" s="40" t="s">
        <v>86</v>
      </c>
    </row>
    <row r="14" spans="2:12">
      <c r="C14" s="49" t="s">
        <v>87</v>
      </c>
      <c r="D14" s="52" t="s">
        <v>88</v>
      </c>
    </row>
    <row r="15" spans="2:12">
      <c r="C15" s="50" t="s">
        <v>89</v>
      </c>
      <c r="D15" s="53">
        <v>58304</v>
      </c>
    </row>
    <row r="16" spans="2:12">
      <c r="C16" s="50" t="s">
        <v>90</v>
      </c>
      <c r="D16" s="53">
        <v>53383</v>
      </c>
    </row>
    <row r="17" spans="3:4">
      <c r="C17" s="51" t="s">
        <v>91</v>
      </c>
      <c r="D17" s="54">
        <v>4931</v>
      </c>
    </row>
  </sheetData>
  <mergeCells count="1">
    <mergeCell ref="D7:L8"/>
  </mergeCells>
  <pageMargins left="0.7" right="0.7" top="0.75" bottom="0.75" header="0.3" footer="0.3"/>
  <drawing r:id="rId1"/>
  <tableParts count="1">
    <tablePart r:id="rId2"/>
  </tableParts>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E75D51-2880-47D2-A187-8B08C987729B}">
  <dimension ref="B2:I13"/>
  <sheetViews>
    <sheetView workbookViewId="0">
      <selection activeCell="D2" sqref="D2:I3"/>
    </sheetView>
  </sheetViews>
  <sheetFormatPr defaultRowHeight="12.75"/>
  <cols>
    <col min="2" max="2" width="14.42578125" bestFit="1" customWidth="1"/>
    <col min="3" max="3" width="14" bestFit="1" customWidth="1"/>
    <col min="4" max="5" width="17.42578125" bestFit="1" customWidth="1"/>
    <col min="6" max="6" width="11.140625" customWidth="1"/>
  </cols>
  <sheetData>
    <row r="2" spans="2:9">
      <c r="D2" s="134" t="s">
        <v>98</v>
      </c>
      <c r="E2" s="134"/>
      <c r="F2" s="134"/>
      <c r="G2" s="134"/>
      <c r="H2" s="134"/>
      <c r="I2" s="134"/>
    </row>
    <row r="3" spans="2:9">
      <c r="D3" s="134"/>
      <c r="E3" s="134"/>
      <c r="F3" s="134"/>
      <c r="G3" s="134"/>
      <c r="H3" s="134"/>
      <c r="I3" s="134"/>
    </row>
    <row r="9" spans="2:9">
      <c r="B9" s="46" t="s">
        <v>99</v>
      </c>
      <c r="C9" s="48" t="s">
        <v>54</v>
      </c>
      <c r="D9" s="47" t="s">
        <v>55</v>
      </c>
    </row>
    <row r="10" spans="2:9">
      <c r="B10" s="42" t="s">
        <v>19</v>
      </c>
      <c r="C10" s="73">
        <v>970</v>
      </c>
      <c r="D10" s="42">
        <v>19296</v>
      </c>
    </row>
    <row r="11" spans="2:9">
      <c r="B11" s="43" t="s">
        <v>20</v>
      </c>
      <c r="C11" s="74">
        <v>1984</v>
      </c>
      <c r="D11" s="43">
        <v>24234</v>
      </c>
    </row>
    <row r="12" spans="2:9">
      <c r="B12" s="44" t="s">
        <v>21</v>
      </c>
      <c r="C12" s="74">
        <v>1967</v>
      </c>
      <c r="D12" s="43">
        <v>9853</v>
      </c>
    </row>
    <row r="13" spans="2:9">
      <c r="B13" s="47" t="s">
        <v>49</v>
      </c>
      <c r="C13" s="75">
        <v>4921</v>
      </c>
      <c r="D13" s="44">
        <v>53383</v>
      </c>
    </row>
  </sheetData>
  <mergeCells count="1">
    <mergeCell ref="D2:I3"/>
  </mergeCells>
  <pageMargins left="0.7" right="0.7" top="0.75" bottom="0.75" header="0.3" footer="0.3"/>
  <drawing r:id="rId2"/>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4C91D4-92EC-4A13-95EC-1391D5915250}">
  <dimension ref="A2:J16"/>
  <sheetViews>
    <sheetView workbookViewId="0">
      <selection activeCell="M21" sqref="M21"/>
    </sheetView>
  </sheetViews>
  <sheetFormatPr defaultRowHeight="12.75"/>
  <cols>
    <col min="2" max="2" width="16.140625" bestFit="1" customWidth="1"/>
    <col min="3" max="3" width="14" bestFit="1" customWidth="1"/>
    <col min="4" max="4" width="11" bestFit="1" customWidth="1"/>
  </cols>
  <sheetData>
    <row r="2" spans="1:10">
      <c r="C2" s="135" t="s">
        <v>97</v>
      </c>
      <c r="D2" s="135"/>
      <c r="E2" s="135"/>
      <c r="F2" s="135"/>
      <c r="G2" s="135"/>
      <c r="H2" s="135"/>
      <c r="I2" s="135"/>
      <c r="J2" s="135"/>
    </row>
    <row r="3" spans="1:10">
      <c r="C3" s="135"/>
      <c r="D3" s="135"/>
      <c r="E3" s="135"/>
      <c r="F3" s="135"/>
      <c r="G3" s="135"/>
      <c r="H3" s="135"/>
      <c r="I3" s="135"/>
      <c r="J3" s="135"/>
    </row>
    <row r="8" spans="1:10">
      <c r="A8" s="2"/>
      <c r="B8" s="2"/>
      <c r="C8" s="2"/>
      <c r="D8" s="2"/>
    </row>
    <row r="9" spans="1:10">
      <c r="A9" s="2"/>
      <c r="B9" s="2"/>
      <c r="C9" s="2"/>
      <c r="D9" s="2"/>
    </row>
    <row r="10" spans="1:10">
      <c r="A10" s="2"/>
      <c r="B10" s="41" t="s">
        <v>51</v>
      </c>
      <c r="C10" s="2" t="s">
        <v>54</v>
      </c>
      <c r="D10" s="2" t="s">
        <v>96</v>
      </c>
    </row>
    <row r="11" spans="1:10">
      <c r="A11" s="2"/>
      <c r="B11" s="2" t="s">
        <v>92</v>
      </c>
      <c r="C11" s="2">
        <v>2490</v>
      </c>
      <c r="D11" s="2">
        <v>14649</v>
      </c>
    </row>
    <row r="12" spans="1:10">
      <c r="A12" s="2"/>
      <c r="B12" s="2" t="s">
        <v>93</v>
      </c>
      <c r="C12" s="2">
        <v>944</v>
      </c>
      <c r="D12" s="2">
        <v>16825</v>
      </c>
    </row>
    <row r="13" spans="1:10">
      <c r="A13" s="2"/>
      <c r="B13" s="2" t="s">
        <v>94</v>
      </c>
      <c r="C13" s="2">
        <v>967</v>
      </c>
      <c r="D13" s="2">
        <v>16001</v>
      </c>
    </row>
    <row r="14" spans="1:10">
      <c r="A14" s="2"/>
      <c r="B14" s="2" t="s">
        <v>95</v>
      </c>
      <c r="C14" s="2">
        <v>520</v>
      </c>
      <c r="D14" s="2">
        <v>5908</v>
      </c>
    </row>
    <row r="15" spans="1:10">
      <c r="A15" s="2"/>
      <c r="B15" s="2"/>
      <c r="C15" s="2"/>
      <c r="D15" s="2"/>
    </row>
    <row r="16" spans="1:10">
      <c r="A16" s="2"/>
      <c r="B16" s="2"/>
      <c r="C16" s="2"/>
      <c r="D16" s="2"/>
    </row>
  </sheetData>
  <mergeCells count="1">
    <mergeCell ref="C2:J3"/>
  </mergeCells>
  <pageMargins left="0.7" right="0.7" top="0.75" bottom="0.75" header="0.3" footer="0.3"/>
  <drawing r:id="rId2"/>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8BC3CE-B530-4B55-A3FB-95705F5399E1}">
  <dimension ref="B2:S27"/>
  <sheetViews>
    <sheetView topLeftCell="A3" workbookViewId="0">
      <selection activeCell="J15" sqref="J15"/>
    </sheetView>
  </sheetViews>
  <sheetFormatPr defaultRowHeight="12.75"/>
  <cols>
    <col min="1" max="1" width="4.28515625" customWidth="1"/>
    <col min="2" max="2" width="8.42578125" bestFit="1" customWidth="1"/>
    <col min="3" max="3" width="13" bestFit="1" customWidth="1"/>
    <col min="4" max="4" width="4.85546875" bestFit="1" customWidth="1"/>
    <col min="5" max="5" width="5" bestFit="1" customWidth="1"/>
    <col min="6" max="7" width="5.140625" bestFit="1" customWidth="1"/>
    <col min="8" max="8" width="5" bestFit="1" customWidth="1"/>
    <col min="9" max="9" width="4" bestFit="1" customWidth="1"/>
    <col min="10" max="10" width="8.7109375" customWidth="1"/>
    <col min="11" max="11" width="9.28515625" bestFit="1" customWidth="1"/>
    <col min="12" max="12" width="7.140625" bestFit="1" customWidth="1"/>
    <col min="13" max="13" width="6.7109375" bestFit="1" customWidth="1"/>
    <col min="14" max="14" width="7.140625" bestFit="1" customWidth="1"/>
    <col min="16" max="16" width="7.140625" bestFit="1" customWidth="1"/>
    <col min="17" max="17" width="11.7109375" bestFit="1" customWidth="1"/>
  </cols>
  <sheetData>
    <row r="2" spans="2:19">
      <c r="B2" s="17" t="s">
        <v>75</v>
      </c>
      <c r="C2" s="17" t="s">
        <v>78</v>
      </c>
      <c r="D2" s="28"/>
      <c r="E2" s="37"/>
      <c r="F2" s="37"/>
      <c r="G2" s="37"/>
      <c r="H2" s="37"/>
      <c r="I2" s="26"/>
      <c r="K2" s="135" t="s">
        <v>83</v>
      </c>
      <c r="L2" s="135"/>
      <c r="M2" s="135"/>
      <c r="N2" s="135"/>
      <c r="O2" s="135"/>
      <c r="P2" s="135"/>
      <c r="Q2" s="135"/>
      <c r="R2" s="135"/>
      <c r="S2" s="135"/>
    </row>
    <row r="3" spans="2:19">
      <c r="B3" s="17" t="s">
        <v>77</v>
      </c>
      <c r="C3" s="28" t="s">
        <v>76</v>
      </c>
      <c r="D3" s="37" t="s">
        <v>69</v>
      </c>
      <c r="E3" s="37" t="s">
        <v>70</v>
      </c>
      <c r="F3" s="37" t="s">
        <v>71</v>
      </c>
      <c r="G3" s="37" t="s">
        <v>72</v>
      </c>
      <c r="H3" s="37" t="s">
        <v>73</v>
      </c>
      <c r="I3" s="26" t="s">
        <v>74</v>
      </c>
      <c r="K3" s="135"/>
      <c r="L3" s="135"/>
      <c r="M3" s="135"/>
      <c r="N3" s="135"/>
      <c r="O3" s="135"/>
      <c r="P3" s="135"/>
      <c r="Q3" s="135"/>
      <c r="R3" s="135"/>
      <c r="S3" s="135"/>
    </row>
    <row r="4" spans="2:19">
      <c r="B4" s="30">
        <v>0</v>
      </c>
      <c r="C4" s="31">
        <v>214</v>
      </c>
      <c r="D4" s="77">
        <v>67</v>
      </c>
      <c r="E4" s="77">
        <v>44</v>
      </c>
      <c r="F4" s="77">
        <v>52</v>
      </c>
      <c r="G4" s="77">
        <v>59</v>
      </c>
      <c r="H4" s="77">
        <v>88</v>
      </c>
      <c r="I4" s="16">
        <v>179</v>
      </c>
      <c r="K4" s="136" t="s">
        <v>84</v>
      </c>
      <c r="L4" s="136"/>
      <c r="M4" s="136"/>
      <c r="N4" s="136"/>
      <c r="O4" s="136"/>
      <c r="P4" s="136"/>
      <c r="Q4" s="136"/>
      <c r="R4" s="136"/>
      <c r="S4" s="136"/>
    </row>
    <row r="5" spans="2:19">
      <c r="B5" s="38">
        <v>1</v>
      </c>
      <c r="C5" s="76">
        <v>162</v>
      </c>
      <c r="D5" s="2">
        <v>39</v>
      </c>
      <c r="E5" s="2">
        <v>17</v>
      </c>
      <c r="F5" s="2">
        <v>34</v>
      </c>
      <c r="G5" s="2">
        <v>23</v>
      </c>
      <c r="H5" s="2">
        <v>35</v>
      </c>
      <c r="I5" s="68">
        <v>150</v>
      </c>
      <c r="K5" s="136"/>
      <c r="L5" s="136"/>
      <c r="M5" s="136"/>
      <c r="N5" s="136"/>
      <c r="O5" s="136"/>
      <c r="P5" s="136"/>
      <c r="Q5" s="136"/>
      <c r="R5" s="136"/>
      <c r="S5" s="136"/>
    </row>
    <row r="6" spans="2:19">
      <c r="B6" s="38">
        <v>2</v>
      </c>
      <c r="C6" s="76">
        <v>105</v>
      </c>
      <c r="D6" s="2">
        <v>17</v>
      </c>
      <c r="E6" s="2">
        <v>10</v>
      </c>
      <c r="F6" s="2">
        <v>23</v>
      </c>
      <c r="G6" s="2">
        <v>11</v>
      </c>
      <c r="H6" s="2">
        <v>10</v>
      </c>
      <c r="I6" s="68">
        <v>118</v>
      </c>
      <c r="K6" s="136"/>
      <c r="L6" s="136"/>
      <c r="M6" s="136"/>
      <c r="N6" s="136"/>
      <c r="O6" s="136"/>
      <c r="P6" s="136"/>
      <c r="Q6" s="136"/>
      <c r="R6" s="136"/>
      <c r="S6" s="136"/>
    </row>
    <row r="7" spans="2:19">
      <c r="B7" s="38">
        <v>3</v>
      </c>
      <c r="C7" s="76">
        <v>63</v>
      </c>
      <c r="D7" s="2">
        <v>9</v>
      </c>
      <c r="E7" s="2">
        <v>3</v>
      </c>
      <c r="F7" s="2">
        <v>3</v>
      </c>
      <c r="G7" s="2">
        <v>5</v>
      </c>
      <c r="H7" s="2">
        <v>4</v>
      </c>
      <c r="I7" s="68">
        <v>64</v>
      </c>
      <c r="K7" s="136"/>
      <c r="L7" s="136"/>
      <c r="M7" s="136"/>
      <c r="N7" s="136"/>
      <c r="O7" s="136"/>
      <c r="P7" s="136"/>
      <c r="Q7" s="136"/>
      <c r="R7" s="136"/>
      <c r="S7" s="136"/>
    </row>
    <row r="8" spans="2:19">
      <c r="B8" s="38">
        <v>4</v>
      </c>
      <c r="C8" s="76">
        <v>10</v>
      </c>
      <c r="D8" s="2">
        <v>14</v>
      </c>
      <c r="E8" s="2">
        <v>6</v>
      </c>
      <c r="F8" s="2">
        <v>5</v>
      </c>
      <c r="G8" s="2">
        <v>7</v>
      </c>
      <c r="H8" s="2">
        <v>2</v>
      </c>
      <c r="I8" s="68">
        <v>25</v>
      </c>
      <c r="K8" s="136"/>
      <c r="L8" s="136"/>
      <c r="M8" s="136"/>
      <c r="N8" s="136"/>
      <c r="O8" s="136"/>
      <c r="P8" s="136"/>
      <c r="Q8" s="136"/>
      <c r="R8" s="136"/>
      <c r="S8" s="136"/>
    </row>
    <row r="9" spans="2:19">
      <c r="B9" s="38">
        <v>5</v>
      </c>
      <c r="C9" s="76">
        <v>10</v>
      </c>
      <c r="D9" s="2">
        <v>33</v>
      </c>
      <c r="E9" s="2">
        <v>24</v>
      </c>
      <c r="F9" s="2">
        <v>26</v>
      </c>
      <c r="G9" s="2">
        <v>21</v>
      </c>
      <c r="H9" s="2">
        <v>33</v>
      </c>
      <c r="I9" s="68">
        <v>17</v>
      </c>
      <c r="K9" s="136"/>
      <c r="L9" s="136"/>
      <c r="M9" s="136"/>
      <c r="N9" s="136"/>
      <c r="O9" s="136"/>
      <c r="P9" s="136"/>
      <c r="Q9" s="136"/>
      <c r="R9" s="136"/>
      <c r="S9" s="136"/>
    </row>
    <row r="10" spans="2:19">
      <c r="B10" s="38">
        <v>6</v>
      </c>
      <c r="C10" s="76">
        <v>11</v>
      </c>
      <c r="D10" s="2">
        <v>174</v>
      </c>
      <c r="E10" s="2">
        <v>160</v>
      </c>
      <c r="F10" s="2">
        <v>150</v>
      </c>
      <c r="G10" s="2">
        <v>164</v>
      </c>
      <c r="H10" s="2">
        <v>146</v>
      </c>
      <c r="I10" s="68">
        <v>17</v>
      </c>
      <c r="K10" s="136"/>
      <c r="L10" s="136"/>
      <c r="M10" s="136"/>
      <c r="N10" s="136"/>
      <c r="O10" s="136"/>
      <c r="P10" s="136"/>
      <c r="Q10" s="136"/>
      <c r="R10" s="136"/>
      <c r="S10" s="136"/>
    </row>
    <row r="11" spans="2:19">
      <c r="B11" s="38">
        <v>7</v>
      </c>
      <c r="C11" s="76">
        <v>26</v>
      </c>
      <c r="D11" s="2">
        <v>503</v>
      </c>
      <c r="E11" s="2">
        <v>453</v>
      </c>
      <c r="F11" s="2">
        <v>410</v>
      </c>
      <c r="G11" s="2">
        <v>454</v>
      </c>
      <c r="H11" s="2">
        <v>443</v>
      </c>
      <c r="I11" s="68">
        <v>50</v>
      </c>
      <c r="K11" s="136"/>
      <c r="L11" s="136"/>
      <c r="M11" s="136"/>
      <c r="N11" s="136"/>
      <c r="O11" s="136"/>
      <c r="P11" s="136"/>
      <c r="Q11" s="136"/>
      <c r="R11" s="136"/>
      <c r="S11" s="136"/>
    </row>
    <row r="12" spans="2:19">
      <c r="B12" s="38">
        <v>8</v>
      </c>
      <c r="C12" s="76">
        <v>102</v>
      </c>
      <c r="D12" s="2">
        <v>967</v>
      </c>
      <c r="E12" s="2">
        <v>1012</v>
      </c>
      <c r="F12" s="2">
        <v>946</v>
      </c>
      <c r="G12" s="2">
        <v>1036</v>
      </c>
      <c r="H12" s="2">
        <v>1178</v>
      </c>
      <c r="I12" s="68">
        <v>147</v>
      </c>
      <c r="K12" s="136" t="s">
        <v>82</v>
      </c>
      <c r="L12" s="136"/>
      <c r="M12" s="136"/>
      <c r="N12" s="136"/>
      <c r="O12" s="136"/>
      <c r="P12" s="136"/>
      <c r="Q12" s="136"/>
      <c r="R12" s="136"/>
      <c r="S12" s="136"/>
    </row>
    <row r="13" spans="2:19">
      <c r="B13" s="38">
        <v>9</v>
      </c>
      <c r="C13" s="76">
        <v>229</v>
      </c>
      <c r="D13" s="2">
        <v>561</v>
      </c>
      <c r="E13" s="2">
        <v>625</v>
      </c>
      <c r="F13" s="2">
        <v>609</v>
      </c>
      <c r="G13" s="2">
        <v>659</v>
      </c>
      <c r="H13" s="2">
        <v>785</v>
      </c>
      <c r="I13" s="68">
        <v>204</v>
      </c>
      <c r="K13" s="136"/>
      <c r="L13" s="136"/>
      <c r="M13" s="136"/>
      <c r="N13" s="136"/>
      <c r="O13" s="136"/>
      <c r="P13" s="136"/>
      <c r="Q13" s="136"/>
      <c r="R13" s="136"/>
      <c r="S13" s="136"/>
    </row>
    <row r="14" spans="2:19">
      <c r="B14" s="38">
        <v>10</v>
      </c>
      <c r="C14" s="76">
        <v>497</v>
      </c>
      <c r="D14" s="2">
        <v>296</v>
      </c>
      <c r="E14" s="2">
        <v>246</v>
      </c>
      <c r="F14" s="2">
        <v>291</v>
      </c>
      <c r="G14" s="2">
        <v>227</v>
      </c>
      <c r="H14" s="2">
        <v>314</v>
      </c>
      <c r="I14" s="68">
        <v>382</v>
      </c>
      <c r="K14" s="136"/>
      <c r="L14" s="136"/>
      <c r="M14" s="136"/>
      <c r="N14" s="136"/>
      <c r="O14" s="136"/>
      <c r="P14" s="136"/>
      <c r="Q14" s="136"/>
      <c r="R14" s="136"/>
      <c r="S14" s="136"/>
    </row>
    <row r="15" spans="2:19" ht="14.25">
      <c r="B15" s="38">
        <v>11</v>
      </c>
      <c r="C15" s="76">
        <v>599</v>
      </c>
      <c r="D15" s="2">
        <v>286</v>
      </c>
      <c r="E15" s="2">
        <v>254</v>
      </c>
      <c r="F15" s="2">
        <v>267</v>
      </c>
      <c r="G15" s="2">
        <v>273</v>
      </c>
      <c r="H15" s="2">
        <v>337</v>
      </c>
      <c r="I15" s="68">
        <v>478</v>
      </c>
      <c r="K15" s="136"/>
      <c r="L15" s="137"/>
      <c r="M15" s="137"/>
      <c r="N15" s="137"/>
      <c r="O15" s="137"/>
      <c r="P15" s="137"/>
      <c r="Q15" s="137"/>
      <c r="R15" s="137"/>
      <c r="S15" s="137"/>
    </row>
    <row r="16" spans="2:19">
      <c r="B16" s="38">
        <v>12</v>
      </c>
      <c r="C16" s="76">
        <v>819</v>
      </c>
      <c r="D16" s="2">
        <v>390</v>
      </c>
      <c r="E16" s="2">
        <v>364</v>
      </c>
      <c r="F16" s="2">
        <v>377</v>
      </c>
      <c r="G16" s="2">
        <v>358</v>
      </c>
      <c r="H16" s="2">
        <v>384</v>
      </c>
      <c r="I16" s="68">
        <v>591</v>
      </c>
      <c r="K16" s="136" t="s">
        <v>81</v>
      </c>
      <c r="L16" s="136"/>
      <c r="M16" s="136"/>
      <c r="N16" s="136"/>
      <c r="O16" s="136"/>
      <c r="P16" s="136"/>
      <c r="Q16" s="136"/>
      <c r="R16" s="136"/>
      <c r="S16" s="136"/>
    </row>
    <row r="17" spans="2:19">
      <c r="B17" s="38">
        <v>13</v>
      </c>
      <c r="C17" s="76">
        <v>775</v>
      </c>
      <c r="D17" s="2">
        <v>386</v>
      </c>
      <c r="E17" s="2">
        <v>366</v>
      </c>
      <c r="F17" s="2">
        <v>389</v>
      </c>
      <c r="G17" s="2">
        <v>361</v>
      </c>
      <c r="H17" s="2">
        <v>446</v>
      </c>
      <c r="I17" s="68">
        <v>653</v>
      </c>
      <c r="K17" s="136"/>
      <c r="L17" s="136"/>
      <c r="M17" s="136"/>
      <c r="N17" s="136"/>
      <c r="O17" s="136"/>
      <c r="P17" s="136"/>
      <c r="Q17" s="136"/>
      <c r="R17" s="136"/>
      <c r="S17" s="136"/>
    </row>
    <row r="18" spans="2:19">
      <c r="B18" s="38">
        <v>14</v>
      </c>
      <c r="C18" s="76">
        <v>776</v>
      </c>
      <c r="D18" s="2">
        <v>401</v>
      </c>
      <c r="E18" s="2">
        <v>340</v>
      </c>
      <c r="F18" s="2">
        <v>338</v>
      </c>
      <c r="G18" s="2">
        <v>288</v>
      </c>
      <c r="H18" s="2">
        <v>389</v>
      </c>
      <c r="I18" s="68">
        <v>668</v>
      </c>
      <c r="K18" s="136"/>
      <c r="L18" s="136"/>
      <c r="M18" s="136"/>
      <c r="N18" s="136"/>
      <c r="O18" s="136"/>
      <c r="P18" s="136"/>
      <c r="Q18" s="136"/>
      <c r="R18" s="136"/>
      <c r="S18" s="136"/>
    </row>
    <row r="19" spans="2:19" ht="14.25">
      <c r="B19" s="38">
        <v>15</v>
      </c>
      <c r="C19" s="76">
        <v>799</v>
      </c>
      <c r="D19" s="2">
        <v>361</v>
      </c>
      <c r="E19" s="2">
        <v>334</v>
      </c>
      <c r="F19" s="2">
        <v>376</v>
      </c>
      <c r="G19" s="2">
        <v>302</v>
      </c>
      <c r="H19" s="2">
        <v>410</v>
      </c>
      <c r="I19" s="68">
        <v>770</v>
      </c>
      <c r="K19" s="136"/>
      <c r="L19" s="137"/>
      <c r="M19" s="137"/>
      <c r="N19" s="137"/>
      <c r="O19" s="137"/>
      <c r="P19" s="137"/>
      <c r="Q19" s="137"/>
      <c r="R19" s="137"/>
      <c r="S19" s="137"/>
    </row>
    <row r="20" spans="2:19">
      <c r="B20" s="38">
        <v>16</v>
      </c>
      <c r="C20" s="76">
        <v>746</v>
      </c>
      <c r="D20" s="2">
        <v>502</v>
      </c>
      <c r="E20" s="2">
        <v>483</v>
      </c>
      <c r="F20" s="2">
        <v>479</v>
      </c>
      <c r="G20" s="2">
        <v>437</v>
      </c>
      <c r="H20" s="2">
        <v>578</v>
      </c>
      <c r="I20" s="68">
        <v>703</v>
      </c>
      <c r="K20" s="136" t="s">
        <v>80</v>
      </c>
      <c r="L20" s="136"/>
      <c r="M20" s="136"/>
      <c r="N20" s="136"/>
      <c r="O20" s="136"/>
      <c r="P20" s="136"/>
      <c r="Q20" s="136"/>
      <c r="R20" s="136"/>
      <c r="S20" s="136"/>
    </row>
    <row r="21" spans="2:19">
      <c r="B21" s="38">
        <v>17</v>
      </c>
      <c r="C21" s="76">
        <v>610</v>
      </c>
      <c r="D21" s="2">
        <v>967</v>
      </c>
      <c r="E21" s="2">
        <v>1047</v>
      </c>
      <c r="F21" s="2">
        <v>908</v>
      </c>
      <c r="G21" s="2">
        <v>973</v>
      </c>
      <c r="H21" s="2">
        <v>1072</v>
      </c>
      <c r="I21" s="68">
        <v>592</v>
      </c>
      <c r="K21" s="136"/>
      <c r="L21" s="136"/>
      <c r="M21" s="136"/>
      <c r="N21" s="136"/>
      <c r="O21" s="136"/>
      <c r="P21" s="136"/>
      <c r="Q21" s="136"/>
      <c r="R21" s="136"/>
      <c r="S21" s="136"/>
    </row>
    <row r="22" spans="2:19">
      <c r="B22" s="38">
        <v>18</v>
      </c>
      <c r="C22" s="76">
        <v>455</v>
      </c>
      <c r="D22" s="2">
        <v>888</v>
      </c>
      <c r="E22" s="2">
        <v>955</v>
      </c>
      <c r="F22" s="2">
        <v>819</v>
      </c>
      <c r="G22" s="2">
        <v>903</v>
      </c>
      <c r="H22" s="2">
        <v>820</v>
      </c>
      <c r="I22" s="68">
        <v>443</v>
      </c>
      <c r="K22" s="136"/>
      <c r="L22" s="136"/>
      <c r="M22" s="136"/>
      <c r="N22" s="136"/>
      <c r="O22" s="136"/>
      <c r="P22" s="136"/>
      <c r="Q22" s="136"/>
      <c r="R22" s="136"/>
      <c r="S22" s="136"/>
    </row>
    <row r="23" spans="2:19" ht="14.25">
      <c r="B23" s="38">
        <v>19</v>
      </c>
      <c r="C23" s="76">
        <v>319</v>
      </c>
      <c r="D23" s="2">
        <v>610</v>
      </c>
      <c r="E23" s="2">
        <v>617</v>
      </c>
      <c r="F23" s="2">
        <v>506</v>
      </c>
      <c r="G23" s="2">
        <v>650</v>
      </c>
      <c r="H23" s="2">
        <v>576</v>
      </c>
      <c r="I23" s="68">
        <v>383</v>
      </c>
      <c r="K23" s="136"/>
      <c r="L23" s="137"/>
      <c r="M23" s="137"/>
      <c r="N23" s="137"/>
      <c r="O23" s="137"/>
      <c r="P23" s="137"/>
      <c r="Q23" s="137"/>
      <c r="R23" s="137"/>
      <c r="S23" s="137"/>
    </row>
    <row r="24" spans="2:19">
      <c r="B24" s="38">
        <v>20</v>
      </c>
      <c r="C24" s="76">
        <v>258</v>
      </c>
      <c r="D24" s="2">
        <v>406</v>
      </c>
      <c r="E24" s="2">
        <v>418</v>
      </c>
      <c r="F24" s="2">
        <v>380</v>
      </c>
      <c r="G24" s="2">
        <v>524</v>
      </c>
      <c r="H24" s="2">
        <v>368</v>
      </c>
      <c r="I24" s="68">
        <v>302</v>
      </c>
      <c r="K24" s="136" t="s">
        <v>79</v>
      </c>
      <c r="L24" s="136"/>
      <c r="M24" s="136"/>
      <c r="N24" s="136"/>
      <c r="O24" s="136"/>
      <c r="P24" s="136"/>
      <c r="Q24" s="136"/>
      <c r="R24" s="136"/>
      <c r="S24" s="136"/>
    </row>
    <row r="25" spans="2:19">
      <c r="B25" s="38">
        <v>21</v>
      </c>
      <c r="C25" s="76">
        <v>210</v>
      </c>
      <c r="D25" s="2">
        <v>310</v>
      </c>
      <c r="E25" s="2">
        <v>272</v>
      </c>
      <c r="F25" s="2">
        <v>305</v>
      </c>
      <c r="G25" s="2">
        <v>309</v>
      </c>
      <c r="H25" s="2">
        <v>280</v>
      </c>
      <c r="I25" s="68">
        <v>310</v>
      </c>
      <c r="K25" s="136"/>
      <c r="L25" s="136"/>
      <c r="M25" s="136"/>
      <c r="N25" s="136"/>
      <c r="O25" s="136"/>
      <c r="P25" s="136"/>
      <c r="Q25" s="136"/>
      <c r="R25" s="136"/>
      <c r="S25" s="136"/>
    </row>
    <row r="26" spans="2:19">
      <c r="B26" s="38">
        <v>22</v>
      </c>
      <c r="C26" s="76">
        <v>192</v>
      </c>
      <c r="D26" s="2">
        <v>163</v>
      </c>
      <c r="E26" s="2">
        <v>215</v>
      </c>
      <c r="F26" s="2">
        <v>220</v>
      </c>
      <c r="G26" s="2">
        <v>257</v>
      </c>
      <c r="H26" s="2">
        <v>221</v>
      </c>
      <c r="I26" s="68">
        <v>240</v>
      </c>
      <c r="K26" s="136"/>
      <c r="L26" s="136"/>
      <c r="M26" s="136"/>
      <c r="N26" s="136"/>
      <c r="O26" s="136"/>
      <c r="P26" s="136"/>
      <c r="Q26" s="136"/>
      <c r="R26" s="136"/>
      <c r="S26" s="136"/>
    </row>
    <row r="27" spans="2:19" ht="14.25">
      <c r="B27" s="24">
        <v>23</v>
      </c>
      <c r="C27" s="69">
        <v>134</v>
      </c>
      <c r="D27" s="66">
        <v>100</v>
      </c>
      <c r="E27" s="66">
        <v>118</v>
      </c>
      <c r="F27" s="66">
        <v>136</v>
      </c>
      <c r="G27" s="66">
        <v>157</v>
      </c>
      <c r="H27" s="66">
        <v>176</v>
      </c>
      <c r="I27" s="67">
        <v>262</v>
      </c>
      <c r="K27" s="39"/>
      <c r="L27" s="39"/>
      <c r="M27" s="39"/>
      <c r="N27" s="39"/>
      <c r="O27" s="39"/>
      <c r="P27" s="39"/>
      <c r="Q27" s="39"/>
      <c r="R27" s="39"/>
      <c r="S27" s="39"/>
    </row>
  </sheetData>
  <mergeCells count="9">
    <mergeCell ref="K12:S14"/>
    <mergeCell ref="K16:S18"/>
    <mergeCell ref="K20:S22"/>
    <mergeCell ref="K24:S26"/>
    <mergeCell ref="K2:S3"/>
    <mergeCell ref="K15:S15"/>
    <mergeCell ref="K19:S19"/>
    <mergeCell ref="K23:S23"/>
    <mergeCell ref="K4:S11"/>
  </mergeCells>
  <conditionalFormatting sqref="B2:I3 B4:B27">
    <cfRule type="colorScale" priority="2">
      <colorScale>
        <cfvo type="min"/>
        <cfvo type="percentile" val="50"/>
        <cfvo type="max"/>
        <color rgb="FF63BE7B"/>
        <color rgb="FFFFEB84"/>
        <color rgb="FFF8696B"/>
      </colorScale>
    </cfRule>
    <cfRule type="colorScale" priority="5">
      <colorScale>
        <cfvo type="min"/>
        <cfvo type="percentile" val="50"/>
        <cfvo type="max"/>
        <color rgb="FF63BE7B"/>
        <color rgb="FFFFEB84"/>
        <color rgb="FFF8696B"/>
      </colorScale>
    </cfRule>
  </conditionalFormatting>
  <conditionalFormatting sqref="J17">
    <cfRule type="colorScale" priority="3">
      <colorScale>
        <cfvo type="min"/>
        <cfvo type="percentile" val="50"/>
        <cfvo type="max"/>
        <color rgb="FFF8696B"/>
        <color rgb="FFFCFCFF"/>
        <color rgb="FF63BE7B"/>
      </colorScale>
    </cfRule>
  </conditionalFormatting>
  <conditionalFormatting pivot="1" sqref="C4:I27">
    <cfRule type="colorScale" priority="1">
      <colorScale>
        <cfvo type="min"/>
        <cfvo type="percentile" val="50"/>
        <cfvo type="max"/>
        <color rgb="FF63BE7B"/>
        <color rgb="FFFFEB84"/>
        <color rgb="FFF8696B"/>
      </colorScale>
    </cfRule>
  </conditionalFormatting>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E0AA924D-6B1E-41F4-8DB1-75049BBFF5AC}">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16</vt:i4>
      </vt:variant>
    </vt:vector>
  </HeadingPairs>
  <TitlesOfParts>
    <vt:vector size="16" baseType="lpstr">
      <vt:lpstr>dataset_1</vt:lpstr>
      <vt:lpstr>dataset_2</vt:lpstr>
      <vt:lpstr>dataset_3</vt:lpstr>
      <vt:lpstr>clean data</vt:lpstr>
      <vt:lpstr>calculate_field</vt:lpstr>
      <vt:lpstr>deshboard</vt:lpstr>
      <vt:lpstr>weektype</vt:lpstr>
      <vt:lpstr>Hrs wise count</vt:lpstr>
      <vt:lpstr>weth_cat wise users</vt:lpstr>
      <vt:lpstr>monwise count</vt:lpstr>
      <vt:lpstr>weth_cat Avg</vt:lpstr>
      <vt:lpstr>Temp_catg</vt:lpstr>
      <vt:lpstr>funnel of users</vt:lpstr>
      <vt:lpstr>Temp_cat sum of casu &amp; reg</vt:lpstr>
      <vt:lpstr>time_prd combo</vt:lpstr>
      <vt:lpstr>Heatmap</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mohit chauhan</cp:lastModifiedBy>
  <dcterms:modified xsi:type="dcterms:W3CDTF">2026-01-17T11:46:56Z</dcterms:modified>
</cp:coreProperties>
</file>